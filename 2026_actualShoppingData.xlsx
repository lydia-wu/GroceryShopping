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/Users/ljwubest/Documents/GroceryList/"/>
    </mc:Choice>
  </mc:AlternateContent>
  <xr:revisionPtr revIDLastSave="0" documentId="13_ncr:1_{A16E921E-0191-C047-B2F2-F82A7CDC7616}" xr6:coauthVersionLast="47" xr6:coauthVersionMax="47" xr10:uidLastSave="{00000000-0000-0000-0000-000000000000}"/>
  <bookViews>
    <workbookView xWindow="0" yWindow="500" windowWidth="25300" windowHeight="21680" xr2:uid="{9D83703F-52A9-4EA1-AFB0-DF552BA8DD27}"/>
  </bookViews>
  <sheets>
    <sheet name="2026_Itemized_Pur" sheetId="20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4" i="20" l="1"/>
  <c r="U25" i="20"/>
  <c r="U26" i="20"/>
  <c r="U27" i="20"/>
  <c r="U28" i="20"/>
  <c r="U29" i="20"/>
  <c r="U30" i="20"/>
  <c r="V24" i="20"/>
  <c r="V25" i="20"/>
  <c r="V26" i="20"/>
  <c r="V27" i="20"/>
  <c r="V28" i="20"/>
  <c r="V29" i="20"/>
  <c r="V30" i="20"/>
  <c r="W24" i="20"/>
  <c r="N24" i="20" s="1"/>
  <c r="W25" i="20"/>
  <c r="N25" i="20" s="1"/>
  <c r="O25" i="20" s="1"/>
  <c r="W26" i="20"/>
  <c r="N26" i="20" s="1"/>
  <c r="O26" i="20" s="1"/>
  <c r="W27" i="20"/>
  <c r="N27" i="20" s="1"/>
  <c r="O27" i="20" s="1"/>
  <c r="W28" i="20"/>
  <c r="N28" i="20" s="1"/>
  <c r="X28" i="20" s="1"/>
  <c r="W29" i="20"/>
  <c r="N29" i="20" s="1"/>
  <c r="W30" i="20"/>
  <c r="N30" i="20" s="1"/>
  <c r="Z24" i="20"/>
  <c r="Z25" i="20"/>
  <c r="Z26" i="20"/>
  <c r="Z27" i="20"/>
  <c r="Z28" i="20"/>
  <c r="Z29" i="20"/>
  <c r="Z30" i="20"/>
  <c r="AA24" i="20"/>
  <c r="AB24" i="20" s="1"/>
  <c r="AA25" i="20"/>
  <c r="AB25" i="20" s="1"/>
  <c r="AA26" i="20"/>
  <c r="AB26" i="20" s="1"/>
  <c r="AA27" i="20"/>
  <c r="AB27" i="20" s="1"/>
  <c r="AA28" i="20"/>
  <c r="AA29" i="20"/>
  <c r="AB29" i="20" s="1"/>
  <c r="AA30" i="20"/>
  <c r="AB30" i="20" s="1"/>
  <c r="AB28" i="20"/>
  <c r="U43" i="20"/>
  <c r="V43" i="20"/>
  <c r="W43" i="20"/>
  <c r="N43" i="20" s="1"/>
  <c r="Z43" i="20"/>
  <c r="AA43" i="20"/>
  <c r="AB43" i="20" s="1"/>
  <c r="U69" i="20"/>
  <c r="V69" i="20"/>
  <c r="W69" i="20"/>
  <c r="N69" i="20" s="1"/>
  <c r="Z69" i="20"/>
  <c r="AA69" i="20"/>
  <c r="U66" i="20"/>
  <c r="U67" i="20"/>
  <c r="U68" i="20"/>
  <c r="U70" i="20"/>
  <c r="U71" i="20"/>
  <c r="U72" i="20"/>
  <c r="U73" i="20"/>
  <c r="U74" i="20"/>
  <c r="U75" i="20"/>
  <c r="U76" i="20"/>
  <c r="U77" i="20"/>
  <c r="U78" i="20"/>
  <c r="U79" i="20"/>
  <c r="U80" i="20"/>
  <c r="U81" i="20"/>
  <c r="V66" i="20"/>
  <c r="V67" i="20"/>
  <c r="V68" i="20"/>
  <c r="V70" i="20"/>
  <c r="V71" i="20"/>
  <c r="V72" i="20"/>
  <c r="V73" i="20"/>
  <c r="V74" i="20"/>
  <c r="V75" i="20"/>
  <c r="V76" i="20"/>
  <c r="V77" i="20"/>
  <c r="V78" i="20"/>
  <c r="V79" i="20"/>
  <c r="V80" i="20"/>
  <c r="V81" i="20"/>
  <c r="W66" i="20"/>
  <c r="N66" i="20" s="1"/>
  <c r="W67" i="20"/>
  <c r="N67" i="20" s="1"/>
  <c r="W68" i="20"/>
  <c r="N68" i="20" s="1"/>
  <c r="W70" i="20"/>
  <c r="N70" i="20" s="1"/>
  <c r="W71" i="20"/>
  <c r="N71" i="20" s="1"/>
  <c r="W72" i="20"/>
  <c r="N72" i="20" s="1"/>
  <c r="W73" i="20"/>
  <c r="N73" i="20" s="1"/>
  <c r="W74" i="20"/>
  <c r="N74" i="20" s="1"/>
  <c r="W75" i="20"/>
  <c r="N75" i="20" s="1"/>
  <c r="W76" i="20"/>
  <c r="N76" i="20" s="1"/>
  <c r="W77" i="20"/>
  <c r="N77" i="20" s="1"/>
  <c r="W78" i="20"/>
  <c r="N78" i="20" s="1"/>
  <c r="W79" i="20"/>
  <c r="N79" i="20" s="1"/>
  <c r="W80" i="20"/>
  <c r="N80" i="20" s="1"/>
  <c r="W81" i="20"/>
  <c r="N81" i="20" s="1"/>
  <c r="Z66" i="20"/>
  <c r="Z67" i="20"/>
  <c r="Z68" i="20"/>
  <c r="Z70" i="20"/>
  <c r="Z71" i="20"/>
  <c r="Z72" i="20"/>
  <c r="Z73" i="20"/>
  <c r="Z74" i="20"/>
  <c r="Z75" i="20"/>
  <c r="Z76" i="20"/>
  <c r="Z77" i="20"/>
  <c r="Z78" i="20"/>
  <c r="Z79" i="20"/>
  <c r="Z80" i="20"/>
  <c r="Z81" i="20"/>
  <c r="AA66" i="20"/>
  <c r="AA67" i="20"/>
  <c r="AA68" i="20"/>
  <c r="AA70" i="20"/>
  <c r="AA71" i="20"/>
  <c r="AA72" i="20"/>
  <c r="AA73" i="20"/>
  <c r="AA74" i="20"/>
  <c r="AA75" i="20"/>
  <c r="AA76" i="20"/>
  <c r="AA77" i="20"/>
  <c r="AA78" i="20"/>
  <c r="AA79" i="20"/>
  <c r="AA80" i="20"/>
  <c r="AA81" i="20"/>
  <c r="U31" i="20"/>
  <c r="U32" i="20"/>
  <c r="U33" i="20"/>
  <c r="U34" i="20"/>
  <c r="V31" i="20"/>
  <c r="V32" i="20"/>
  <c r="V33" i="20"/>
  <c r="V34" i="20"/>
  <c r="W31" i="20"/>
  <c r="N31" i="20" s="1"/>
  <c r="W32" i="20"/>
  <c r="N32" i="20" s="1"/>
  <c r="W33" i="20"/>
  <c r="N33" i="20" s="1"/>
  <c r="W34" i="20"/>
  <c r="N34" i="20" s="1"/>
  <c r="Z31" i="20"/>
  <c r="Z32" i="20"/>
  <c r="Z33" i="20"/>
  <c r="Z34" i="20"/>
  <c r="AA31" i="20"/>
  <c r="AA32" i="20"/>
  <c r="AA33" i="20"/>
  <c r="AA34" i="20"/>
  <c r="M82" i="20"/>
  <c r="W82" i="20" s="1"/>
  <c r="N82" i="20" s="1"/>
  <c r="M85" i="20"/>
  <c r="W85" i="20" s="1"/>
  <c r="N85" i="20" s="1"/>
  <c r="U82" i="20"/>
  <c r="U83" i="20"/>
  <c r="U84" i="20"/>
  <c r="U85" i="20"/>
  <c r="V82" i="20"/>
  <c r="V83" i="20"/>
  <c r="V84" i="20"/>
  <c r="V85" i="20"/>
  <c r="W83" i="20"/>
  <c r="N83" i="20" s="1"/>
  <c r="W84" i="20"/>
  <c r="N84" i="20" s="1"/>
  <c r="Z82" i="20"/>
  <c r="Z83" i="20"/>
  <c r="Z84" i="20"/>
  <c r="Z85" i="20"/>
  <c r="AA82" i="20"/>
  <c r="AA83" i="20"/>
  <c r="AA84" i="20"/>
  <c r="AA85" i="20"/>
  <c r="U96" i="20"/>
  <c r="V96" i="20"/>
  <c r="W96" i="20"/>
  <c r="N96" i="20" s="1"/>
  <c r="Z96" i="20"/>
  <c r="AA96" i="20"/>
  <c r="U86" i="20"/>
  <c r="U87" i="20"/>
  <c r="U88" i="20"/>
  <c r="U89" i="20"/>
  <c r="V86" i="20"/>
  <c r="V87" i="20"/>
  <c r="V88" i="20"/>
  <c r="V89" i="20"/>
  <c r="W86" i="20"/>
  <c r="N86" i="20" s="1"/>
  <c r="W87" i="20"/>
  <c r="N87" i="20" s="1"/>
  <c r="W88" i="20"/>
  <c r="N88" i="20" s="1"/>
  <c r="W89" i="20"/>
  <c r="N89" i="20" s="1"/>
  <c r="Z86" i="20"/>
  <c r="Z87" i="20"/>
  <c r="Z88" i="20"/>
  <c r="Z89" i="20"/>
  <c r="AA86" i="20"/>
  <c r="AA87" i="20"/>
  <c r="AA88" i="20"/>
  <c r="AA89" i="20"/>
  <c r="U90" i="20"/>
  <c r="U91" i="20"/>
  <c r="U92" i="20"/>
  <c r="U93" i="20"/>
  <c r="V90" i="20"/>
  <c r="V91" i="20"/>
  <c r="V92" i="20"/>
  <c r="V93" i="20"/>
  <c r="W90" i="20"/>
  <c r="N90" i="20" s="1"/>
  <c r="W91" i="20"/>
  <c r="N91" i="20" s="1"/>
  <c r="W92" i="20"/>
  <c r="N92" i="20" s="1"/>
  <c r="W93" i="20"/>
  <c r="N93" i="20" s="1"/>
  <c r="Z90" i="20"/>
  <c r="Z91" i="20"/>
  <c r="Z92" i="20"/>
  <c r="Z93" i="20"/>
  <c r="AA90" i="20"/>
  <c r="AA91" i="20"/>
  <c r="AA92" i="20"/>
  <c r="AA93" i="20"/>
  <c r="U94" i="20"/>
  <c r="U95" i="20"/>
  <c r="V94" i="20"/>
  <c r="V95" i="20"/>
  <c r="W94" i="20"/>
  <c r="N94" i="20" s="1"/>
  <c r="W95" i="20"/>
  <c r="N95" i="20" s="1"/>
  <c r="Z94" i="20"/>
  <c r="Z95" i="20"/>
  <c r="AA94" i="20"/>
  <c r="AA95" i="20"/>
  <c r="U4" i="20"/>
  <c r="V4" i="20"/>
  <c r="W4" i="20"/>
  <c r="N4" i="20" s="1"/>
  <c r="Z4" i="20"/>
  <c r="AA4" i="20"/>
  <c r="U19" i="20"/>
  <c r="U20" i="20"/>
  <c r="U21" i="20"/>
  <c r="U22" i="20"/>
  <c r="U23" i="20"/>
  <c r="V19" i="20"/>
  <c r="V20" i="20"/>
  <c r="V21" i="20"/>
  <c r="V22" i="20"/>
  <c r="V23" i="20"/>
  <c r="W19" i="20"/>
  <c r="N19" i="20" s="1"/>
  <c r="W20" i="20"/>
  <c r="N20" i="20" s="1"/>
  <c r="W21" i="20"/>
  <c r="N21" i="20" s="1"/>
  <c r="W22" i="20"/>
  <c r="N22" i="20" s="1"/>
  <c r="W23" i="20"/>
  <c r="N23" i="20" s="1"/>
  <c r="Z19" i="20"/>
  <c r="Z20" i="20"/>
  <c r="Z21" i="20"/>
  <c r="Z22" i="20"/>
  <c r="Z23" i="20"/>
  <c r="AA19" i="20"/>
  <c r="AA20" i="20"/>
  <c r="AA21" i="20"/>
  <c r="AA22" i="20"/>
  <c r="AA23" i="20"/>
  <c r="U8" i="20"/>
  <c r="U9" i="20"/>
  <c r="U10" i="20"/>
  <c r="U11" i="20"/>
  <c r="U12" i="20"/>
  <c r="U13" i="20"/>
  <c r="V8" i="20"/>
  <c r="V9" i="20"/>
  <c r="V10" i="20"/>
  <c r="V11" i="20"/>
  <c r="V12" i="20"/>
  <c r="V13" i="20"/>
  <c r="W8" i="20"/>
  <c r="N8" i="20" s="1"/>
  <c r="W9" i="20"/>
  <c r="N9" i="20" s="1"/>
  <c r="W10" i="20"/>
  <c r="N10" i="20" s="1"/>
  <c r="W11" i="20"/>
  <c r="N11" i="20" s="1"/>
  <c r="W12" i="20"/>
  <c r="N12" i="20" s="1"/>
  <c r="W13" i="20"/>
  <c r="N13" i="20" s="1"/>
  <c r="Z8" i="20"/>
  <c r="Z9" i="20"/>
  <c r="Z10" i="20"/>
  <c r="Z11" i="20"/>
  <c r="Z12" i="20"/>
  <c r="Z13" i="20"/>
  <c r="AA8" i="20"/>
  <c r="AA9" i="20"/>
  <c r="AA10" i="20"/>
  <c r="AA11" i="20"/>
  <c r="AA12" i="20"/>
  <c r="AA13" i="20"/>
  <c r="U65" i="20"/>
  <c r="V65" i="20"/>
  <c r="W65" i="20"/>
  <c r="N65" i="20" s="1"/>
  <c r="Z65" i="20"/>
  <c r="AA65" i="20"/>
  <c r="U60" i="20"/>
  <c r="U61" i="20"/>
  <c r="U62" i="20"/>
  <c r="U63" i="20"/>
  <c r="U64" i="20"/>
  <c r="V60" i="20"/>
  <c r="V61" i="20"/>
  <c r="V62" i="20"/>
  <c r="V63" i="20"/>
  <c r="V64" i="20"/>
  <c r="W60" i="20"/>
  <c r="N60" i="20" s="1"/>
  <c r="W61" i="20"/>
  <c r="N61" i="20" s="1"/>
  <c r="W62" i="20"/>
  <c r="N62" i="20" s="1"/>
  <c r="W63" i="20"/>
  <c r="N63" i="20" s="1"/>
  <c r="W64" i="20"/>
  <c r="N64" i="20" s="1"/>
  <c r="Z60" i="20"/>
  <c r="Z61" i="20"/>
  <c r="Z62" i="20"/>
  <c r="Z63" i="20"/>
  <c r="Z64" i="20"/>
  <c r="AA60" i="20"/>
  <c r="AA61" i="20"/>
  <c r="AA62" i="20"/>
  <c r="AA63" i="20"/>
  <c r="AA64" i="20"/>
  <c r="U45" i="20"/>
  <c r="U46" i="20"/>
  <c r="U47" i="20"/>
  <c r="U48" i="20"/>
  <c r="U49" i="20"/>
  <c r="U50" i="20"/>
  <c r="U51" i="20"/>
  <c r="U52" i="20"/>
  <c r="U35" i="20"/>
  <c r="U36" i="20"/>
  <c r="U37" i="20"/>
  <c r="V45" i="20"/>
  <c r="V46" i="20"/>
  <c r="V47" i="20"/>
  <c r="V48" i="20"/>
  <c r="V49" i="20"/>
  <c r="V50" i="20"/>
  <c r="V51" i="20"/>
  <c r="V52" i="20"/>
  <c r="V35" i="20"/>
  <c r="V36" i="20"/>
  <c r="V37" i="20"/>
  <c r="W45" i="20"/>
  <c r="N45" i="20" s="1"/>
  <c r="X45" i="20" s="1"/>
  <c r="W46" i="20"/>
  <c r="N46" i="20" s="1"/>
  <c r="W47" i="20"/>
  <c r="N47" i="20" s="1"/>
  <c r="W48" i="20"/>
  <c r="N48" i="20" s="1"/>
  <c r="W49" i="20"/>
  <c r="N49" i="20" s="1"/>
  <c r="W50" i="20"/>
  <c r="N50" i="20" s="1"/>
  <c r="W51" i="20"/>
  <c r="N51" i="20" s="1"/>
  <c r="X51" i="20" s="1"/>
  <c r="W52" i="20"/>
  <c r="N52" i="20" s="1"/>
  <c r="X52" i="20" s="1"/>
  <c r="W35" i="20"/>
  <c r="N35" i="20" s="1"/>
  <c r="W36" i="20"/>
  <c r="N36" i="20" s="1"/>
  <c r="X36" i="20" s="1"/>
  <c r="W37" i="20"/>
  <c r="N37" i="20" s="1"/>
  <c r="O37" i="20" s="1"/>
  <c r="Z45" i="20"/>
  <c r="Z46" i="20"/>
  <c r="Z47" i="20"/>
  <c r="Z48" i="20"/>
  <c r="Z49" i="20"/>
  <c r="Z50" i="20"/>
  <c r="Z51" i="20"/>
  <c r="Z52" i="20"/>
  <c r="Z35" i="20"/>
  <c r="Z36" i="20"/>
  <c r="Z37" i="20"/>
  <c r="AA45" i="20"/>
  <c r="AA46" i="20"/>
  <c r="AA47" i="20"/>
  <c r="AA48" i="20"/>
  <c r="AA49" i="20"/>
  <c r="AA50" i="20"/>
  <c r="AA51" i="20"/>
  <c r="AA52" i="20"/>
  <c r="AA35" i="20"/>
  <c r="AA36" i="20"/>
  <c r="AA37" i="20"/>
  <c r="U39" i="20"/>
  <c r="U40" i="20"/>
  <c r="U41" i="20"/>
  <c r="U42" i="20"/>
  <c r="U53" i="20"/>
  <c r="U54" i="20"/>
  <c r="U55" i="20"/>
  <c r="U56" i="20"/>
  <c r="U57" i="20"/>
  <c r="U58" i="20"/>
  <c r="U59" i="20"/>
  <c r="V39" i="20"/>
  <c r="V40" i="20"/>
  <c r="V41" i="20"/>
  <c r="V42" i="20"/>
  <c r="V53" i="20"/>
  <c r="V54" i="20"/>
  <c r="V55" i="20"/>
  <c r="V56" i="20"/>
  <c r="V57" i="20"/>
  <c r="V58" i="20"/>
  <c r="V59" i="20"/>
  <c r="W39" i="20"/>
  <c r="N39" i="20" s="1"/>
  <c r="X39" i="20" s="1"/>
  <c r="W40" i="20"/>
  <c r="N40" i="20" s="1"/>
  <c r="W41" i="20"/>
  <c r="N41" i="20" s="1"/>
  <c r="W42" i="20"/>
  <c r="N42" i="20" s="1"/>
  <c r="W53" i="20"/>
  <c r="N53" i="20" s="1"/>
  <c r="W54" i="20"/>
  <c r="N54" i="20" s="1"/>
  <c r="W55" i="20"/>
  <c r="N55" i="20" s="1"/>
  <c r="X55" i="20" s="1"/>
  <c r="W56" i="20"/>
  <c r="N56" i="20" s="1"/>
  <c r="O56" i="20" s="1"/>
  <c r="W57" i="20"/>
  <c r="N57" i="20" s="1"/>
  <c r="W58" i="20"/>
  <c r="N58" i="20" s="1"/>
  <c r="W59" i="20"/>
  <c r="N59" i="20" s="1"/>
  <c r="X59" i="20" s="1"/>
  <c r="Z39" i="20"/>
  <c r="Z40" i="20"/>
  <c r="Z41" i="20"/>
  <c r="Z42" i="20"/>
  <c r="Z53" i="20"/>
  <c r="Z54" i="20"/>
  <c r="Z55" i="20"/>
  <c r="Z56" i="20"/>
  <c r="Z57" i="20"/>
  <c r="Z58" i="20"/>
  <c r="Z59" i="20"/>
  <c r="AA39" i="20"/>
  <c r="AA40" i="20"/>
  <c r="AA41" i="20"/>
  <c r="AA42" i="20"/>
  <c r="AA53" i="20"/>
  <c r="AA54" i="20"/>
  <c r="AA55" i="20"/>
  <c r="AA56" i="20"/>
  <c r="AA57" i="20"/>
  <c r="AA58" i="20"/>
  <c r="AA59" i="20"/>
  <c r="U2" i="20"/>
  <c r="U3" i="20"/>
  <c r="U5" i="20"/>
  <c r="U18" i="20"/>
  <c r="U6" i="20"/>
  <c r="U7" i="20"/>
  <c r="U14" i="20"/>
  <c r="U15" i="20"/>
  <c r="U16" i="20"/>
  <c r="U17" i="20"/>
  <c r="U44" i="20"/>
  <c r="U38" i="20"/>
  <c r="V2" i="20"/>
  <c r="V3" i="20"/>
  <c r="V5" i="20"/>
  <c r="V18" i="20"/>
  <c r="V6" i="20"/>
  <c r="V7" i="20"/>
  <c r="V14" i="20"/>
  <c r="V15" i="20"/>
  <c r="V16" i="20"/>
  <c r="V17" i="20"/>
  <c r="V44" i="20"/>
  <c r="V38" i="20"/>
  <c r="W2" i="20"/>
  <c r="N2" i="20" s="1"/>
  <c r="W3" i="20"/>
  <c r="N3" i="20" s="1"/>
  <c r="W5" i="20"/>
  <c r="N5" i="20" s="1"/>
  <c r="O5" i="20" s="1"/>
  <c r="W18" i="20"/>
  <c r="N18" i="20" s="1"/>
  <c r="W6" i="20"/>
  <c r="N6" i="20" s="1"/>
  <c r="W7" i="20"/>
  <c r="N7" i="20" s="1"/>
  <c r="W14" i="20"/>
  <c r="W15" i="20"/>
  <c r="W16" i="20"/>
  <c r="N16" i="20" s="1"/>
  <c r="W17" i="20"/>
  <c r="N17" i="20" s="1"/>
  <c r="W44" i="20"/>
  <c r="N44" i="20" s="1"/>
  <c r="W38" i="20"/>
  <c r="N38" i="20" s="1"/>
  <c r="Z2" i="20"/>
  <c r="Z3" i="20"/>
  <c r="Z5" i="20"/>
  <c r="Z18" i="20"/>
  <c r="Z6" i="20"/>
  <c r="Z7" i="20"/>
  <c r="Z14" i="20"/>
  <c r="Z15" i="20"/>
  <c r="Z16" i="20"/>
  <c r="Z17" i="20"/>
  <c r="Z44" i="20"/>
  <c r="Z38" i="20"/>
  <c r="AA2" i="20"/>
  <c r="AA3" i="20"/>
  <c r="AA5" i="20"/>
  <c r="AA18" i="20"/>
  <c r="AA6" i="20"/>
  <c r="AA7" i="20"/>
  <c r="AA14" i="20"/>
  <c r="AA15" i="20"/>
  <c r="AA16" i="20"/>
  <c r="AA17" i="20"/>
  <c r="AA44" i="20"/>
  <c r="AA38" i="20"/>
  <c r="X30" i="20" l="1"/>
  <c r="O30" i="20"/>
  <c r="X29" i="20"/>
  <c r="O29" i="20"/>
  <c r="O24" i="20"/>
  <c r="X24" i="20"/>
  <c r="X27" i="20"/>
  <c r="X26" i="20"/>
  <c r="X25" i="20"/>
  <c r="O28" i="20"/>
  <c r="O43" i="20"/>
  <c r="X43" i="20"/>
  <c r="O69" i="20"/>
  <c r="X69" i="20"/>
  <c r="X81" i="20"/>
  <c r="O81" i="20"/>
  <c r="O68" i="20"/>
  <c r="X68" i="20"/>
  <c r="O78" i="20"/>
  <c r="X78" i="20"/>
  <c r="O67" i="20"/>
  <c r="X67" i="20"/>
  <c r="X79" i="20"/>
  <c r="O79" i="20"/>
  <c r="O77" i="20"/>
  <c r="X77" i="20"/>
  <c r="O72" i="20"/>
  <c r="X72" i="20"/>
  <c r="X66" i="20"/>
  <c r="O66" i="20"/>
  <c r="O76" i="20"/>
  <c r="X76" i="20"/>
  <c r="O71" i="20"/>
  <c r="X71" i="20"/>
  <c r="O80" i="20"/>
  <c r="X80" i="20"/>
  <c r="O75" i="20"/>
  <c r="X75" i="20"/>
  <c r="O74" i="20"/>
  <c r="X74" i="20"/>
  <c r="O73" i="20"/>
  <c r="X73" i="20"/>
  <c r="O70" i="20"/>
  <c r="X70" i="20"/>
  <c r="O33" i="20"/>
  <c r="X33" i="20"/>
  <c r="O32" i="20"/>
  <c r="X32" i="20"/>
  <c r="X34" i="20"/>
  <c r="O34" i="20"/>
  <c r="X31" i="20"/>
  <c r="O31" i="20"/>
  <c r="X82" i="20"/>
  <c r="O82" i="20"/>
  <c r="X85" i="20"/>
  <c r="O85" i="20"/>
  <c r="O84" i="20"/>
  <c r="X84" i="20"/>
  <c r="X83" i="20"/>
  <c r="O83" i="20"/>
  <c r="X96" i="20"/>
  <c r="O96" i="20"/>
  <c r="X87" i="20"/>
  <c r="O87" i="20"/>
  <c r="X89" i="20"/>
  <c r="O89" i="20"/>
  <c r="X88" i="20"/>
  <c r="O88" i="20"/>
  <c r="X86" i="20"/>
  <c r="O86" i="20"/>
  <c r="X93" i="20"/>
  <c r="O93" i="20"/>
  <c r="X91" i="20"/>
  <c r="O91" i="20"/>
  <c r="O92" i="20"/>
  <c r="X92" i="20"/>
  <c r="X90" i="20"/>
  <c r="O90" i="20"/>
  <c r="X95" i="20"/>
  <c r="O95" i="20"/>
  <c r="X94" i="20"/>
  <c r="O94" i="20"/>
  <c r="O4" i="20"/>
  <c r="X4" i="20"/>
  <c r="X20" i="20"/>
  <c r="O20" i="20"/>
  <c r="X19" i="20"/>
  <c r="O19" i="20"/>
  <c r="O23" i="20"/>
  <c r="X23" i="20"/>
  <c r="O22" i="20"/>
  <c r="X22" i="20"/>
  <c r="O21" i="20"/>
  <c r="X21" i="20"/>
  <c r="O13" i="20"/>
  <c r="X13" i="20"/>
  <c r="O10" i="20"/>
  <c r="X10" i="20"/>
  <c r="O9" i="20"/>
  <c r="X9" i="20"/>
  <c r="O12" i="20"/>
  <c r="X12" i="20"/>
  <c r="O11" i="20"/>
  <c r="X11" i="20"/>
  <c r="O8" i="20"/>
  <c r="X8" i="20"/>
  <c r="O63" i="20"/>
  <c r="X63" i="20"/>
  <c r="X60" i="20"/>
  <c r="O60" i="20"/>
  <c r="O65" i="20"/>
  <c r="X65" i="20"/>
  <c r="O50" i="20"/>
  <c r="X50" i="20"/>
  <c r="O64" i="20"/>
  <c r="X64" i="20"/>
  <c r="O62" i="20"/>
  <c r="X62" i="20"/>
  <c r="O61" i="20"/>
  <c r="X61" i="20"/>
  <c r="X35" i="20"/>
  <c r="O35" i="20"/>
  <c r="O48" i="20"/>
  <c r="X48" i="20"/>
  <c r="O54" i="20"/>
  <c r="X54" i="20"/>
  <c r="X46" i="20"/>
  <c r="O46" i="20"/>
  <c r="X49" i="20"/>
  <c r="O49" i="20"/>
  <c r="O47" i="20"/>
  <c r="X47" i="20"/>
  <c r="O36" i="20"/>
  <c r="X37" i="20"/>
  <c r="O51" i="20"/>
  <c r="O52" i="20"/>
  <c r="O45" i="20"/>
  <c r="O57" i="20"/>
  <c r="X57" i="20"/>
  <c r="O53" i="20"/>
  <c r="X53" i="20"/>
  <c r="O42" i="20"/>
  <c r="X42" i="20"/>
  <c r="X58" i="20"/>
  <c r="O58" i="20"/>
  <c r="O41" i="20"/>
  <c r="X41" i="20"/>
  <c r="O40" i="20"/>
  <c r="X40" i="20"/>
  <c r="O39" i="20"/>
  <c r="O59" i="20"/>
  <c r="O55" i="20"/>
  <c r="X56" i="20"/>
  <c r="X2" i="20"/>
  <c r="O2" i="20"/>
  <c r="X3" i="20"/>
  <c r="O3" i="20"/>
  <c r="X5" i="20"/>
  <c r="X18" i="20"/>
  <c r="O18" i="20"/>
  <c r="X6" i="20"/>
  <c r="O6" i="20"/>
  <c r="X7" i="20"/>
  <c r="O7" i="20"/>
  <c r="X14" i="20"/>
  <c r="O14" i="20"/>
  <c r="X15" i="20"/>
  <c r="O15" i="20"/>
  <c r="X16" i="20"/>
  <c r="O16" i="20"/>
  <c r="X17" i="20"/>
  <c r="O17" i="20"/>
  <c r="X44" i="20"/>
  <c r="O44" i="20"/>
  <c r="X38" i="20"/>
  <c r="O38" i="20"/>
  <c r="AB68" i="20" l="1"/>
  <c r="AB81" i="20"/>
  <c r="AB72" i="20"/>
  <c r="AB12" i="20"/>
  <c r="AB67" i="20"/>
  <c r="AB64" i="20"/>
  <c r="AB55" i="20"/>
  <c r="AB45" i="20"/>
  <c r="AB73" i="20"/>
  <c r="AB9" i="20"/>
  <c r="AB42" i="20"/>
  <c r="AB94" i="20"/>
  <c r="AB59" i="20"/>
  <c r="AB23" i="20"/>
  <c r="AB46" i="20"/>
  <c r="AB61" i="20"/>
  <c r="AB70" i="20"/>
  <c r="AB21" i="20"/>
  <c r="AB86" i="20"/>
  <c r="AB41" i="20"/>
  <c r="AB33" i="20"/>
  <c r="AB77" i="20"/>
  <c r="AB83" i="20"/>
  <c r="AB52" i="20"/>
  <c r="AB47" i="20"/>
  <c r="AB74" i="20"/>
  <c r="AB11" i="20"/>
  <c r="AB65" i="20"/>
  <c r="AB58" i="20"/>
  <c r="AB48" i="20"/>
  <c r="AB54" i="20"/>
  <c r="AB37" i="20"/>
  <c r="AB90" i="20"/>
  <c r="AB50" i="20"/>
  <c r="AB89" i="20"/>
  <c r="AB62" i="20"/>
  <c r="AB20" i="20"/>
  <c r="AB31" i="20"/>
  <c r="AB39" i="20"/>
  <c r="AB87" i="20"/>
  <c r="AB36" i="20"/>
  <c r="AB79" i="20"/>
  <c r="AB84" i="20"/>
  <c r="AB13" i="20"/>
  <c r="AB66" i="20"/>
  <c r="AB75" i="20"/>
  <c r="AB35" i="20"/>
  <c r="AB92" i="20"/>
  <c r="AB95" i="20"/>
  <c r="AB96" i="20"/>
  <c r="AB49" i="20"/>
  <c r="AB22" i="20"/>
  <c r="AB32" i="20"/>
  <c r="AB53" i="20"/>
  <c r="AB51" i="20"/>
  <c r="AB69" i="20"/>
  <c r="AB78" i="20"/>
  <c r="AB60" i="20"/>
  <c r="AB10" i="20"/>
  <c r="AB8" i="20"/>
  <c r="AB56" i="20"/>
  <c r="AB34" i="20"/>
  <c r="AB63" i="20"/>
  <c r="AB80" i="20"/>
  <c r="AB82" i="20"/>
  <c r="AB91" i="20"/>
  <c r="AB4" i="20"/>
  <c r="AB71" i="20"/>
  <c r="AB88" i="20"/>
  <c r="AB19" i="20"/>
  <c r="AB40" i="20"/>
  <c r="AB57" i="20"/>
  <c r="AB85" i="20"/>
  <c r="AB93" i="20"/>
  <c r="AB76" i="20"/>
  <c r="AB3" i="20"/>
  <c r="AB38" i="20"/>
  <c r="AB6" i="20"/>
  <c r="AB7" i="20"/>
  <c r="AB14" i="20"/>
  <c r="AB15" i="20"/>
  <c r="AB16" i="20"/>
  <c r="AB17" i="20"/>
  <c r="AB2" i="20"/>
  <c r="AB44" i="20"/>
  <c r="AB5" i="20"/>
  <c r="AB18" i="20"/>
</calcChain>
</file>

<file path=xl/sharedStrings.xml><?xml version="1.0" encoding="utf-8"?>
<sst xmlns="http://schemas.openxmlformats.org/spreadsheetml/2006/main" count="526" uniqueCount="189">
  <si>
    <t>Item</t>
  </si>
  <si>
    <t>Date</t>
  </si>
  <si>
    <t>Cat</t>
  </si>
  <si>
    <t>SubCat</t>
  </si>
  <si>
    <t>Entertainment</t>
  </si>
  <si>
    <t>Hospitality</t>
  </si>
  <si>
    <t>Gift</t>
  </si>
  <si>
    <t>Gifts from us</t>
  </si>
  <si>
    <t>Health</t>
  </si>
  <si>
    <t>Housing</t>
  </si>
  <si>
    <t>Maintenance</t>
  </si>
  <si>
    <t>Vehicle</t>
  </si>
  <si>
    <t>Tax</t>
  </si>
  <si>
    <t>Federal</t>
  </si>
  <si>
    <t>Gross</t>
  </si>
  <si>
    <t>State</t>
  </si>
  <si>
    <t>Dental</t>
  </si>
  <si>
    <t>Insurance</t>
  </si>
  <si>
    <t>Food</t>
  </si>
  <si>
    <t>Eat Out</t>
  </si>
  <si>
    <t>Groceries</t>
  </si>
  <si>
    <t>Utilities</t>
  </si>
  <si>
    <t>Energy</t>
  </si>
  <si>
    <t>HOA</t>
  </si>
  <si>
    <t>Wifi</t>
  </si>
  <si>
    <t>Gas</t>
  </si>
  <si>
    <t>Vision</t>
  </si>
  <si>
    <t>Family</t>
  </si>
  <si>
    <t>Parents Gift Account</t>
  </si>
  <si>
    <t>HSA</t>
  </si>
  <si>
    <t>Retirement</t>
  </si>
  <si>
    <t>401(k)</t>
  </si>
  <si>
    <t>Gifts to us</t>
  </si>
  <si>
    <t>Supplies &amp; Furnishings</t>
  </si>
  <si>
    <t>Time</t>
  </si>
  <si>
    <t>gal</t>
  </si>
  <si>
    <t>kWh</t>
  </si>
  <si>
    <t>lb</t>
  </si>
  <si>
    <t>oz</t>
  </si>
  <si>
    <t>quart</t>
  </si>
  <si>
    <t>Alight</t>
  </si>
  <si>
    <t>Amazon</t>
  </si>
  <si>
    <t>Anthem BcBs</t>
  </si>
  <si>
    <t>CO Tax Witholding</t>
  </si>
  <si>
    <t>Costco</t>
  </si>
  <si>
    <t>Delta Dental</t>
  </si>
  <si>
    <t>Dry Dock Brewing Co</t>
  </si>
  <si>
    <t>H-Mart</t>
  </si>
  <si>
    <t>Katsu Ramen</t>
  </si>
  <si>
    <t>Lowe's</t>
  </si>
  <si>
    <t>MathWorks</t>
  </si>
  <si>
    <t>O'Reilly Auto Parts</t>
  </si>
  <si>
    <t>Raytheon</t>
  </si>
  <si>
    <t>Safeway</t>
  </si>
  <si>
    <t>Tyndall Green</t>
  </si>
  <si>
    <t>US Tax Witholding</t>
  </si>
  <si>
    <t>Xcel Energy</t>
  </si>
  <si>
    <t>Xfinity</t>
  </si>
  <si>
    <t>Location</t>
  </si>
  <si>
    <t>OrderTransID_ReceiptID</t>
  </si>
  <si>
    <t>ItemID</t>
  </si>
  <si>
    <t>Qty</t>
  </si>
  <si>
    <t>Qty_units</t>
  </si>
  <si>
    <t>PriceRaw</t>
  </si>
  <si>
    <t>PriceFinal#</t>
  </si>
  <si>
    <t>PricePerOz#</t>
  </si>
  <si>
    <t>Tags</t>
  </si>
  <si>
    <t>CompletionDate</t>
  </si>
  <si>
    <t>AdditMonths</t>
  </si>
  <si>
    <t>FinalMonth#</t>
  </si>
  <si>
    <t>TaxFormat#</t>
  </si>
  <si>
    <t>PriceAdj#</t>
  </si>
  <si>
    <t>Cost/Mo#</t>
  </si>
  <si>
    <t>OverrideMo</t>
  </si>
  <si>
    <t>PurMo#</t>
  </si>
  <si>
    <t>ValidationCat#</t>
  </si>
  <si>
    <t>ValNum#</t>
  </si>
  <si>
    <t>pending</t>
  </si>
  <si>
    <t>Co retail delivery fees</t>
  </si>
  <si>
    <t>cnt</t>
  </si>
  <si>
    <t>HOA Tyndall Green November Payment</t>
  </si>
  <si>
    <t>**DISCOUNT** 1 year (expires Sep 13 2026) Discount</t>
  </si>
  <si>
    <t>**DISCOUNT** Autopay from Bank + Paperless Billing</t>
  </si>
  <si>
    <t>Taxs, fees, and other charges</t>
  </si>
  <si>
    <t>HOA Tyndall Green October Payment</t>
  </si>
  <si>
    <t>Franchise Fee 3.00%</t>
  </si>
  <si>
    <t>therms</t>
  </si>
  <si>
    <t>Sales Tax</t>
  </si>
  <si>
    <t>Avocados Fresh</t>
  </si>
  <si>
    <t>KS 5 Dozen Cage Free Grade AA Large Eggs</t>
  </si>
  <si>
    <t>Tax A 8.00%</t>
  </si>
  <si>
    <t>**DISCOUNT** Rewards and Cash Off</t>
  </si>
  <si>
    <t>401k Basic -- Traditional</t>
  </si>
  <si>
    <t>Roth 401k Basic</t>
  </si>
  <si>
    <t>Personal contribution to HSA</t>
  </si>
  <si>
    <t>Medical Insurance</t>
  </si>
  <si>
    <t>Dental Insurance</t>
  </si>
  <si>
    <t>XXXX7146</t>
  </si>
  <si>
    <t>Contribution to Parents Gift Account</t>
  </si>
  <si>
    <t>Federal Income Tax</t>
  </si>
  <si>
    <t>Social Security Tax</t>
  </si>
  <si>
    <t>CO State Income Tax</t>
  </si>
  <si>
    <t>Medicare Tax</t>
  </si>
  <si>
    <t>CO Paid Family Leave Insurance</t>
  </si>
  <si>
    <t>XXXX3523</t>
  </si>
  <si>
    <t>RTX Direct Deposit -- cancelling offset</t>
  </si>
  <si>
    <t>Gross Paycheck [Sep 27 - Oct 10] ($52.5121/hr)</t>
  </si>
  <si>
    <t>Ed(ucation) Assi(tance) Offset</t>
  </si>
  <si>
    <t>HOA Tyndall Green September Payment</t>
  </si>
  <si>
    <t>4.0-</t>
  </si>
  <si>
    <t>Tip</t>
  </si>
  <si>
    <t>Blueberries</t>
  </si>
  <si>
    <t>Korky Large 3" Complete Toilet Repair Kit</t>
  </si>
  <si>
    <t>Zelle gift to Emily Carreno for King Arthur bread flour trial</t>
  </si>
  <si>
    <t>Personal Zelle Account</t>
  </si>
  <si>
    <t>Subaru Gas 15.782 Gallons @ $1.829/gal</t>
  </si>
  <si>
    <t>600211027293</t>
  </si>
  <si>
    <t>XTS 15-005 String Insert Tire Plug Kit</t>
  </si>
  <si>
    <t>111-2300199-0927434</t>
  </si>
  <si>
    <t>Fumoto F108S Oil Drain Valve with Heavy Duty 3' Hose Kit for Fumoto S/SX Nipple</t>
  </si>
  <si>
    <t>Rewards Points</t>
  </si>
  <si>
    <t>Curly Parsley</t>
  </si>
  <si>
    <t>Dill USA/MEXICO @$14.99/lb</t>
  </si>
  <si>
    <t>Green kale USA @$1.79/bunch</t>
  </si>
  <si>
    <t>Chinese Eggplant USA/MEXICO @$1.48/lb</t>
  </si>
  <si>
    <t>Purple Potato @$2.49/lb</t>
  </si>
  <si>
    <t>Lime @$1.00/5</t>
  </si>
  <si>
    <t>Zucchini Squash USA/MEXICO @$1.28/lb</t>
  </si>
  <si>
    <t>American Cucumber USA/MEXICO @$0.58/lb</t>
  </si>
  <si>
    <t>5504260002543</t>
  </si>
  <si>
    <t>5086474510</t>
  </si>
  <si>
    <t>Bamboo Stylus Pen</t>
  </si>
  <si>
    <t>Custom semi-permanent kiss laptop sticker 4"x1.2"L</t>
  </si>
  <si>
    <t>Natural cotton canvas tote bag features a 4 3/4" gusset, vlecro closer and 25" handles. 10 1/4" W x 14" H x 4 3/4" D</t>
  </si>
  <si>
    <t>Mathworks Navy Sweatshirt Blanket</t>
  </si>
  <si>
    <t>Lunch Cooler Bag</t>
  </si>
  <si>
    <t>25 oz. water bottle w/integrated handel is made from PET and is FDA compliant and BPA free</t>
  </si>
  <si>
    <t>LADIES black district ReTee t-shirt Medium</t>
  </si>
  <si>
    <t>**GIFT** Elaine Edmonds</t>
  </si>
  <si>
    <t>439 207 112 707</t>
  </si>
  <si>
    <t>1489814</t>
  </si>
  <si>
    <t>Puma Socks</t>
  </si>
  <si>
    <t>Beef Tallow</t>
  </si>
  <si>
    <t>**DISCOUNT** /1917165 Beef Tallow</t>
  </si>
  <si>
    <t>Crumbled Feta Cheese</t>
  </si>
  <si>
    <t>Org Avocado Cups</t>
  </si>
  <si>
    <t>**DISCOUNT** /1336068 Avocado Cups</t>
  </si>
  <si>
    <t>Grapefruit 6 count</t>
  </si>
  <si>
    <t>KS Tomato Paste</t>
  </si>
  <si>
    <t>Bread Flour King Arthur</t>
  </si>
  <si>
    <t>14.99A</t>
  </si>
  <si>
    <t>3965 0106</t>
  </si>
  <si>
    <t>Lunch special: shoyu ramen, chashu bowl (Calum)</t>
  </si>
  <si>
    <t>Lunch special: tonkatsu ramen, beef bowl (David)</t>
  </si>
  <si>
    <t>Lunch special: Tonkatsu ramen, chashu bowl (Eli)</t>
  </si>
  <si>
    <t>Lunch special: spicy chicken, chashu bowl (Lydia)</t>
  </si>
  <si>
    <t>111-2579109-3435430</t>
  </si>
  <si>
    <t>KneadAce Cotton Rope Banneton Bread Proofing Basket Set, Oval &amp; Round Bread Baskets with Liners &amp; Covers for Artisan Bread Baking, Sourdough Bread Baking Supplies Sold by: KneadAce LLC</t>
  </si>
  <si>
    <t>Gift Card</t>
  </si>
  <si>
    <t>Gift Card Offset</t>
  </si>
  <si>
    <t>HOA Tyndall Green December Payment</t>
  </si>
  <si>
    <t>HOA Tyndall Green January Payment</t>
  </si>
  <si>
    <t>HOA Tyndall Green February payment</t>
  </si>
  <si>
    <t>409715433</t>
  </si>
  <si>
    <t>HOA Tyndall Green March Payment</t>
  </si>
  <si>
    <t>HOA Tyndall Green April Payment</t>
  </si>
  <si>
    <t>HOA Tyndall Green May Payment (est. dues increase)</t>
  </si>
  <si>
    <t>HOA Tyndall Green June Payment</t>
  </si>
  <si>
    <t>HOA Tyndall Green July Payment</t>
  </si>
  <si>
    <t>HOA Tyndall Green August Payment</t>
  </si>
  <si>
    <t>Electricity 11/25/25 - 12/29/25</t>
  </si>
  <si>
    <t>Natural Gas 12/01/25 - 12/31/25</t>
  </si>
  <si>
    <t>959313705_</t>
  </si>
  <si>
    <t>Internet Dec 14 - Jan 13</t>
  </si>
  <si>
    <t>RTX_Paycheck_26_01</t>
  </si>
  <si>
    <t>Net Paycheck [Dec 20 - Jan 02]</t>
  </si>
  <si>
    <t>Vision Insurance</t>
  </si>
  <si>
    <t>654415</t>
  </si>
  <si>
    <t>ORD FLIGHT: 3 oz blood orange, 3 oz LH IPA, 3 oz LP PIGGY I; 3 oz apricot 1/</t>
  </si>
  <si>
    <t>Breyers Vanilla Ice Cream</t>
  </si>
  <si>
    <t>**DISCOUNT** Ice Cream</t>
  </si>
  <si>
    <t>**DISCOUNT** Sumo citrus oranges @$1.99/lb</t>
  </si>
  <si>
    <t>Sumo Citrus oranges @$3.99/lb</t>
  </si>
  <si>
    <t>Breyers Chocolate Ice Cream</t>
  </si>
  <si>
    <t>2612 51 140 8851</t>
  </si>
  <si>
    <t>Column1</t>
  </si>
  <si>
    <t>Column2</t>
  </si>
  <si>
    <t>Column3</t>
  </si>
  <si>
    <t>Column4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</si>
</sst>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5" formatCode="&quot;$&quot;#,##0_);\(&quot;$&quot;#,##0\)"/>
    <numFmt numFmtId="164" formatCode="_([$$-409]* #,##0.00_);_([$$-409]* \(#,##0.00\);_([$$-409]* &quot;-&quot;??_);_(@_)"/>
    <numFmt numFmtId="165" formatCode="[$-F400]h:mm:ss\ AM/PM"/>
    <numFmt numFmtId="167" formatCode="_([$$-409]* #,##0.000_);_([$$-409]* \(#,##0.000\);_([$$-409]* &quot;-&quot;??_);_(@_)"/>
    <numFmt numFmtId="168" formatCode="_(&quot;$&quot;* #,##0.0000000_);_(&quot;$&quot;* \(#,##0.0000000\);_(&quot;$&quot;* &quot;-&quot;???????_);_(@_)"/>
    <numFmt numFmtId="172" formatCode="[$-409]d\-mmm;@"/>
    <numFmt numFmtId="173" formatCode="[$-409]h:mm\ AM/PM;@"/>
    <numFmt numFmtId="176" formatCode="m/d/yyyy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lightHorizontal">
        <fgColor theme="7" tint="0.39994506668294322"/>
        <bgColor theme="7" tint="0.7998901333658864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2">
    <xf numFmtId="0" fontId="0" fillId="0" borderId="0"/>
    <xf numFmtId="5" fontId="4" fillId="2" borderId="6"/>
  </cellStyleXfs>
  <cellXfs count="63">
    <xf numFmtId="0" fontId="0" fillId="0" borderId="0" xfId="0"/>
    <xf numFmtId="0" fontId="3" fillId="0" borderId="1" xfId="0" applyFont="1" applyBorder="1"/>
    <xf numFmtId="2" fontId="3" fillId="0" borderId="1" xfId="0" applyNumberFormat="1" applyFont="1" applyBorder="1"/>
    <xf numFmtId="1" fontId="3" fillId="0" borderId="1" xfId="0" applyNumberFormat="1" applyFont="1" applyBorder="1"/>
    <xf numFmtId="0" fontId="2" fillId="0" borderId="1" xfId="0" applyFont="1" applyBorder="1"/>
    <xf numFmtId="0" fontId="2" fillId="0" borderId="1" xfId="0" quotePrefix="1" applyFont="1" applyBorder="1" applyAlignment="1">
      <alignment horizontal="left"/>
    </xf>
    <xf numFmtId="14" fontId="2" fillId="0" borderId="1" xfId="0" applyNumberFormat="1" applyFont="1" applyBorder="1"/>
    <xf numFmtId="0" fontId="2" fillId="0" borderId="0" xfId="0" applyFont="1"/>
    <xf numFmtId="164" fontId="2" fillId="0" borderId="1" xfId="0" applyNumberFormat="1" applyFont="1" applyBorder="1"/>
    <xf numFmtId="168" fontId="2" fillId="0" borderId="0" xfId="0" applyNumberFormat="1" applyFont="1"/>
    <xf numFmtId="2" fontId="2" fillId="0" borderId="1" xfId="0" applyNumberFormat="1" applyFont="1" applyBorder="1"/>
    <xf numFmtId="1" fontId="2" fillId="0" borderId="1" xfId="0" applyNumberFormat="1" applyFont="1" applyBorder="1"/>
    <xf numFmtId="0" fontId="2" fillId="0" borderId="1" xfId="0" applyFont="1" applyBorder="1" applyAlignment="1">
      <alignment vertical="center"/>
    </xf>
    <xf numFmtId="1" fontId="2" fillId="0" borderId="0" xfId="0" applyNumberFormat="1" applyFont="1"/>
    <xf numFmtId="14" fontId="2" fillId="0" borderId="1" xfId="0" applyNumberFormat="1" applyFont="1" applyBorder="1" applyAlignment="1">
      <alignment vertical="center"/>
    </xf>
    <xf numFmtId="0" fontId="2" fillId="0" borderId="0" xfId="0" applyFont="1" applyAlignment="1">
      <alignment vertical="center"/>
    </xf>
    <xf numFmtId="172" fontId="2" fillId="0" borderId="1" xfId="0" applyNumberFormat="1" applyFont="1" applyBorder="1" applyAlignment="1">
      <alignment vertical="top"/>
    </xf>
    <xf numFmtId="172" fontId="2" fillId="0" borderId="4" xfId="0" applyNumberFormat="1" applyFont="1" applyBorder="1" applyAlignment="1">
      <alignment vertical="top"/>
    </xf>
    <xf numFmtId="173" fontId="2" fillId="0" borderId="0" xfId="0" applyNumberFormat="1" applyFont="1"/>
    <xf numFmtId="0" fontId="2" fillId="0" borderId="1" xfId="0" applyFont="1" applyBorder="1" applyAlignment="1">
      <alignment horizontal="left"/>
    </xf>
    <xf numFmtId="0" fontId="3" fillId="0" borderId="3" xfId="0" applyFont="1" applyBorder="1"/>
    <xf numFmtId="0" fontId="3" fillId="0" borderId="5" xfId="0" applyFont="1" applyBorder="1"/>
    <xf numFmtId="14" fontId="2" fillId="0" borderId="1" xfId="0" quotePrefix="1" applyNumberFormat="1" applyFont="1" applyBorder="1"/>
    <xf numFmtId="164" fontId="5" fillId="0" borderId="1" xfId="0" applyNumberFormat="1" applyFont="1" applyBorder="1"/>
    <xf numFmtId="168" fontId="5" fillId="0" borderId="0" xfId="0" applyNumberFormat="1" applyFont="1"/>
    <xf numFmtId="1" fontId="5" fillId="0" borderId="1" xfId="0" applyNumberFormat="1" applyFont="1" applyBorder="1"/>
    <xf numFmtId="0" fontId="5" fillId="0" borderId="1" xfId="0" applyFont="1" applyBorder="1"/>
    <xf numFmtId="0" fontId="5" fillId="0" borderId="0" xfId="0" applyFont="1"/>
    <xf numFmtId="172" fontId="5" fillId="0" borderId="1" xfId="0" applyNumberFormat="1" applyFont="1" applyBorder="1" applyAlignment="1">
      <alignment vertical="top"/>
    </xf>
    <xf numFmtId="173" fontId="5" fillId="0" borderId="0" xfId="0" applyNumberFormat="1" applyFont="1"/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left"/>
    </xf>
    <xf numFmtId="173" fontId="5" fillId="0" borderId="1" xfId="0" applyNumberFormat="1" applyFont="1" applyBorder="1" applyAlignment="1">
      <alignment vertical="top"/>
    </xf>
    <xf numFmtId="167" fontId="5" fillId="0" borderId="0" xfId="0" applyNumberFormat="1" applyFont="1"/>
    <xf numFmtId="165" fontId="5" fillId="0" borderId="1" xfId="0" applyNumberFormat="1" applyFont="1" applyBorder="1"/>
    <xf numFmtId="0" fontId="5" fillId="0" borderId="2" xfId="0" applyFont="1" applyBorder="1"/>
    <xf numFmtId="0" fontId="5" fillId="0" borderId="5" xfId="0" applyFont="1" applyBorder="1"/>
    <xf numFmtId="172" fontId="5" fillId="0" borderId="0" xfId="0" applyNumberFormat="1" applyFont="1"/>
    <xf numFmtId="164" fontId="5" fillId="0" borderId="0" xfId="0" applyNumberFormat="1" applyFont="1"/>
    <xf numFmtId="1" fontId="5" fillId="0" borderId="0" xfId="0" applyNumberFormat="1" applyFont="1"/>
    <xf numFmtId="165" fontId="2" fillId="0" borderId="1" xfId="0" applyNumberFormat="1" applyFont="1" applyBorder="1"/>
    <xf numFmtId="176" fontId="2" fillId="0" borderId="1" xfId="0" applyNumberFormat="1" applyFont="1" applyBorder="1"/>
    <xf numFmtId="176" fontId="2" fillId="0" borderId="1" xfId="0" quotePrefix="1" applyNumberFormat="1" applyFont="1" applyBorder="1"/>
    <xf numFmtId="176" fontId="2" fillId="0" borderId="1" xfId="0" applyNumberFormat="1" applyFont="1" applyBorder="1" applyAlignment="1">
      <alignment vertical="center"/>
    </xf>
    <xf numFmtId="176" fontId="2" fillId="0" borderId="1" xfId="0" quotePrefix="1" applyNumberFormat="1" applyFont="1" applyBorder="1" applyAlignment="1">
      <alignment vertical="center"/>
    </xf>
    <xf numFmtId="173" fontId="5" fillId="0" borderId="0" xfId="0" applyNumberFormat="1" applyFont="1" applyAlignment="1">
      <alignment vertical="top"/>
    </xf>
    <xf numFmtId="172" fontId="2" fillId="0" borderId="1" xfId="0" applyNumberFormat="1" applyFont="1" applyFill="1" applyBorder="1" applyAlignment="1">
      <alignment vertical="top"/>
    </xf>
    <xf numFmtId="0" fontId="2" fillId="0" borderId="1" xfId="0" applyFont="1" applyFill="1" applyBorder="1"/>
    <xf numFmtId="0" fontId="2" fillId="0" borderId="1" xfId="0" applyNumberFormat="1" applyFont="1" applyFill="1" applyBorder="1"/>
    <xf numFmtId="0" fontId="2" fillId="0" borderId="1" xfId="0" quotePrefix="1" applyFont="1" applyFill="1" applyBorder="1" applyAlignment="1">
      <alignment horizontal="left"/>
    </xf>
    <xf numFmtId="176" fontId="2" fillId="0" borderId="1" xfId="0" quotePrefix="1" applyNumberFormat="1" applyFont="1" applyFill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0" fontId="2" fillId="0" borderId="0" xfId="0" applyFont="1" applyFill="1" applyAlignment="1">
      <alignment vertical="center"/>
    </xf>
    <xf numFmtId="164" fontId="2" fillId="0" borderId="1" xfId="0" applyNumberFormat="1" applyFont="1" applyFill="1" applyBorder="1"/>
    <xf numFmtId="168" fontId="2" fillId="0" borderId="0" xfId="0" applyNumberFormat="1" applyFont="1" applyFill="1"/>
    <xf numFmtId="0" fontId="2" fillId="0" borderId="0" xfId="0" applyFont="1" applyFill="1"/>
    <xf numFmtId="1" fontId="2" fillId="0" borderId="1" xfId="0" applyNumberFormat="1" applyFont="1" applyFill="1" applyBorder="1"/>
    <xf numFmtId="2" fontId="2" fillId="0" borderId="1" xfId="0" applyNumberFormat="1" applyFont="1" applyFill="1" applyBorder="1"/>
    <xf numFmtId="0" fontId="2" fillId="0" borderId="0" xfId="0" applyNumberFormat="1" applyFont="1" applyFill="1"/>
    <xf numFmtId="173" fontId="2" fillId="0" borderId="0" xfId="0" applyNumberFormat="1" applyFont="1" applyBorder="1"/>
    <xf numFmtId="173" fontId="2" fillId="0" borderId="0" xfId="0" applyNumberFormat="1" applyFont="1" applyFill="1" applyBorder="1"/>
    <xf numFmtId="173" fontId="5" fillId="0" borderId="0" xfId="0" applyNumberFormat="1" applyFont="1" applyBorder="1" applyAlignment="1">
      <alignment vertical="top"/>
    </xf>
    <xf numFmtId="0" fontId="2" fillId="0" borderId="0" xfId="0" applyFont="1" applyBorder="1"/>
  </cellXfs>
  <cellStyles count="2">
    <cellStyle name="food" xfId="1" xr:uid="{DC0984D6-0435-4D4F-93EF-BE0C8BC4F2D2}"/>
    <cellStyle name="Normal" xfId="0" builtinId="0"/>
  </cellStyles>
  <dxfs count="47">
    <dxf>
      <font>
        <color rgb="FF9C0006"/>
      </font>
      <fill>
        <patternFill>
          <bgColor rgb="FFFFC7CE"/>
        </patternFill>
      </fill>
    </dxf>
    <dxf>
      <font>
        <color theme="2" tint="-0.499984740745262"/>
      </font>
      <fill>
        <patternFill>
          <bgColor theme="2" tint="-0.24994659260841701"/>
        </patternFill>
      </fill>
    </dxf>
    <dxf>
      <font>
        <b val="0"/>
        <i val="0"/>
      </font>
      <fill>
        <patternFill patternType="none">
          <bgColor auto="1"/>
        </patternFill>
      </fill>
    </dxf>
    <dxf>
      <font>
        <color rgb="FF006100"/>
      </font>
      <fill>
        <patternFill patternType="solid">
          <bgColor theme="9" tint="0.79998168889431442"/>
        </patternFill>
      </fill>
    </dxf>
    <dxf>
      <font>
        <color rgb="FF006100"/>
      </font>
      <fill>
        <patternFill patternType="solid">
          <bgColor rgb="FFFCF6E1"/>
        </patternFill>
      </fill>
    </dxf>
    <dxf>
      <font>
        <color rgb="FF006100"/>
      </font>
      <fill>
        <patternFill patternType="solid">
          <bgColor theme="9" tint="0.79998168889431442"/>
        </patternFill>
      </fill>
    </dxf>
    <dxf>
      <font>
        <color rgb="FF006100"/>
      </font>
      <fill>
        <patternFill patternType="solid">
          <bgColor rgb="FFFCF6E1"/>
        </patternFill>
      </fill>
    </dxf>
    <dxf>
      <font>
        <b val="0"/>
        <i/>
        <color theme="2" tint="-0.499984740745262"/>
      </font>
      <fill>
        <patternFill patternType="solid">
          <bgColor theme="0" tint="-4.9989318521683403E-2"/>
        </patternFill>
      </fill>
    </dxf>
    <dxf>
      <font>
        <b val="0"/>
        <i/>
        <color theme="9"/>
      </font>
      <fill>
        <patternFill patternType="solid">
          <bgColor theme="4" tint="0.79998168889431442"/>
        </patternFill>
      </fill>
    </dxf>
    <dxf>
      <fill>
        <patternFill>
          <bgColor theme="8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B0F0"/>
        </patternFill>
      </fill>
    </dxf>
    <dxf>
      <font>
        <b val="0"/>
        <color rgb="FF000000"/>
      </font>
      <fill>
        <patternFill patternType="none"/>
      </fill>
    </dxf>
    <dxf>
      <font>
        <b val="0"/>
        <color rgb="FF000000"/>
      </font>
      <numFmt numFmtId="0" formatCode="General"/>
      <fill>
        <patternFill patternType="none">
          <fgColor indexed="64"/>
          <bgColor theme="0" tint="-4.9989318521683403E-2"/>
        </patternFill>
      </fill>
    </dxf>
    <dxf>
      <font>
        <b val="0"/>
        <color rgb="FF000000"/>
      </font>
      <fill>
        <patternFill patternType="none">
          <fgColor indexed="64"/>
          <bgColor theme="0" tint="-4.9989318521683403E-2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color rgb="FF000000"/>
      </font>
      <numFmt numFmtId="1" formatCode="0"/>
      <fill>
        <patternFill patternType="none"/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color rgb="FF000000"/>
      </font>
      <numFmt numFmtId="164" formatCode="_([$$-409]* #,##0.00_);_([$$-409]* \(#,##0.00\);_([$$-409]* &quot;-&quot;??_);_(@_)"/>
      <fill>
        <patternFill patternType="none">
          <fgColor indexed="64"/>
          <bgColor theme="0" tint="-4.9989318521683403E-2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color rgb="FF000000"/>
      </font>
      <numFmt numFmtId="0" formatCode="General"/>
      <fill>
        <patternFill patternType="none">
          <fgColor indexed="64"/>
          <bgColor theme="0" tint="-4.9989318521683403E-2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color rgb="FF000000"/>
      </font>
      <numFmt numFmtId="2" formatCode="0.00"/>
      <fill>
        <patternFill patternType="none">
          <fgColor indexed="64"/>
          <bgColor theme="0" tint="-4.9989318521683403E-2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color rgb="FF000000"/>
      </font>
      <numFmt numFmtId="0" formatCode="General"/>
      <fill>
        <patternFill patternType="none">
          <fgColor indexed="64"/>
          <bgColor theme="0" tint="-4.9989318521683403E-2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color rgb="FF000000"/>
      </font>
      <numFmt numFmtId="1" formatCode="0"/>
      <fill>
        <patternFill patternType="none">
          <fgColor indexed="64"/>
          <bgColor rgb="FFF2F2F2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color rgb="FF000000"/>
      </font>
      <fill>
        <patternFill patternType="none">
          <fgColor indexed="64"/>
          <bgColor rgb="FFF2F2F2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theme="8"/>
          <bgColor theme="8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theme="8"/>
          <bgColor theme="8"/>
        </patternFill>
      </fill>
    </dxf>
    <dxf>
      <font>
        <b val="0"/>
        <color rgb="FF000000"/>
      </font>
      <numFmt numFmtId="168" formatCode="_(&quot;$&quot;* #,##0.0000000_);_(&quot;$&quot;* \(#,##0.0000000\);_(&quot;$&quot;* &quot;-&quot;???????_);_(@_)"/>
      <fill>
        <patternFill patternType="none">
          <fgColor indexed="64"/>
          <bgColor theme="0" tint="-4.9989318521683403E-2"/>
        </patternFill>
      </fill>
    </dxf>
    <dxf>
      <font>
        <b val="0"/>
        <color rgb="FF000000"/>
      </font>
      <numFmt numFmtId="164" formatCode="_([$$-409]* #,##0.00_);_([$$-409]* \(#,##0.00\);_([$$-409]* &quot;-&quot;??_);_(@_)"/>
      <fill>
        <patternFill patternType="none">
          <fgColor indexed="64"/>
          <bgColor theme="0" tint="-4.9989318521683403E-2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color rgb="FF000000"/>
      </font>
      <fill>
        <patternFill patternType="none"/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color rgb="FF000000"/>
      </font>
      <fill>
        <patternFill patternType="none">
          <fgColor indexed="64"/>
          <bgColor indexed="65"/>
        </patternFill>
      </fill>
    </dxf>
    <dxf>
      <font>
        <b val="0"/>
        <color rgb="FF000000"/>
      </font>
      <fill>
        <patternFill patternType="none"/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color rgb="FF000000"/>
      </font>
      <fill>
        <patternFill patternType="none"/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color rgb="FF000000"/>
      </font>
      <numFmt numFmtId="176" formatCode="m/d/yyyy"/>
      <fill>
        <patternFill patternType="none"/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color rgb="FF000000"/>
      </font>
      <fill>
        <patternFill patternType="none"/>
      </fill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color rgb="FF000000"/>
      </font>
      <numFmt numFmtId="0" formatCode="General"/>
      <fill>
        <patternFill patternType="none"/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color rgb="FF000000"/>
      </font>
      <fill>
        <patternFill patternType="none"/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color rgb="FF000000"/>
      </font>
      <fill>
        <patternFill patternType="none"/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color rgb="FF000000"/>
      </font>
      <fill>
        <patternFill patternType="none"/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color rgb="FF000000"/>
      </font>
      <fill>
        <patternFill patternType="none"/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73" formatCode="[$-409]h:mm\ AM/PM;@"/>
      <fill>
        <patternFill patternType="none"/>
      </fill>
    </dxf>
    <dxf>
      <font>
        <b val="0"/>
        <color rgb="FF000000"/>
      </font>
      <numFmt numFmtId="172" formatCode="[$-409]d\-mmm;@"/>
      <fill>
        <patternFill patternType="none"/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</border>
    </dxf>
    <dxf>
      <font>
        <b val="0"/>
        <color rgb="FF000000"/>
      </font>
      <fill>
        <patternFill patternType="none"/>
      </fill>
    </dxf>
    <dxf>
      <border outline="0">
        <bottom style="thin">
          <color auto="1"/>
        </bottom>
      </border>
    </dxf>
    <dxf>
      <font>
        <b/>
        <color rgb="FF000000"/>
      </font>
      <fill>
        <patternFill patternType="none"/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DF312EE2-0AD5-48E2-9A65-BA4EC17A9A6D}">
      <tableStyleElement type="wholeTable" dxfId="46"/>
    </tableStyle>
  </tableStyles>
  <colors>
    <mruColors>
      <color rgb="FF81D8F7"/>
      <color rgb="FFFCF6E1"/>
      <color rgb="FFD9A4DB"/>
      <color rgb="FFC69FFC"/>
      <color rgb="FFF3E0F4"/>
      <color rgb="FF400A69"/>
      <color rgb="FF84498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98C14EE-DC0C-478D-82B2-5D04BD6CADA2}" name="ItmPur2025" displayName="ItmPur2025" ref="A1:AB96" insertRowShift="1" totalsRowShown="0" headerRowDxfId="45" dataDxfId="43" headerRowBorderDxfId="44" tableBorderDxfId="42">
  <autoFilter ref="A1:AB96" xr:uid="{D98C14EE-DC0C-478D-82B2-5D04BD6CADA2}"/>
  <sortState xmlns:xlrd2="http://schemas.microsoft.com/office/spreadsheetml/2017/richdata2" ref="A2:AB96">
    <sortCondition ref="A1:A96"/>
  </sortState>
  <tableColumns count="28">
    <tableColumn id="1" xr3:uid="{7BA0EB9B-2620-4340-BBB5-3F02619380F4}" name="Date" dataDxfId="41"/>
    <tableColumn id="2" xr3:uid="{40B515D9-AC6C-41A4-8AC6-D09FD441E5FF}" name="Time" dataDxfId="40"/>
    <tableColumn id="3" xr3:uid="{31266DE8-CFCE-482B-8FB7-B52FAC382400}" name="Location" dataDxfId="39"/>
    <tableColumn id="4" xr3:uid="{E3E8DACB-726A-4DFA-A6A8-2CB4C4722FEA}" name="Column1" dataDxfId="38"/>
    <tableColumn id="5" xr3:uid="{D176BEAB-A8E4-4471-8FA1-20497D653082}" name="Column2" dataDxfId="37"/>
    <tableColumn id="6" xr3:uid="{C496093E-7570-49AD-89AE-2BFDC1FA7244}" name="Column3" dataDxfId="36"/>
    <tableColumn id="7" xr3:uid="{76E485EF-F2B2-4B81-9037-05FD0CF364E8}" name="Column4" dataDxfId="35"/>
    <tableColumn id="8" xr3:uid="{F0CFB1D2-29BB-48B6-A167-02916DAF82B2}" name="OrderTransID_ReceiptID" dataDxfId="34"/>
    <tableColumn id="9" xr3:uid="{3EF1B0F9-ACC9-49F7-BB17-491505D1E8C2}" name="ItemID" dataDxfId="33"/>
    <tableColumn id="10" xr3:uid="{EDDF70FE-2CA3-43F8-9704-72F16FDA5F02}" name="Item" dataDxfId="32"/>
    <tableColumn id="11" xr3:uid="{0C06451B-B7D0-49BE-9450-4A7E785EB09C}" name="Qty" dataDxfId="31"/>
    <tableColumn id="27" xr3:uid="{EA6CBE65-4835-414E-B8B2-FBDDCDC6E038}" name="Qty_units" dataDxfId="30"/>
    <tableColumn id="12" xr3:uid="{8930D39A-BAC4-4A3D-A37A-191225872731}" name="PriceRaw" dataDxfId="29"/>
    <tableColumn id="13" xr3:uid="{1B7FCCC7-0267-45C4-86A2-6FA430CC45B5}" name="PriceFinal#" dataDxfId="28">
      <calculatedColumnFormula>IF(ISNUMBER(SEARCH("-",ItmPur2025[[#This Row],[PriceAdj'#]])),-1*_xlfn.NUMBERVALUE(SUBSTITUTE(ItmPur2025[[#This Row],[PriceAdj'#]],"-","")),_xlfn.NUMBERVALUE(ItmPur2025[[#This Row],[PriceAdj'#]]))</calculatedColumnFormula>
    </tableColumn>
    <tableColumn id="28" xr3:uid="{1814A333-5C78-41B9-BFBC-0B930593E295}" name="PricePerOz#" dataDxfId="27">
      <calculatedColumnFormula>IFERROR(ItmPur2025[[#This Row],[PriceFinal'#]]/ItmPur2025[[#This Row],[Qty]]*LOOKUP(ItmPur2025[[#This Row],[Qty_units]],#REF!,#REF!),0)</calculatedColumnFormula>
    </tableColumn>
    <tableColumn id="14" xr3:uid="{E9F6888D-6527-4859-92C4-D0D938423FA6}" name="Cat" dataDxfId="26"/>
    <tableColumn id="15" xr3:uid="{2CB3C4B4-CC7E-4CFB-8B27-60475D83CDF1}" name="SubCat" dataDxfId="25"/>
    <tableColumn id="16" xr3:uid="{D851EE9F-0FE3-4BFF-8C4C-34AA0D21C338}" name="Tags" dataDxfId="24"/>
    <tableColumn id="19" xr3:uid="{428C2CF3-21FD-4C78-BB0F-7482C871993A}" name="CompletionDate" dataDxfId="23"/>
    <tableColumn id="20" xr3:uid="{E11A9029-2738-4E5D-8037-0E798BF6B585}" name="AdditMonths" dataDxfId="22"/>
    <tableColumn id="21" xr3:uid="{BB145FA7-56C8-4B89-B633-E28F3BC911B3}" name="FinalMonth#" dataDxfId="21">
      <calculatedColumnFormula>IF(ItmPur2025[[#This Row],[OverrideMo]],ItmPur2025[[#This Row],[OverrideMo]]+ItmPur2025[[#This Row],[AdditMonths]],MONTH(ItmPur2025[[#This Row],[Date]])+ItmPur2025[[#This Row],[AdditMonths]])</calculatedColumnFormula>
    </tableColumn>
    <tableColumn id="22" xr3:uid="{9D4D9F50-A730-4902-A222-92F1A36D024D}" name="TaxFormat#" dataDxfId="20">
      <calculatedColumnFormula>IFERROR(IF(FIND("tax",LOWER(ItmPur2025[[#This Row],[Item]])),"TAX",""),"")</calculatedColumnFormula>
    </tableColumn>
    <tableColumn id="23" xr3:uid="{D9DEA42F-779B-48CC-A290-D96F65760B93}" name="PriceAdj#" dataDxfId="19">
      <calculatedColumnFormula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calculatedColumnFormula>
    </tableColumn>
    <tableColumn id="24" xr3:uid="{39591922-97DD-4911-BE69-E1FA045C97A3}" name="Cost/Mo#" dataDxfId="18">
      <calculatedColumnFormula>IF(ItmPur2025[[#This Row],[AdditMonths]]&gt;0,ItmPur2025[[#This Row],[PriceFinal'#]]/(ItmPur2025[[#This Row],[AdditMonths]]+1),ItmPur2025[[#This Row],[PriceFinal'#]])</calculatedColumnFormula>
    </tableColumn>
    <tableColumn id="25" xr3:uid="{7EA256B7-DF24-4A6A-A07D-292382586ABA}" name="OverrideMo" dataDxfId="17"/>
    <tableColumn id="26" xr3:uid="{E99F4B75-8D49-4685-9DF1-6D27E0984708}" name="PurMo#" dataDxfId="16">
      <calculatedColumnFormula>IF(ISBLANK(ItmPur2025[[#This Row],[OverrideMo]]), MONTH(ItmPur2025[[#This Row],[Date]]), ItmPur2025[[#This Row],[OverrideMo]])</calculatedColumnFormula>
    </tableColumn>
    <tableColumn id="29" xr3:uid="{3D89AC10-14D6-4019-8209-422D38BDA352}" name="ValidationCat#" dataDxfId="15">
      <calculatedColumnFormula>_xlfn.CONCAT(ItmPur2025[[#This Row],[Cat]],ItmPur2025[[#This Row],[SubCat]])</calculatedColumnFormula>
    </tableColumn>
    <tableColumn id="17" xr3:uid="{8CEC465F-A5E3-4A93-881B-6A2F558942C2}" name="ValNum#" dataDxfId="14">
      <calculatedColumnFormula>MATCH(ItmPur2025[[#This Row],[ValidationCat'#]],#REF!,0)</calculatedColumnFormula>
    </tableColumn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A62AE-D752-473E-8919-C27F835EB014}">
  <dimension ref="A1:AB270"/>
  <sheetViews>
    <sheetView tabSelected="1" zoomScale="110" zoomScaleNormal="110" workbookViewId="0">
      <pane xSplit="3" ySplit="1" topLeftCell="D2" activePane="bottomRight" state="frozen"/>
      <selection pane="topRight"/>
      <selection pane="bottomLeft"/>
      <selection pane="bottomRight" activeCell="G1" sqref="D1:G1048576"/>
    </sheetView>
  </sheetViews>
  <sheetFormatPr baseColWidth="10" defaultColWidth="9.1640625" defaultRowHeight="15" customHeight="1" x14ac:dyDescent="0.2"/>
  <cols>
    <col min="1" max="1" width="7.33203125" bestFit="1" customWidth="1"/>
    <col min="2" max="2" width="11.83203125" bestFit="1" customWidth="1"/>
    <col min="3" max="3" width="12.6640625" customWidth="1"/>
    <col min="4" max="4" width="9.33203125" customWidth="1"/>
    <col min="5" max="5" width="9.33203125" bestFit="1" customWidth="1"/>
    <col min="6" max="6" width="11.6640625" customWidth="1"/>
    <col min="7" max="7" width="17" bestFit="1" customWidth="1"/>
    <col min="8" max="8" width="18.33203125" customWidth="1"/>
    <col min="9" max="9" width="9.6640625" bestFit="1" customWidth="1"/>
    <col min="10" max="10" width="44" customWidth="1"/>
    <col min="11" max="11" width="5.6640625" customWidth="1"/>
    <col min="12" max="12" width="9.83203125" customWidth="1"/>
    <col min="13" max="13" width="12.1640625" bestFit="1" customWidth="1"/>
    <col min="14" max="14" width="9.1640625" customWidth="1"/>
    <col min="15" max="15" width="11.33203125" customWidth="1"/>
    <col min="16" max="16" width="12.6640625" customWidth="1"/>
    <col min="17" max="17" width="18.33203125" customWidth="1"/>
    <col min="18" max="18" width="13.1640625" customWidth="1"/>
    <col min="19" max="19" width="10.1640625" customWidth="1"/>
    <col min="20" max="20" width="15" customWidth="1"/>
    <col min="21" max="21" width="9.1640625" hidden="1" customWidth="1"/>
    <col min="22" max="22" width="8" hidden="1" customWidth="1"/>
    <col min="23" max="23" width="10.1640625" hidden="1" customWidth="1"/>
    <col min="24" max="24" width="11.33203125" hidden="1" customWidth="1"/>
    <col min="25" max="25" width="14" customWidth="1"/>
    <col min="26" max="27" width="9.1640625" hidden="1" customWidth="1"/>
    <col min="28" max="28" width="10.1640625" customWidth="1"/>
    <col min="33" max="33" width="10.1640625" bestFit="1" customWidth="1"/>
  </cols>
  <sheetData>
    <row r="1" spans="1:28" s="27" customFormat="1" x14ac:dyDescent="0.2">
      <c r="A1" s="28" t="s">
        <v>1</v>
      </c>
      <c r="B1" s="32" t="s">
        <v>34</v>
      </c>
      <c r="C1" s="26" t="s">
        <v>58</v>
      </c>
      <c r="D1" s="26" t="s">
        <v>185</v>
      </c>
      <c r="E1" s="26" t="s">
        <v>186</v>
      </c>
      <c r="F1" s="26" t="s">
        <v>187</v>
      </c>
      <c r="G1" s="26" t="s">
        <v>188</v>
      </c>
      <c r="H1" s="31" t="s">
        <v>59</v>
      </c>
      <c r="I1" s="26" t="s">
        <v>60</v>
      </c>
      <c r="J1" s="30" t="s">
        <v>0</v>
      </c>
      <c r="K1" s="26" t="s">
        <v>61</v>
      </c>
      <c r="L1" s="26" t="s">
        <v>62</v>
      </c>
      <c r="M1" s="26" t="s">
        <v>63</v>
      </c>
      <c r="N1" s="23" t="s">
        <v>64</v>
      </c>
      <c r="O1" s="33" t="s">
        <v>65</v>
      </c>
      <c r="P1" s="27" t="s">
        <v>2</v>
      </c>
      <c r="Q1" s="27" t="s">
        <v>3</v>
      </c>
      <c r="R1" s="27" t="s">
        <v>66</v>
      </c>
      <c r="S1" s="34" t="s">
        <v>67</v>
      </c>
      <c r="T1" s="25" t="s">
        <v>68</v>
      </c>
      <c r="U1" s="3" t="s">
        <v>69</v>
      </c>
      <c r="V1" s="2" t="s">
        <v>70</v>
      </c>
      <c r="W1" s="1" t="s">
        <v>71</v>
      </c>
      <c r="X1" s="1" t="s">
        <v>72</v>
      </c>
      <c r="Y1" s="35" t="s">
        <v>73</v>
      </c>
      <c r="Z1" s="20" t="s">
        <v>74</v>
      </c>
      <c r="AA1" s="21" t="s">
        <v>75</v>
      </c>
      <c r="AB1" s="36" t="s">
        <v>76</v>
      </c>
    </row>
    <row r="2" spans="1:28" s="7" customFormat="1" ht="15" customHeight="1" x14ac:dyDescent="0.2">
      <c r="A2" s="16">
        <v>46023</v>
      </c>
      <c r="B2" s="45">
        <v>0.72979166666666662</v>
      </c>
      <c r="C2" s="4" t="s">
        <v>49</v>
      </c>
      <c r="D2" s="4"/>
      <c r="E2" s="4"/>
      <c r="F2" s="4"/>
      <c r="G2" s="4"/>
      <c r="H2" s="19">
        <v>138438526</v>
      </c>
      <c r="I2" s="6">
        <v>6244225</v>
      </c>
      <c r="J2" s="12" t="s">
        <v>112</v>
      </c>
      <c r="K2" s="4"/>
      <c r="M2" s="4">
        <v>31.46</v>
      </c>
      <c r="N2" s="8">
        <f>IF(ISNUMBER(SEARCH("-",ItmPur2025[[#This Row],[PriceAdj'#]])),-1*_xlfn.NUMBERVALUE(SUBSTITUTE(ItmPur2025[[#This Row],[PriceAdj'#]],"-","")),_xlfn.NUMBERVALUE(ItmPur2025[[#This Row],[PriceAdj'#]]))</f>
        <v>31.46</v>
      </c>
      <c r="O2" s="9">
        <f>IFERROR(ItmPur2025[[#This Row],[PriceFinal'#]]/ItmPur2025[[#This Row],[Qty]]*LOOKUP(ItmPur2025[[#This Row],[Qty_units]],#REF!,#REF!),0)</f>
        <v>0</v>
      </c>
      <c r="P2" s="7" t="s">
        <v>9</v>
      </c>
      <c r="Q2" s="7" t="s">
        <v>10</v>
      </c>
      <c r="S2" s="40"/>
      <c r="T2" s="11"/>
      <c r="U2" s="4">
        <f>IF(ItmPur2025[[#This Row],[OverrideMo]],ItmPur2025[[#This Row],[OverrideMo]]+ItmPur2025[[#This Row],[AdditMonths]],MONTH(ItmPur2025[[#This Row],[Date]])+ItmPur2025[[#This Row],[AdditMonths]])</f>
        <v>1</v>
      </c>
      <c r="V2" s="10" t="str">
        <f>IFERROR(IF(FIND("tax",LOWER(ItmPur2025[[#This Row],[Item]])),"TAX",""),"")</f>
        <v/>
      </c>
      <c r="W2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31.46</v>
      </c>
      <c r="X2" s="8">
        <f>IF(ItmPur2025[[#This Row],[AdditMonths]]&gt;0,ItmPur2025[[#This Row],[PriceFinal'#]]/(ItmPur2025[[#This Row],[AdditMonths]]+1),ItmPur2025[[#This Row],[PriceFinal'#]])</f>
        <v>31.46</v>
      </c>
      <c r="Y2" s="11"/>
      <c r="Z2" s="4">
        <f>IF(ISBLANK(ItmPur2025[[#This Row],[OverrideMo]]), MONTH(ItmPur2025[[#This Row],[Date]]), ItmPur2025[[#This Row],[OverrideMo]])</f>
        <v>1</v>
      </c>
      <c r="AA2" s="7" t="str">
        <f>_xlfn.CONCAT(ItmPur2025[[#This Row],[Cat]],ItmPur2025[[#This Row],[SubCat]])</f>
        <v>HousingMaintenance</v>
      </c>
      <c r="AB2" s="7" t="e">
        <f>MATCH(ItmPur2025[[#This Row],[ValidationCat'#]],#REF!,0)</f>
        <v>#REF!</v>
      </c>
    </row>
    <row r="3" spans="1:28" s="7" customFormat="1" ht="15" customHeight="1" x14ac:dyDescent="0.2">
      <c r="A3" s="16">
        <v>46023</v>
      </c>
      <c r="B3" s="45">
        <v>0.72979166666666662</v>
      </c>
      <c r="C3" s="4" t="s">
        <v>49</v>
      </c>
      <c r="D3" s="4"/>
      <c r="E3" s="4"/>
      <c r="F3" s="4"/>
      <c r="G3" s="4"/>
      <c r="H3" s="19">
        <v>138438526</v>
      </c>
      <c r="I3" s="6"/>
      <c r="J3" s="12" t="s">
        <v>87</v>
      </c>
      <c r="K3" s="4"/>
      <c r="M3" s="4">
        <v>2.52</v>
      </c>
      <c r="N3" s="8">
        <f>IF(ISNUMBER(SEARCH("-",ItmPur2025[[#This Row],[PriceAdj'#]])),-1*_xlfn.NUMBERVALUE(SUBSTITUTE(ItmPur2025[[#This Row],[PriceAdj'#]],"-","")),_xlfn.NUMBERVALUE(ItmPur2025[[#This Row],[PriceAdj'#]]))</f>
        <v>2.52</v>
      </c>
      <c r="O3" s="9">
        <f>IFERROR(ItmPur2025[[#This Row],[PriceFinal'#]]/ItmPur2025[[#This Row],[Qty]]*LOOKUP(ItmPur2025[[#This Row],[Qty_units]],#REF!,#REF!),0)</f>
        <v>0</v>
      </c>
      <c r="P3" s="7" t="s">
        <v>9</v>
      </c>
      <c r="Q3" s="7" t="s">
        <v>10</v>
      </c>
      <c r="S3" s="40"/>
      <c r="T3" s="11"/>
      <c r="U3" s="4">
        <f>IF(ItmPur2025[[#This Row],[OverrideMo]],ItmPur2025[[#This Row],[OverrideMo]]+ItmPur2025[[#This Row],[AdditMonths]],MONTH(ItmPur2025[[#This Row],[Date]])+ItmPur2025[[#This Row],[AdditMonths]])</f>
        <v>1</v>
      </c>
      <c r="V3" s="10" t="str">
        <f>IFERROR(IF(FIND("tax",LOWER(ItmPur2025[[#This Row],[Item]])),"TAX",""),"")</f>
        <v>TAX</v>
      </c>
      <c r="W3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2.52</v>
      </c>
      <c r="X3" s="8">
        <f>IF(ItmPur2025[[#This Row],[AdditMonths]]&gt;0,ItmPur2025[[#This Row],[PriceFinal'#]]/(ItmPur2025[[#This Row],[AdditMonths]]+1),ItmPur2025[[#This Row],[PriceFinal'#]])</f>
        <v>2.52</v>
      </c>
      <c r="Y3" s="11"/>
      <c r="Z3" s="4">
        <f>IF(ISBLANK(ItmPur2025[[#This Row],[OverrideMo]]), MONTH(ItmPur2025[[#This Row],[Date]]), ItmPur2025[[#This Row],[OverrideMo]])</f>
        <v>1</v>
      </c>
      <c r="AA3" s="7" t="str">
        <f>_xlfn.CONCAT(ItmPur2025[[#This Row],[Cat]],ItmPur2025[[#This Row],[SubCat]])</f>
        <v>HousingMaintenance</v>
      </c>
      <c r="AB3" s="7" t="e">
        <f>MATCH(ItmPur2025[[#This Row],[ValidationCat'#]],#REF!,0)</f>
        <v>#REF!</v>
      </c>
    </row>
    <row r="4" spans="1:28" s="7" customFormat="1" ht="15" customHeight="1" x14ac:dyDescent="0.2">
      <c r="A4" s="16">
        <v>46023</v>
      </c>
      <c r="B4" s="18">
        <v>0.62708333333333333</v>
      </c>
      <c r="C4" s="4" t="s">
        <v>54</v>
      </c>
      <c r="D4" s="4"/>
      <c r="E4" s="4"/>
      <c r="F4" s="4"/>
      <c r="G4" s="4"/>
      <c r="H4" s="5" t="s">
        <v>163</v>
      </c>
      <c r="I4" s="43"/>
      <c r="J4" s="12" t="s">
        <v>161</v>
      </c>
      <c r="K4" s="12"/>
      <c r="L4" s="15"/>
      <c r="M4" s="12">
        <v>331.12</v>
      </c>
      <c r="N4" s="8">
        <f>IF(ISNUMBER(SEARCH("-",ItmPur2025[[#This Row],[PriceAdj'#]])),-1*_xlfn.NUMBERVALUE(SUBSTITUTE(ItmPur2025[[#This Row],[PriceAdj'#]],"-","")),_xlfn.NUMBERVALUE(ItmPur2025[[#This Row],[PriceAdj'#]]))</f>
        <v>331.12</v>
      </c>
      <c r="O4" s="9">
        <f>IFERROR(ItmPur2025[[#This Row],[PriceFinal'#]]/ItmPur2025[[#This Row],[Qty]]*LOOKUP(ItmPur2025[[#This Row],[Qty_units]],#REF!,#REF!),0)</f>
        <v>0</v>
      </c>
      <c r="P4" s="7" t="s">
        <v>21</v>
      </c>
      <c r="Q4" s="7" t="s">
        <v>23</v>
      </c>
      <c r="S4" s="4"/>
      <c r="T4" s="11"/>
      <c r="U4" s="4">
        <f>IF(ItmPur2025[[#This Row],[OverrideMo]],ItmPur2025[[#This Row],[OverrideMo]]+ItmPur2025[[#This Row],[AdditMonths]],MONTH(ItmPur2025[[#This Row],[Date]])+ItmPur2025[[#This Row],[AdditMonths]])</f>
        <v>1</v>
      </c>
      <c r="V4" s="10" t="str">
        <f>IFERROR(IF(FIND("tax",LOWER(ItmPur2025[[#This Row],[Item]])),"TAX",""),"")</f>
        <v/>
      </c>
      <c r="W4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331.12</v>
      </c>
      <c r="X4" s="8">
        <f>IF(ItmPur2025[[#This Row],[AdditMonths]]&gt;0,ItmPur2025[[#This Row],[PriceFinal'#]]/(ItmPur2025[[#This Row],[AdditMonths]]+1),ItmPur2025[[#This Row],[PriceFinal'#]])</f>
        <v>331.12</v>
      </c>
      <c r="Y4" s="11"/>
      <c r="Z4" s="4">
        <f>IF(ISBLANK(ItmPur2025[[#This Row],[OverrideMo]]), MONTH(ItmPur2025[[#This Row],[Date]]), ItmPur2025[[#This Row],[OverrideMo]])</f>
        <v>1</v>
      </c>
      <c r="AA4" s="7" t="str">
        <f>_xlfn.CONCAT(ItmPur2025[[#This Row],[Cat]],ItmPur2025[[#This Row],[SubCat]])</f>
        <v>UtilitiesHOA</v>
      </c>
      <c r="AB4" s="7" t="e">
        <f>MATCH(ItmPur2025[[#This Row],[ValidationCat'#]],#REF!,0)</f>
        <v>#REF!</v>
      </c>
    </row>
    <row r="5" spans="1:28" s="7" customFormat="1" ht="15" customHeight="1" x14ac:dyDescent="0.2">
      <c r="A5" s="16">
        <v>46024</v>
      </c>
      <c r="B5" s="45">
        <v>0.78194444444444444</v>
      </c>
      <c r="C5" s="4" t="s">
        <v>44</v>
      </c>
      <c r="D5" s="4"/>
      <c r="E5" s="4"/>
      <c r="F5" s="4"/>
      <c r="G5" s="4"/>
      <c r="H5" s="5" t="s">
        <v>116</v>
      </c>
      <c r="I5" s="6"/>
      <c r="J5" s="12" t="s">
        <v>115</v>
      </c>
      <c r="K5" s="4">
        <v>15.782</v>
      </c>
      <c r="L5" s="7" t="s">
        <v>35</v>
      </c>
      <c r="M5" s="4">
        <v>28.87</v>
      </c>
      <c r="N5" s="8">
        <f>IF(ISNUMBER(SEARCH("-",ItmPur2025[[#This Row],[PriceAdj'#]])),-1*_xlfn.NUMBERVALUE(SUBSTITUTE(ItmPur2025[[#This Row],[PriceAdj'#]],"-","")),_xlfn.NUMBERVALUE(ItmPur2025[[#This Row],[PriceAdj'#]]))</f>
        <v>28.87</v>
      </c>
      <c r="O5" s="9">
        <f>IFERROR(ItmPur2025[[#This Row],[PriceFinal'#]]/ItmPur2025[[#This Row],[Qty]]*LOOKUP(ItmPur2025[[#This Row],[Qty_units]],#REF!,#REF!),0)</f>
        <v>0</v>
      </c>
      <c r="P5" s="7" t="s">
        <v>11</v>
      </c>
      <c r="Q5" s="7" t="s">
        <v>25</v>
      </c>
      <c r="S5" s="40"/>
      <c r="T5" s="11"/>
      <c r="U5" s="4">
        <f>IF(ItmPur2025[[#This Row],[OverrideMo]],ItmPur2025[[#This Row],[OverrideMo]]+ItmPur2025[[#This Row],[AdditMonths]],MONTH(ItmPur2025[[#This Row],[Date]])+ItmPur2025[[#This Row],[AdditMonths]])</f>
        <v>1</v>
      </c>
      <c r="V5" s="10" t="str">
        <f>IFERROR(IF(FIND("tax",LOWER(ItmPur2025[[#This Row],[Item]])),"TAX",""),"")</f>
        <v/>
      </c>
      <c r="W5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28.87</v>
      </c>
      <c r="X5" s="8">
        <f>IF(ItmPur2025[[#This Row],[AdditMonths]]&gt;0,ItmPur2025[[#This Row],[PriceFinal'#]]/(ItmPur2025[[#This Row],[AdditMonths]]+1),ItmPur2025[[#This Row],[PriceFinal'#]])</f>
        <v>28.87</v>
      </c>
      <c r="Y5" s="11"/>
      <c r="Z5" s="4">
        <f>IF(ISBLANK(ItmPur2025[[#This Row],[OverrideMo]]), MONTH(ItmPur2025[[#This Row],[Date]]), ItmPur2025[[#This Row],[OverrideMo]])</f>
        <v>1</v>
      </c>
      <c r="AA5" s="7" t="str">
        <f>_xlfn.CONCAT(ItmPur2025[[#This Row],[Cat]],ItmPur2025[[#This Row],[SubCat]])</f>
        <v>VehicleGas</v>
      </c>
      <c r="AB5" s="7" t="e">
        <f>MATCH(ItmPur2025[[#This Row],[ValidationCat'#]],#REF!,0)</f>
        <v>#REF!</v>
      </c>
    </row>
    <row r="6" spans="1:28" s="7" customFormat="1" ht="15" customHeight="1" x14ac:dyDescent="0.2">
      <c r="A6" s="16">
        <v>46024</v>
      </c>
      <c r="B6" s="45">
        <v>0.72430555555555554</v>
      </c>
      <c r="C6" s="4" t="s">
        <v>51</v>
      </c>
      <c r="D6" s="4"/>
      <c r="E6" s="4"/>
      <c r="F6" s="4"/>
      <c r="G6" s="4"/>
      <c r="H6" s="19">
        <v>26981313132</v>
      </c>
      <c r="I6" s="6"/>
      <c r="J6" s="12" t="s">
        <v>117</v>
      </c>
      <c r="K6" s="4"/>
      <c r="M6" s="4">
        <v>9.99</v>
      </c>
      <c r="N6" s="8">
        <f>IF(ISNUMBER(SEARCH("-",ItmPur2025[[#This Row],[PriceAdj'#]])),-1*_xlfn.NUMBERVALUE(SUBSTITUTE(ItmPur2025[[#This Row],[PriceAdj'#]],"-","")),_xlfn.NUMBERVALUE(ItmPur2025[[#This Row],[PriceAdj'#]]))</f>
        <v>9.99</v>
      </c>
      <c r="O6" s="9">
        <f>IFERROR(ItmPur2025[[#This Row],[PriceFinal'#]]/ItmPur2025[[#This Row],[Qty]]*LOOKUP(ItmPur2025[[#This Row],[Qty_units]],#REF!,#REF!),0)</f>
        <v>0</v>
      </c>
      <c r="P6" s="7" t="s">
        <v>11</v>
      </c>
      <c r="Q6" s="7" t="s">
        <v>10</v>
      </c>
      <c r="S6" s="40"/>
      <c r="T6" s="11"/>
      <c r="U6" s="4">
        <f>IF(ItmPur2025[[#This Row],[OverrideMo]],ItmPur2025[[#This Row],[OverrideMo]]+ItmPur2025[[#This Row],[AdditMonths]],MONTH(ItmPur2025[[#This Row],[Date]])+ItmPur2025[[#This Row],[AdditMonths]])</f>
        <v>1</v>
      </c>
      <c r="V6" s="10" t="str">
        <f>IFERROR(IF(FIND("tax",LOWER(ItmPur2025[[#This Row],[Item]])),"TAX",""),"")</f>
        <v/>
      </c>
      <c r="W6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9.99</v>
      </c>
      <c r="X6" s="8">
        <f>IF(ItmPur2025[[#This Row],[AdditMonths]]&gt;0,ItmPur2025[[#This Row],[PriceFinal'#]]/(ItmPur2025[[#This Row],[AdditMonths]]+1),ItmPur2025[[#This Row],[PriceFinal'#]])</f>
        <v>9.99</v>
      </c>
      <c r="Y6" s="11"/>
      <c r="Z6" s="4">
        <f>IF(ISBLANK(ItmPur2025[[#This Row],[OverrideMo]]), MONTH(ItmPur2025[[#This Row],[Date]]), ItmPur2025[[#This Row],[OverrideMo]])</f>
        <v>1</v>
      </c>
      <c r="AA6" s="7" t="str">
        <f>_xlfn.CONCAT(ItmPur2025[[#This Row],[Cat]],ItmPur2025[[#This Row],[SubCat]])</f>
        <v>VehicleMaintenance</v>
      </c>
      <c r="AB6" s="7" t="e">
        <f>MATCH(ItmPur2025[[#This Row],[ValidationCat'#]],#REF!,0)</f>
        <v>#REF!</v>
      </c>
    </row>
    <row r="7" spans="1:28" s="7" customFormat="1" ht="15" customHeight="1" x14ac:dyDescent="0.2">
      <c r="A7" s="16">
        <v>46024</v>
      </c>
      <c r="B7" s="45">
        <v>0.72430555555555554</v>
      </c>
      <c r="C7" s="4" t="s">
        <v>51</v>
      </c>
      <c r="D7" s="4"/>
      <c r="E7" s="4"/>
      <c r="F7" s="4"/>
      <c r="G7" s="4"/>
      <c r="H7" s="19">
        <v>26981313132</v>
      </c>
      <c r="I7" s="6"/>
      <c r="J7" s="12" t="s">
        <v>87</v>
      </c>
      <c r="K7" s="4"/>
      <c r="M7" s="4">
        <v>0.8</v>
      </c>
      <c r="N7" s="8">
        <f>IF(ISNUMBER(SEARCH("-",ItmPur2025[[#This Row],[PriceAdj'#]])),-1*_xlfn.NUMBERVALUE(SUBSTITUTE(ItmPur2025[[#This Row],[PriceAdj'#]],"-","")),_xlfn.NUMBERVALUE(ItmPur2025[[#This Row],[PriceAdj'#]]))</f>
        <v>0.8</v>
      </c>
      <c r="O7" s="9">
        <f>IFERROR(ItmPur2025[[#This Row],[PriceFinal'#]]/ItmPur2025[[#This Row],[Qty]]*LOOKUP(ItmPur2025[[#This Row],[Qty_units]],#REF!,#REF!),0)</f>
        <v>0</v>
      </c>
      <c r="P7" s="7" t="s">
        <v>11</v>
      </c>
      <c r="Q7" s="7" t="s">
        <v>10</v>
      </c>
      <c r="S7" s="40"/>
      <c r="T7" s="11"/>
      <c r="U7" s="4">
        <f>IF(ItmPur2025[[#This Row],[OverrideMo]],ItmPur2025[[#This Row],[OverrideMo]]+ItmPur2025[[#This Row],[AdditMonths]],MONTH(ItmPur2025[[#This Row],[Date]])+ItmPur2025[[#This Row],[AdditMonths]])</f>
        <v>1</v>
      </c>
      <c r="V7" s="10" t="str">
        <f>IFERROR(IF(FIND("tax",LOWER(ItmPur2025[[#This Row],[Item]])),"TAX",""),"")</f>
        <v>TAX</v>
      </c>
      <c r="W7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0.8</v>
      </c>
      <c r="X7" s="8">
        <f>IF(ItmPur2025[[#This Row],[AdditMonths]]&gt;0,ItmPur2025[[#This Row],[PriceFinal'#]]/(ItmPur2025[[#This Row],[AdditMonths]]+1),ItmPur2025[[#This Row],[PriceFinal'#]])</f>
        <v>0.8</v>
      </c>
      <c r="Y7" s="11"/>
      <c r="Z7" s="4">
        <f>IF(ISBLANK(ItmPur2025[[#This Row],[OverrideMo]]), MONTH(ItmPur2025[[#This Row],[Date]]), ItmPur2025[[#This Row],[OverrideMo]])</f>
        <v>1</v>
      </c>
      <c r="AA7" s="7" t="str">
        <f>_xlfn.CONCAT(ItmPur2025[[#This Row],[Cat]],ItmPur2025[[#This Row],[SubCat]])</f>
        <v>VehicleMaintenance</v>
      </c>
      <c r="AB7" s="7" t="e">
        <f>MATCH(ItmPur2025[[#This Row],[ValidationCat'#]],#REF!,0)</f>
        <v>#REF!</v>
      </c>
    </row>
    <row r="8" spans="1:28" s="7" customFormat="1" ht="15" customHeight="1" x14ac:dyDescent="0.2">
      <c r="A8" s="16">
        <v>46025</v>
      </c>
      <c r="B8" s="61">
        <v>0.59141203703703704</v>
      </c>
      <c r="C8" s="4" t="s">
        <v>48</v>
      </c>
      <c r="D8" s="4"/>
      <c r="E8" s="4"/>
      <c r="F8" s="4"/>
      <c r="G8" s="4"/>
      <c r="H8" s="5" t="s">
        <v>151</v>
      </c>
      <c r="I8" s="41"/>
      <c r="J8" s="12" t="s">
        <v>155</v>
      </c>
      <c r="K8" s="4"/>
      <c r="M8" s="4">
        <v>20.95</v>
      </c>
      <c r="N8" s="8">
        <f>IF(ISNUMBER(SEARCH("-",ItmPur2025[[#This Row],[PriceAdj'#]])),-1*_xlfn.NUMBERVALUE(SUBSTITUTE(ItmPur2025[[#This Row],[PriceAdj'#]],"-","")),_xlfn.NUMBERVALUE(ItmPur2025[[#This Row],[PriceAdj'#]]))</f>
        <v>20.95</v>
      </c>
      <c r="O8" s="9">
        <f>IFERROR(ItmPur2025[[#This Row],[PriceFinal'#]]/ItmPur2025[[#This Row],[Qty]]*LOOKUP(ItmPur2025[[#This Row],[Qty_units]],#REF!,#REF!),0)</f>
        <v>0</v>
      </c>
      <c r="P8" s="7" t="s">
        <v>18</v>
      </c>
      <c r="Q8" s="7" t="s">
        <v>19</v>
      </c>
      <c r="S8" s="40"/>
      <c r="T8" s="11"/>
      <c r="U8" s="4">
        <f>IF(ItmPur2025[[#This Row],[OverrideMo]],ItmPur2025[[#This Row],[OverrideMo]]+ItmPur2025[[#This Row],[AdditMonths]],MONTH(ItmPur2025[[#This Row],[Date]])+ItmPur2025[[#This Row],[AdditMonths]])</f>
        <v>1</v>
      </c>
      <c r="V8" s="10" t="str">
        <f>IFERROR(IF(FIND("tax",LOWER(ItmPur2025[[#This Row],[Item]])),"TAX",""),"")</f>
        <v/>
      </c>
      <c r="W8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20.95</v>
      </c>
      <c r="X8" s="8">
        <f>IF(ItmPur2025[[#This Row],[AdditMonths]]&gt;0,ItmPur2025[[#This Row],[PriceFinal'#]]/(ItmPur2025[[#This Row],[AdditMonths]]+1),ItmPur2025[[#This Row],[PriceFinal'#]])</f>
        <v>20.95</v>
      </c>
      <c r="Y8" s="11"/>
      <c r="Z8" s="4">
        <f>IF(ISBLANK(ItmPur2025[[#This Row],[OverrideMo]]), MONTH(ItmPur2025[[#This Row],[Date]]), ItmPur2025[[#This Row],[OverrideMo]])</f>
        <v>1</v>
      </c>
      <c r="AA8" s="7" t="str">
        <f>_xlfn.CONCAT(ItmPur2025[[#This Row],[Cat]],ItmPur2025[[#This Row],[SubCat]])</f>
        <v>FoodEat Out</v>
      </c>
      <c r="AB8" s="7" t="e">
        <f>MATCH(ItmPur2025[[#This Row],[ValidationCat'#]],#REF!,0)</f>
        <v>#REF!</v>
      </c>
    </row>
    <row r="9" spans="1:28" s="7" customFormat="1" ht="15" customHeight="1" x14ac:dyDescent="0.2">
      <c r="A9" s="16">
        <v>46025</v>
      </c>
      <c r="B9" s="61">
        <v>0.59141203703703704</v>
      </c>
      <c r="C9" s="4" t="s">
        <v>48</v>
      </c>
      <c r="D9" s="4"/>
      <c r="E9" s="4"/>
      <c r="F9" s="4"/>
      <c r="G9" s="4"/>
      <c r="H9" s="5" t="s">
        <v>151</v>
      </c>
      <c r="I9" s="41"/>
      <c r="J9" s="12" t="s">
        <v>152</v>
      </c>
      <c r="K9" s="4"/>
      <c r="M9" s="4">
        <v>20.95</v>
      </c>
      <c r="N9" s="8">
        <f>IF(ISNUMBER(SEARCH("-",ItmPur2025[[#This Row],[PriceAdj'#]])),-1*_xlfn.NUMBERVALUE(SUBSTITUTE(ItmPur2025[[#This Row],[PriceAdj'#]],"-","")),_xlfn.NUMBERVALUE(ItmPur2025[[#This Row],[PriceAdj'#]]))</f>
        <v>20.95</v>
      </c>
      <c r="O9" s="9">
        <f>IFERROR(ItmPur2025[[#This Row],[PriceFinal'#]]/ItmPur2025[[#This Row],[Qty]]*LOOKUP(ItmPur2025[[#This Row],[Qty_units]],#REF!,#REF!),0)</f>
        <v>0</v>
      </c>
      <c r="P9" s="7" t="s">
        <v>4</v>
      </c>
      <c r="Q9" s="7" t="s">
        <v>5</v>
      </c>
      <c r="S9" s="40"/>
      <c r="T9" s="11"/>
      <c r="U9" s="4">
        <f>IF(ItmPur2025[[#This Row],[OverrideMo]],ItmPur2025[[#This Row],[OverrideMo]]+ItmPur2025[[#This Row],[AdditMonths]],MONTH(ItmPur2025[[#This Row],[Date]])+ItmPur2025[[#This Row],[AdditMonths]])</f>
        <v>1</v>
      </c>
      <c r="V9" s="10" t="str">
        <f>IFERROR(IF(FIND("tax",LOWER(ItmPur2025[[#This Row],[Item]])),"TAX",""),"")</f>
        <v/>
      </c>
      <c r="W9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20.95</v>
      </c>
      <c r="X9" s="8">
        <f>IF(ItmPur2025[[#This Row],[AdditMonths]]&gt;0,ItmPur2025[[#This Row],[PriceFinal'#]]/(ItmPur2025[[#This Row],[AdditMonths]]+1),ItmPur2025[[#This Row],[PriceFinal'#]])</f>
        <v>20.95</v>
      </c>
      <c r="Y9" s="11"/>
      <c r="Z9" s="4">
        <f>IF(ISBLANK(ItmPur2025[[#This Row],[OverrideMo]]), MONTH(ItmPur2025[[#This Row],[Date]]), ItmPur2025[[#This Row],[OverrideMo]])</f>
        <v>1</v>
      </c>
      <c r="AA9" s="7" t="str">
        <f>_xlfn.CONCAT(ItmPur2025[[#This Row],[Cat]],ItmPur2025[[#This Row],[SubCat]])</f>
        <v>EntertainmentHospitality</v>
      </c>
      <c r="AB9" s="7" t="e">
        <f>MATCH(ItmPur2025[[#This Row],[ValidationCat'#]],#REF!,0)</f>
        <v>#REF!</v>
      </c>
    </row>
    <row r="10" spans="1:28" s="7" customFormat="1" ht="15" customHeight="1" x14ac:dyDescent="0.2">
      <c r="A10" s="16">
        <v>46025</v>
      </c>
      <c r="B10" s="61">
        <v>0.59141203703703704</v>
      </c>
      <c r="C10" s="4" t="s">
        <v>48</v>
      </c>
      <c r="D10" s="4"/>
      <c r="E10" s="4"/>
      <c r="F10" s="4"/>
      <c r="G10" s="4"/>
      <c r="H10" s="5" t="s">
        <v>151</v>
      </c>
      <c r="I10" s="41"/>
      <c r="J10" s="12" t="s">
        <v>153</v>
      </c>
      <c r="K10" s="4"/>
      <c r="M10" s="4">
        <v>20.95</v>
      </c>
      <c r="N10" s="8">
        <f>IF(ISNUMBER(SEARCH("-",ItmPur2025[[#This Row],[PriceAdj'#]])),-1*_xlfn.NUMBERVALUE(SUBSTITUTE(ItmPur2025[[#This Row],[PriceAdj'#]],"-","")),_xlfn.NUMBERVALUE(ItmPur2025[[#This Row],[PriceAdj'#]]))</f>
        <v>20.95</v>
      </c>
      <c r="O10" s="9">
        <f>IFERROR(ItmPur2025[[#This Row],[PriceFinal'#]]/ItmPur2025[[#This Row],[Qty]]*LOOKUP(ItmPur2025[[#This Row],[Qty_units]],#REF!,#REF!),0)</f>
        <v>0</v>
      </c>
      <c r="P10" s="7" t="s">
        <v>4</v>
      </c>
      <c r="Q10" s="7" t="s">
        <v>5</v>
      </c>
      <c r="S10" s="40"/>
      <c r="T10" s="11"/>
      <c r="U10" s="4">
        <f>IF(ItmPur2025[[#This Row],[OverrideMo]],ItmPur2025[[#This Row],[OverrideMo]]+ItmPur2025[[#This Row],[AdditMonths]],MONTH(ItmPur2025[[#This Row],[Date]])+ItmPur2025[[#This Row],[AdditMonths]])</f>
        <v>1</v>
      </c>
      <c r="V10" s="10" t="str">
        <f>IFERROR(IF(FIND("tax",LOWER(ItmPur2025[[#This Row],[Item]])),"TAX",""),"")</f>
        <v/>
      </c>
      <c r="W10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20.95</v>
      </c>
      <c r="X10" s="8">
        <f>IF(ItmPur2025[[#This Row],[AdditMonths]]&gt;0,ItmPur2025[[#This Row],[PriceFinal'#]]/(ItmPur2025[[#This Row],[AdditMonths]]+1),ItmPur2025[[#This Row],[PriceFinal'#]])</f>
        <v>20.95</v>
      </c>
      <c r="Y10" s="11"/>
      <c r="Z10" s="4">
        <f>IF(ISBLANK(ItmPur2025[[#This Row],[OverrideMo]]), MONTH(ItmPur2025[[#This Row],[Date]]), ItmPur2025[[#This Row],[OverrideMo]])</f>
        <v>1</v>
      </c>
      <c r="AA10" s="7" t="str">
        <f>_xlfn.CONCAT(ItmPur2025[[#This Row],[Cat]],ItmPur2025[[#This Row],[SubCat]])</f>
        <v>EntertainmentHospitality</v>
      </c>
      <c r="AB10" s="7" t="e">
        <f>MATCH(ItmPur2025[[#This Row],[ValidationCat'#]],#REF!,0)</f>
        <v>#REF!</v>
      </c>
    </row>
    <row r="11" spans="1:28" s="7" customFormat="1" ht="15" customHeight="1" x14ac:dyDescent="0.2">
      <c r="A11" s="16">
        <v>46025</v>
      </c>
      <c r="B11" s="61">
        <v>0.59141203703703704</v>
      </c>
      <c r="C11" s="4" t="s">
        <v>48</v>
      </c>
      <c r="D11" s="4"/>
      <c r="E11" s="4"/>
      <c r="F11" s="4"/>
      <c r="G11" s="4"/>
      <c r="H11" s="5" t="s">
        <v>151</v>
      </c>
      <c r="I11" s="41"/>
      <c r="J11" s="12" t="s">
        <v>154</v>
      </c>
      <c r="K11" s="4"/>
      <c r="M11" s="4">
        <v>20.95</v>
      </c>
      <c r="N11" s="8">
        <f>IF(ISNUMBER(SEARCH("-",ItmPur2025[[#This Row],[PriceAdj'#]])),-1*_xlfn.NUMBERVALUE(SUBSTITUTE(ItmPur2025[[#This Row],[PriceAdj'#]],"-","")),_xlfn.NUMBERVALUE(ItmPur2025[[#This Row],[PriceAdj'#]]))</f>
        <v>20.95</v>
      </c>
      <c r="O11" s="9">
        <f>IFERROR(ItmPur2025[[#This Row],[PriceFinal'#]]/ItmPur2025[[#This Row],[Qty]]*LOOKUP(ItmPur2025[[#This Row],[Qty_units]],#REF!,#REF!),0)</f>
        <v>0</v>
      </c>
      <c r="P11" s="7" t="s">
        <v>18</v>
      </c>
      <c r="Q11" s="7" t="s">
        <v>19</v>
      </c>
      <c r="S11" s="40"/>
      <c r="T11" s="11"/>
      <c r="U11" s="4">
        <f>IF(ItmPur2025[[#This Row],[OverrideMo]],ItmPur2025[[#This Row],[OverrideMo]]+ItmPur2025[[#This Row],[AdditMonths]],MONTH(ItmPur2025[[#This Row],[Date]])+ItmPur2025[[#This Row],[AdditMonths]])</f>
        <v>1</v>
      </c>
      <c r="V11" s="10" t="str">
        <f>IFERROR(IF(FIND("tax",LOWER(ItmPur2025[[#This Row],[Item]])),"TAX",""),"")</f>
        <v/>
      </c>
      <c r="W11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20.95</v>
      </c>
      <c r="X11" s="8">
        <f>IF(ItmPur2025[[#This Row],[AdditMonths]]&gt;0,ItmPur2025[[#This Row],[PriceFinal'#]]/(ItmPur2025[[#This Row],[AdditMonths]]+1),ItmPur2025[[#This Row],[PriceFinal'#]])</f>
        <v>20.95</v>
      </c>
      <c r="Y11" s="11"/>
      <c r="Z11" s="4">
        <f>IF(ISBLANK(ItmPur2025[[#This Row],[OverrideMo]]), MONTH(ItmPur2025[[#This Row],[Date]]), ItmPur2025[[#This Row],[OverrideMo]])</f>
        <v>1</v>
      </c>
      <c r="AA11" s="7" t="str">
        <f>_xlfn.CONCAT(ItmPur2025[[#This Row],[Cat]],ItmPur2025[[#This Row],[SubCat]])</f>
        <v>FoodEat Out</v>
      </c>
      <c r="AB11" s="7" t="e">
        <f>MATCH(ItmPur2025[[#This Row],[ValidationCat'#]],#REF!,0)</f>
        <v>#REF!</v>
      </c>
    </row>
    <row r="12" spans="1:28" s="7" customFormat="1" ht="15" customHeight="1" x14ac:dyDescent="0.2">
      <c r="A12" s="16">
        <v>46025</v>
      </c>
      <c r="B12" s="61">
        <v>0.59141203703703704</v>
      </c>
      <c r="C12" s="4" t="s">
        <v>48</v>
      </c>
      <c r="D12" s="4"/>
      <c r="E12" s="4"/>
      <c r="F12" s="4"/>
      <c r="G12" s="4"/>
      <c r="H12" s="5" t="s">
        <v>151</v>
      </c>
      <c r="I12" s="41"/>
      <c r="J12" s="12" t="s">
        <v>12</v>
      </c>
      <c r="K12" s="4"/>
      <c r="M12" s="4">
        <v>9.51</v>
      </c>
      <c r="N12" s="8">
        <f>IF(ISNUMBER(SEARCH("-",ItmPur2025[[#This Row],[PriceAdj'#]])),-1*_xlfn.NUMBERVALUE(SUBSTITUTE(ItmPur2025[[#This Row],[PriceAdj'#]],"-","")),_xlfn.NUMBERVALUE(ItmPur2025[[#This Row],[PriceAdj'#]]))</f>
        <v>9.51</v>
      </c>
      <c r="O12" s="9">
        <f>IFERROR(ItmPur2025[[#This Row],[PriceFinal'#]]/ItmPur2025[[#This Row],[Qty]]*LOOKUP(ItmPur2025[[#This Row],[Qty_units]],#REF!,#REF!),0)</f>
        <v>0</v>
      </c>
      <c r="P12" s="7" t="s">
        <v>18</v>
      </c>
      <c r="Q12" s="7" t="s">
        <v>19</v>
      </c>
      <c r="S12" s="40"/>
      <c r="T12" s="11"/>
      <c r="U12" s="4">
        <f>IF(ItmPur2025[[#This Row],[OverrideMo]],ItmPur2025[[#This Row],[OverrideMo]]+ItmPur2025[[#This Row],[AdditMonths]],MONTH(ItmPur2025[[#This Row],[Date]])+ItmPur2025[[#This Row],[AdditMonths]])</f>
        <v>1</v>
      </c>
      <c r="V12" s="10" t="str">
        <f>IFERROR(IF(FIND("tax",LOWER(ItmPur2025[[#This Row],[Item]])),"TAX",""),"")</f>
        <v>TAX</v>
      </c>
      <c r="W12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9.51</v>
      </c>
      <c r="X12" s="8">
        <f>IF(ItmPur2025[[#This Row],[AdditMonths]]&gt;0,ItmPur2025[[#This Row],[PriceFinal'#]]/(ItmPur2025[[#This Row],[AdditMonths]]+1),ItmPur2025[[#This Row],[PriceFinal'#]])</f>
        <v>9.51</v>
      </c>
      <c r="Y12" s="11"/>
      <c r="Z12" s="4">
        <f>IF(ISBLANK(ItmPur2025[[#This Row],[OverrideMo]]), MONTH(ItmPur2025[[#This Row],[Date]]), ItmPur2025[[#This Row],[OverrideMo]])</f>
        <v>1</v>
      </c>
      <c r="AA12" s="7" t="str">
        <f>_xlfn.CONCAT(ItmPur2025[[#This Row],[Cat]],ItmPur2025[[#This Row],[SubCat]])</f>
        <v>FoodEat Out</v>
      </c>
      <c r="AB12" s="7" t="e">
        <f>MATCH(ItmPur2025[[#This Row],[ValidationCat'#]],#REF!,0)</f>
        <v>#REF!</v>
      </c>
    </row>
    <row r="13" spans="1:28" s="7" customFormat="1" ht="15" customHeight="1" x14ac:dyDescent="0.2">
      <c r="A13" s="16">
        <v>46025</v>
      </c>
      <c r="B13" s="61">
        <v>0.59141203703703704</v>
      </c>
      <c r="C13" s="4" t="s">
        <v>48</v>
      </c>
      <c r="D13" s="4"/>
      <c r="E13" s="4"/>
      <c r="F13" s="4"/>
      <c r="G13" s="4"/>
      <c r="H13" s="5" t="s">
        <v>151</v>
      </c>
      <c r="I13" s="41"/>
      <c r="J13" s="12" t="s">
        <v>110</v>
      </c>
      <c r="K13" s="4"/>
      <c r="M13" s="4">
        <v>7.69</v>
      </c>
      <c r="N13" s="8">
        <f>IF(ISNUMBER(SEARCH("-",ItmPur2025[[#This Row],[PriceAdj'#]])),-1*_xlfn.NUMBERVALUE(SUBSTITUTE(ItmPur2025[[#This Row],[PriceAdj'#]],"-","")),_xlfn.NUMBERVALUE(ItmPur2025[[#This Row],[PriceAdj'#]]))</f>
        <v>7.69</v>
      </c>
      <c r="O13" s="9">
        <f>IFERROR(ItmPur2025[[#This Row],[PriceFinal'#]]/ItmPur2025[[#This Row],[Qty]]*LOOKUP(ItmPur2025[[#This Row],[Qty_units]],#REF!,#REF!),0)</f>
        <v>0</v>
      </c>
      <c r="P13" s="7" t="s">
        <v>18</v>
      </c>
      <c r="Q13" s="7" t="s">
        <v>19</v>
      </c>
      <c r="S13" s="40"/>
      <c r="T13" s="11"/>
      <c r="U13" s="4">
        <f>IF(ItmPur2025[[#This Row],[OverrideMo]],ItmPur2025[[#This Row],[OverrideMo]]+ItmPur2025[[#This Row],[AdditMonths]],MONTH(ItmPur2025[[#This Row],[Date]])+ItmPur2025[[#This Row],[AdditMonths]])</f>
        <v>1</v>
      </c>
      <c r="V13" s="10" t="str">
        <f>IFERROR(IF(FIND("tax",LOWER(ItmPur2025[[#This Row],[Item]])),"TAX",""),"")</f>
        <v/>
      </c>
      <c r="W13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7.69</v>
      </c>
      <c r="X13" s="8">
        <f>IF(ItmPur2025[[#This Row],[AdditMonths]]&gt;0,ItmPur2025[[#This Row],[PriceFinal'#]]/(ItmPur2025[[#This Row],[AdditMonths]]+1),ItmPur2025[[#This Row],[PriceFinal'#]])</f>
        <v>7.69</v>
      </c>
      <c r="Y13" s="11"/>
      <c r="Z13" s="4">
        <f>IF(ISBLANK(ItmPur2025[[#This Row],[OverrideMo]]), MONTH(ItmPur2025[[#This Row],[Date]]), ItmPur2025[[#This Row],[OverrideMo]])</f>
        <v>1</v>
      </c>
      <c r="AA13" s="7" t="str">
        <f>_xlfn.CONCAT(ItmPur2025[[#This Row],[Cat]],ItmPur2025[[#This Row],[SubCat]])</f>
        <v>FoodEat Out</v>
      </c>
      <c r="AB13" s="7" t="e">
        <f>MATCH(ItmPur2025[[#This Row],[ValidationCat'#]],#REF!,0)</f>
        <v>#REF!</v>
      </c>
    </row>
    <row r="14" spans="1:28" s="7" customFormat="1" ht="15" customHeight="1" x14ac:dyDescent="0.2">
      <c r="A14" s="16">
        <v>46025</v>
      </c>
      <c r="B14" s="61">
        <v>0.5229166666666667</v>
      </c>
      <c r="C14" s="4" t="s">
        <v>41</v>
      </c>
      <c r="D14" s="4"/>
      <c r="E14" s="4"/>
      <c r="F14" s="4"/>
      <c r="G14" s="4"/>
      <c r="H14" s="19" t="s">
        <v>118</v>
      </c>
      <c r="I14" s="6"/>
      <c r="J14" s="12" t="s">
        <v>119</v>
      </c>
      <c r="K14" s="4"/>
      <c r="M14" s="4"/>
      <c r="N14" s="8">
        <v>43.75</v>
      </c>
      <c r="O14" s="9">
        <f>IFERROR(ItmPur2025[[#This Row],[PriceFinal'#]]/ItmPur2025[[#This Row],[Qty]]*LOOKUP(ItmPur2025[[#This Row],[Qty_units]],#REF!,#REF!),0)</f>
        <v>0</v>
      </c>
      <c r="P14" s="7" t="s">
        <v>11</v>
      </c>
      <c r="Q14" s="7" t="s">
        <v>10</v>
      </c>
      <c r="S14" s="40"/>
      <c r="T14" s="11"/>
      <c r="U14" s="4">
        <f>IF(ItmPur2025[[#This Row],[OverrideMo]],ItmPur2025[[#This Row],[OverrideMo]]+ItmPur2025[[#This Row],[AdditMonths]],MONTH(ItmPur2025[[#This Row],[Date]])+ItmPur2025[[#This Row],[AdditMonths]])</f>
        <v>1</v>
      </c>
      <c r="V14" s="10" t="str">
        <f>IFERROR(IF(FIND("tax",LOWER(ItmPur2025[[#This Row],[Item]])),"TAX",""),"")</f>
        <v/>
      </c>
      <c r="W14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/>
      </c>
      <c r="X14" s="8">
        <f>IF(ItmPur2025[[#This Row],[AdditMonths]]&gt;0,ItmPur2025[[#This Row],[PriceFinal'#]]/(ItmPur2025[[#This Row],[AdditMonths]]+1),ItmPur2025[[#This Row],[PriceFinal'#]])</f>
        <v>43.75</v>
      </c>
      <c r="Y14" s="11"/>
      <c r="Z14" s="4">
        <f>IF(ISBLANK(ItmPur2025[[#This Row],[OverrideMo]]), MONTH(ItmPur2025[[#This Row],[Date]]), ItmPur2025[[#This Row],[OverrideMo]])</f>
        <v>1</v>
      </c>
      <c r="AA14" s="7" t="str">
        <f>_xlfn.CONCAT(ItmPur2025[[#This Row],[Cat]],ItmPur2025[[#This Row],[SubCat]])</f>
        <v>VehicleMaintenance</v>
      </c>
      <c r="AB14" s="7" t="e">
        <f>MATCH(ItmPur2025[[#This Row],[ValidationCat'#]],#REF!,0)</f>
        <v>#REF!</v>
      </c>
    </row>
    <row r="15" spans="1:28" s="7" customFormat="1" ht="15" customHeight="1" x14ac:dyDescent="0.2">
      <c r="A15" s="16">
        <v>46025</v>
      </c>
      <c r="B15" s="61">
        <v>0.5229166666666667</v>
      </c>
      <c r="C15" s="4" t="s">
        <v>41</v>
      </c>
      <c r="D15" s="4"/>
      <c r="E15" s="4"/>
      <c r="F15" s="4"/>
      <c r="G15" s="4"/>
      <c r="H15" s="19" t="s">
        <v>118</v>
      </c>
      <c r="I15" s="6"/>
      <c r="J15" s="12" t="s">
        <v>120</v>
      </c>
      <c r="K15" s="4"/>
      <c r="M15" s="4"/>
      <c r="N15" s="8">
        <v>16.29</v>
      </c>
      <c r="O15" s="9">
        <f>IFERROR(ItmPur2025[[#This Row],[PriceFinal'#]]/ItmPur2025[[#This Row],[Qty]]*LOOKUP(ItmPur2025[[#This Row],[Qty_units]],#REF!,#REF!),0)</f>
        <v>0</v>
      </c>
      <c r="P15" s="7" t="s">
        <v>11</v>
      </c>
      <c r="Q15" s="7" t="s">
        <v>10</v>
      </c>
      <c r="S15" s="40"/>
      <c r="T15" s="11"/>
      <c r="U15" s="4">
        <f>IF(ItmPur2025[[#This Row],[OverrideMo]],ItmPur2025[[#This Row],[OverrideMo]]+ItmPur2025[[#This Row],[AdditMonths]],MONTH(ItmPur2025[[#This Row],[Date]])+ItmPur2025[[#This Row],[AdditMonths]])</f>
        <v>1</v>
      </c>
      <c r="V15" s="10" t="str">
        <f>IFERROR(IF(FIND("tax",LOWER(ItmPur2025[[#This Row],[Item]])),"TAX",""),"")</f>
        <v/>
      </c>
      <c r="W15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/>
      </c>
      <c r="X15" s="8">
        <f>IF(ItmPur2025[[#This Row],[AdditMonths]]&gt;0,ItmPur2025[[#This Row],[PriceFinal'#]]/(ItmPur2025[[#This Row],[AdditMonths]]+1),ItmPur2025[[#This Row],[PriceFinal'#]])</f>
        <v>16.29</v>
      </c>
      <c r="Y15" s="11"/>
      <c r="Z15" s="4">
        <f>IF(ISBLANK(ItmPur2025[[#This Row],[OverrideMo]]), MONTH(ItmPur2025[[#This Row],[Date]]), ItmPur2025[[#This Row],[OverrideMo]])</f>
        <v>1</v>
      </c>
      <c r="AA15" s="7" t="str">
        <f>_xlfn.CONCAT(ItmPur2025[[#This Row],[Cat]],ItmPur2025[[#This Row],[SubCat]])</f>
        <v>VehicleMaintenance</v>
      </c>
      <c r="AB15" s="7" t="e">
        <f>MATCH(ItmPur2025[[#This Row],[ValidationCat'#]],#REF!,0)</f>
        <v>#REF!</v>
      </c>
    </row>
    <row r="16" spans="1:28" s="7" customFormat="1" ht="15" customHeight="1" x14ac:dyDescent="0.2">
      <c r="A16" s="16">
        <v>46025</v>
      </c>
      <c r="B16" s="61">
        <v>0.5229166666666667</v>
      </c>
      <c r="C16" s="4" t="s">
        <v>41</v>
      </c>
      <c r="D16" s="4"/>
      <c r="E16" s="4"/>
      <c r="F16" s="4"/>
      <c r="G16" s="4"/>
      <c r="H16" s="19" t="s">
        <v>118</v>
      </c>
      <c r="I16" s="6"/>
      <c r="J16" s="12" t="s">
        <v>87</v>
      </c>
      <c r="K16" s="4"/>
      <c r="M16" s="4">
        <v>3.5</v>
      </c>
      <c r="N16" s="8">
        <f>IF(ISNUMBER(SEARCH("-",ItmPur2025[[#This Row],[PriceAdj'#]])),-1*_xlfn.NUMBERVALUE(SUBSTITUTE(ItmPur2025[[#This Row],[PriceAdj'#]],"-","")),_xlfn.NUMBERVALUE(ItmPur2025[[#This Row],[PriceAdj'#]]))</f>
        <v>3.5</v>
      </c>
      <c r="O16" s="9">
        <f>IFERROR(ItmPur2025[[#This Row],[PriceFinal'#]]/ItmPur2025[[#This Row],[Qty]]*LOOKUP(ItmPur2025[[#This Row],[Qty_units]],#REF!,#REF!),0)</f>
        <v>0</v>
      </c>
      <c r="P16" s="7" t="s">
        <v>11</v>
      </c>
      <c r="Q16" s="7" t="s">
        <v>10</v>
      </c>
      <c r="S16" s="40"/>
      <c r="T16" s="11"/>
      <c r="U16" s="4">
        <f>IF(ItmPur2025[[#This Row],[OverrideMo]],ItmPur2025[[#This Row],[OverrideMo]]+ItmPur2025[[#This Row],[AdditMonths]],MONTH(ItmPur2025[[#This Row],[Date]])+ItmPur2025[[#This Row],[AdditMonths]])</f>
        <v>1</v>
      </c>
      <c r="V16" s="10" t="str">
        <f>IFERROR(IF(FIND("tax",LOWER(ItmPur2025[[#This Row],[Item]])),"TAX",""),"")</f>
        <v>TAX</v>
      </c>
      <c r="W16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3.5</v>
      </c>
      <c r="X16" s="8">
        <f>IF(ItmPur2025[[#This Row],[AdditMonths]]&gt;0,ItmPur2025[[#This Row],[PriceFinal'#]]/(ItmPur2025[[#This Row],[AdditMonths]]+1),ItmPur2025[[#This Row],[PriceFinal'#]])</f>
        <v>3.5</v>
      </c>
      <c r="Y16" s="11"/>
      <c r="Z16" s="4">
        <f>IF(ISBLANK(ItmPur2025[[#This Row],[OverrideMo]]), MONTH(ItmPur2025[[#This Row],[Date]]), ItmPur2025[[#This Row],[OverrideMo]])</f>
        <v>1</v>
      </c>
      <c r="AA16" s="7" t="str">
        <f>_xlfn.CONCAT(ItmPur2025[[#This Row],[Cat]],ItmPur2025[[#This Row],[SubCat]])</f>
        <v>VehicleMaintenance</v>
      </c>
      <c r="AB16" s="7" t="e">
        <f>MATCH(ItmPur2025[[#This Row],[ValidationCat'#]],#REF!,0)</f>
        <v>#REF!</v>
      </c>
    </row>
    <row r="17" spans="1:28" s="7" customFormat="1" ht="15" customHeight="1" x14ac:dyDescent="0.2">
      <c r="A17" s="16">
        <v>46025</v>
      </c>
      <c r="B17" s="61">
        <v>0.5229166666666667</v>
      </c>
      <c r="C17" s="4" t="s">
        <v>41</v>
      </c>
      <c r="D17" s="4"/>
      <c r="E17" s="4"/>
      <c r="F17" s="4"/>
      <c r="G17" s="4"/>
      <c r="H17" s="19" t="s">
        <v>118</v>
      </c>
      <c r="I17" s="6"/>
      <c r="J17" s="12" t="s">
        <v>78</v>
      </c>
      <c r="K17" s="4"/>
      <c r="M17" s="4">
        <v>0.28000000000000003</v>
      </c>
      <c r="N17" s="8">
        <f>IF(ISNUMBER(SEARCH("-",ItmPur2025[[#This Row],[PriceAdj'#]])),-1*_xlfn.NUMBERVALUE(SUBSTITUTE(ItmPur2025[[#This Row],[PriceAdj'#]],"-","")),_xlfn.NUMBERVALUE(ItmPur2025[[#This Row],[PriceAdj'#]]))</f>
        <v>0.28000000000000003</v>
      </c>
      <c r="O17" s="9">
        <f>IFERROR(ItmPur2025[[#This Row],[PriceFinal'#]]/ItmPur2025[[#This Row],[Qty]]*LOOKUP(ItmPur2025[[#This Row],[Qty_units]],#REF!,#REF!),0)</f>
        <v>0</v>
      </c>
      <c r="P17" s="7" t="s">
        <v>11</v>
      </c>
      <c r="Q17" s="7" t="s">
        <v>10</v>
      </c>
      <c r="S17" s="40"/>
      <c r="T17" s="11"/>
      <c r="U17" s="4">
        <f>IF(ItmPur2025[[#This Row],[OverrideMo]],ItmPur2025[[#This Row],[OverrideMo]]+ItmPur2025[[#This Row],[AdditMonths]],MONTH(ItmPur2025[[#This Row],[Date]])+ItmPur2025[[#This Row],[AdditMonths]])</f>
        <v>1</v>
      </c>
      <c r="V17" s="10" t="str">
        <f>IFERROR(IF(FIND("tax",LOWER(ItmPur2025[[#This Row],[Item]])),"TAX",""),"")</f>
        <v/>
      </c>
      <c r="W17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0.28</v>
      </c>
      <c r="X17" s="8">
        <f>IF(ItmPur2025[[#This Row],[AdditMonths]]&gt;0,ItmPur2025[[#This Row],[PriceFinal'#]]/(ItmPur2025[[#This Row],[AdditMonths]]+1),ItmPur2025[[#This Row],[PriceFinal'#]])</f>
        <v>0.28000000000000003</v>
      </c>
      <c r="Y17" s="11"/>
      <c r="Z17" s="4">
        <f>IF(ISBLANK(ItmPur2025[[#This Row],[OverrideMo]]), MONTH(ItmPur2025[[#This Row],[Date]]), ItmPur2025[[#This Row],[OverrideMo]])</f>
        <v>1</v>
      </c>
      <c r="AA17" s="7" t="str">
        <f>_xlfn.CONCAT(ItmPur2025[[#This Row],[Cat]],ItmPur2025[[#This Row],[SubCat]])</f>
        <v>VehicleMaintenance</v>
      </c>
      <c r="AB17" s="7" t="e">
        <f>MATCH(ItmPur2025[[#This Row],[ValidationCat'#]],#REF!,0)</f>
        <v>#REF!</v>
      </c>
    </row>
    <row r="18" spans="1:28" s="7" customFormat="1" ht="15" customHeight="1" x14ac:dyDescent="0.2">
      <c r="A18" s="16">
        <v>46025</v>
      </c>
      <c r="B18" s="61">
        <v>0.46875</v>
      </c>
      <c r="C18" s="4" t="s">
        <v>114</v>
      </c>
      <c r="D18" s="4"/>
      <c r="E18" s="4"/>
      <c r="F18" s="4"/>
      <c r="G18" s="4"/>
      <c r="H18" s="19">
        <v>4745793354</v>
      </c>
      <c r="I18" s="6"/>
      <c r="J18" s="12" t="s">
        <v>113</v>
      </c>
      <c r="K18" s="4"/>
      <c r="L18" s="62"/>
      <c r="M18" s="4">
        <v>14.4</v>
      </c>
      <c r="N18" s="8">
        <f>IF(ISNUMBER(SEARCH("-",ItmPur2025[[#This Row],[PriceAdj'#]])),-1*_xlfn.NUMBERVALUE(SUBSTITUTE(ItmPur2025[[#This Row],[PriceAdj'#]],"-","")),_xlfn.NUMBERVALUE(ItmPur2025[[#This Row],[PriceAdj'#]]))</f>
        <v>14.4</v>
      </c>
      <c r="O18" s="9">
        <f>IFERROR(ItmPur2025[[#This Row],[PriceFinal'#]]/ItmPur2025[[#This Row],[Qty]]*LOOKUP(ItmPur2025[[#This Row],[Qty_units]],#REF!,#REF!),0)</f>
        <v>0</v>
      </c>
      <c r="P18" s="62" t="s">
        <v>6</v>
      </c>
      <c r="Q18" s="62" t="s">
        <v>7</v>
      </c>
      <c r="R18" s="62"/>
      <c r="S18" s="40"/>
      <c r="T18" s="11"/>
      <c r="U18" s="4">
        <f>IF(ItmPur2025[[#This Row],[OverrideMo]],ItmPur2025[[#This Row],[OverrideMo]]+ItmPur2025[[#This Row],[AdditMonths]],MONTH(ItmPur2025[[#This Row],[Date]])+ItmPur2025[[#This Row],[AdditMonths]])</f>
        <v>1</v>
      </c>
      <c r="V18" s="10" t="str">
        <f>IFERROR(IF(FIND("tax",LOWER(ItmPur2025[[#This Row],[Item]])),"TAX",""),"")</f>
        <v/>
      </c>
      <c r="W18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14.4</v>
      </c>
      <c r="X18" s="8">
        <f>IF(ItmPur2025[[#This Row],[AdditMonths]]&gt;0,ItmPur2025[[#This Row],[PriceFinal'#]]/(ItmPur2025[[#This Row],[AdditMonths]]+1),ItmPur2025[[#This Row],[PriceFinal'#]])</f>
        <v>14.4</v>
      </c>
      <c r="Y18" s="11"/>
      <c r="Z18" s="4">
        <f>IF(ISBLANK(ItmPur2025[[#This Row],[OverrideMo]]), MONTH(ItmPur2025[[#This Row],[Date]]), ItmPur2025[[#This Row],[OverrideMo]])</f>
        <v>1</v>
      </c>
      <c r="AA18" s="7" t="str">
        <f>_xlfn.CONCAT(ItmPur2025[[#This Row],[Cat]],ItmPur2025[[#This Row],[SubCat]])</f>
        <v>GiftGifts from us</v>
      </c>
      <c r="AB18" s="7" t="e">
        <f>MATCH(ItmPur2025[[#This Row],[ValidationCat'#]],#REF!,0)</f>
        <v>#REF!</v>
      </c>
    </row>
    <row r="19" spans="1:28" s="7" customFormat="1" ht="15" customHeight="1" x14ac:dyDescent="0.2">
      <c r="A19" s="16">
        <v>46025</v>
      </c>
      <c r="B19" s="61">
        <v>0.35972222222222222</v>
      </c>
      <c r="C19" s="4" t="s">
        <v>41</v>
      </c>
      <c r="D19" s="4"/>
      <c r="E19" s="4"/>
      <c r="F19" s="4"/>
      <c r="G19" s="4"/>
      <c r="H19" s="5" t="s">
        <v>156</v>
      </c>
      <c r="I19" s="41"/>
      <c r="J19" s="12" t="s">
        <v>157</v>
      </c>
      <c r="K19" s="4">
        <v>2</v>
      </c>
      <c r="L19" s="62" t="s">
        <v>79</v>
      </c>
      <c r="M19" s="4">
        <v>29.98</v>
      </c>
      <c r="N19" s="8">
        <f>IF(ISNUMBER(SEARCH("-",ItmPur2025[[#This Row],[PriceAdj'#]])),-1*_xlfn.NUMBERVALUE(SUBSTITUTE(ItmPur2025[[#This Row],[PriceAdj'#]],"-","")),_xlfn.NUMBERVALUE(ItmPur2025[[#This Row],[PriceAdj'#]]))</f>
        <v>29.98</v>
      </c>
      <c r="O19" s="9">
        <f>IFERROR(ItmPur2025[[#This Row],[PriceFinal'#]]/ItmPur2025[[#This Row],[Qty]]*LOOKUP(ItmPur2025[[#This Row],[Qty_units]],#REF!,#REF!),0)</f>
        <v>0</v>
      </c>
      <c r="P19" s="62" t="s">
        <v>9</v>
      </c>
      <c r="Q19" s="62" t="s">
        <v>33</v>
      </c>
      <c r="R19" s="62"/>
      <c r="S19" s="40"/>
      <c r="T19" s="11"/>
      <c r="U19" s="4">
        <f>IF(ItmPur2025[[#This Row],[OverrideMo]],ItmPur2025[[#This Row],[OverrideMo]]+ItmPur2025[[#This Row],[AdditMonths]],MONTH(ItmPur2025[[#This Row],[Date]])+ItmPur2025[[#This Row],[AdditMonths]])</f>
        <v>1</v>
      </c>
      <c r="V19" s="10" t="str">
        <f>IFERROR(IF(FIND("tax",LOWER(ItmPur2025[[#This Row],[Item]])),"TAX",""),"")</f>
        <v/>
      </c>
      <c r="W19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29.98</v>
      </c>
      <c r="X19" s="8">
        <f>IF(ItmPur2025[[#This Row],[AdditMonths]]&gt;0,ItmPur2025[[#This Row],[PriceFinal'#]]/(ItmPur2025[[#This Row],[AdditMonths]]+1),ItmPur2025[[#This Row],[PriceFinal'#]])</f>
        <v>29.98</v>
      </c>
      <c r="Y19" s="11"/>
      <c r="Z19" s="4">
        <f>IF(ISBLANK(ItmPur2025[[#This Row],[OverrideMo]]), MONTH(ItmPur2025[[#This Row],[Date]]), ItmPur2025[[#This Row],[OverrideMo]])</f>
        <v>1</v>
      </c>
      <c r="AA19" s="7" t="str">
        <f>_xlfn.CONCAT(ItmPur2025[[#This Row],[Cat]],ItmPur2025[[#This Row],[SubCat]])</f>
        <v>HousingSupplies &amp; Furnishings</v>
      </c>
      <c r="AB19" s="7" t="e">
        <f>MATCH(ItmPur2025[[#This Row],[ValidationCat'#]],#REF!,0)</f>
        <v>#REF!</v>
      </c>
    </row>
    <row r="20" spans="1:28" s="7" customFormat="1" ht="15" customHeight="1" x14ac:dyDescent="0.2">
      <c r="A20" s="16">
        <v>46025</v>
      </c>
      <c r="B20" s="61">
        <v>0.35972222222222222</v>
      </c>
      <c r="C20" s="4" t="s">
        <v>41</v>
      </c>
      <c r="D20" s="4"/>
      <c r="E20" s="4"/>
      <c r="F20" s="4"/>
      <c r="G20" s="4"/>
      <c r="H20" s="5" t="s">
        <v>156</v>
      </c>
      <c r="I20" s="41"/>
      <c r="J20" s="12" t="s">
        <v>78</v>
      </c>
      <c r="K20" s="4">
        <v>1</v>
      </c>
      <c r="L20" s="62" t="s">
        <v>79</v>
      </c>
      <c r="M20" s="4">
        <v>0.28000000000000003</v>
      </c>
      <c r="N20" s="8">
        <f>IF(ISNUMBER(SEARCH("-",ItmPur2025[[#This Row],[PriceAdj'#]])),-1*_xlfn.NUMBERVALUE(SUBSTITUTE(ItmPur2025[[#This Row],[PriceAdj'#]],"-","")),_xlfn.NUMBERVALUE(ItmPur2025[[#This Row],[PriceAdj'#]]))</f>
        <v>0.28000000000000003</v>
      </c>
      <c r="O20" s="9">
        <f>IFERROR(ItmPur2025[[#This Row],[PriceFinal'#]]/ItmPur2025[[#This Row],[Qty]]*LOOKUP(ItmPur2025[[#This Row],[Qty_units]],#REF!,#REF!),0)</f>
        <v>0</v>
      </c>
      <c r="P20" s="62" t="s">
        <v>9</v>
      </c>
      <c r="Q20" s="62" t="s">
        <v>33</v>
      </c>
      <c r="R20" s="62"/>
      <c r="S20" s="40"/>
      <c r="T20" s="11"/>
      <c r="U20" s="4">
        <f>IF(ItmPur2025[[#This Row],[OverrideMo]],ItmPur2025[[#This Row],[OverrideMo]]+ItmPur2025[[#This Row],[AdditMonths]],MONTH(ItmPur2025[[#This Row],[Date]])+ItmPur2025[[#This Row],[AdditMonths]])</f>
        <v>1</v>
      </c>
      <c r="V20" s="10" t="str">
        <f>IFERROR(IF(FIND("tax",LOWER(ItmPur2025[[#This Row],[Item]])),"TAX",""),"")</f>
        <v/>
      </c>
      <c r="W20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0.28</v>
      </c>
      <c r="X20" s="8">
        <f>IF(ItmPur2025[[#This Row],[AdditMonths]]&gt;0,ItmPur2025[[#This Row],[PriceFinal'#]]/(ItmPur2025[[#This Row],[AdditMonths]]+1),ItmPur2025[[#This Row],[PriceFinal'#]])</f>
        <v>0.28000000000000003</v>
      </c>
      <c r="Y20" s="11"/>
      <c r="Z20" s="4">
        <f>IF(ISBLANK(ItmPur2025[[#This Row],[OverrideMo]]), MONTH(ItmPur2025[[#This Row],[Date]]), ItmPur2025[[#This Row],[OverrideMo]])</f>
        <v>1</v>
      </c>
      <c r="AA20" s="7" t="str">
        <f>_xlfn.CONCAT(ItmPur2025[[#This Row],[Cat]],ItmPur2025[[#This Row],[SubCat]])</f>
        <v>HousingSupplies &amp; Furnishings</v>
      </c>
      <c r="AB20" s="7" t="e">
        <f>MATCH(ItmPur2025[[#This Row],[ValidationCat'#]],#REF!,0)</f>
        <v>#REF!</v>
      </c>
    </row>
    <row r="21" spans="1:28" s="7" customFormat="1" ht="15" customHeight="1" x14ac:dyDescent="0.2">
      <c r="A21" s="16">
        <v>46025</v>
      </c>
      <c r="B21" s="61">
        <v>0.35972222222222222</v>
      </c>
      <c r="C21" s="4" t="s">
        <v>41</v>
      </c>
      <c r="D21" s="4"/>
      <c r="E21" s="4"/>
      <c r="F21" s="4"/>
      <c r="G21" s="4"/>
      <c r="H21" s="5" t="s">
        <v>156</v>
      </c>
      <c r="I21" s="41"/>
      <c r="J21" s="12" t="s">
        <v>12</v>
      </c>
      <c r="K21" s="4">
        <v>1</v>
      </c>
      <c r="L21" s="62" t="s">
        <v>79</v>
      </c>
      <c r="M21" s="4">
        <v>2.4</v>
      </c>
      <c r="N21" s="8">
        <f>IF(ISNUMBER(SEARCH("-",ItmPur2025[[#This Row],[PriceAdj'#]])),-1*_xlfn.NUMBERVALUE(SUBSTITUTE(ItmPur2025[[#This Row],[PriceAdj'#]],"-","")),_xlfn.NUMBERVALUE(ItmPur2025[[#This Row],[PriceAdj'#]]))</f>
        <v>2.4</v>
      </c>
      <c r="O21" s="9">
        <f>IFERROR(ItmPur2025[[#This Row],[PriceFinal'#]]/ItmPur2025[[#This Row],[Qty]]*LOOKUP(ItmPur2025[[#This Row],[Qty_units]],#REF!,#REF!),0)</f>
        <v>0</v>
      </c>
      <c r="P21" s="62" t="s">
        <v>9</v>
      </c>
      <c r="Q21" s="62" t="s">
        <v>33</v>
      </c>
      <c r="R21" s="62"/>
      <c r="S21" s="40"/>
      <c r="T21" s="11"/>
      <c r="U21" s="4">
        <f>IF(ItmPur2025[[#This Row],[OverrideMo]],ItmPur2025[[#This Row],[OverrideMo]]+ItmPur2025[[#This Row],[AdditMonths]],MONTH(ItmPur2025[[#This Row],[Date]])+ItmPur2025[[#This Row],[AdditMonths]])</f>
        <v>1</v>
      </c>
      <c r="V21" s="10" t="str">
        <f>IFERROR(IF(FIND("tax",LOWER(ItmPur2025[[#This Row],[Item]])),"TAX",""),"")</f>
        <v>TAX</v>
      </c>
      <c r="W21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2.4</v>
      </c>
      <c r="X21" s="8">
        <f>IF(ItmPur2025[[#This Row],[AdditMonths]]&gt;0,ItmPur2025[[#This Row],[PriceFinal'#]]/(ItmPur2025[[#This Row],[AdditMonths]]+1),ItmPur2025[[#This Row],[PriceFinal'#]])</f>
        <v>2.4</v>
      </c>
      <c r="Y21" s="11"/>
      <c r="Z21" s="4">
        <f>IF(ISBLANK(ItmPur2025[[#This Row],[OverrideMo]]), MONTH(ItmPur2025[[#This Row],[Date]]), ItmPur2025[[#This Row],[OverrideMo]])</f>
        <v>1</v>
      </c>
      <c r="AA21" s="7" t="str">
        <f>_xlfn.CONCAT(ItmPur2025[[#This Row],[Cat]],ItmPur2025[[#This Row],[SubCat]])</f>
        <v>HousingSupplies &amp; Furnishings</v>
      </c>
      <c r="AB21" s="7" t="e">
        <f>MATCH(ItmPur2025[[#This Row],[ValidationCat'#]],#REF!,0)</f>
        <v>#REF!</v>
      </c>
    </row>
    <row r="22" spans="1:28" s="7" customFormat="1" ht="15" customHeight="1" x14ac:dyDescent="0.2">
      <c r="A22" s="16">
        <v>46025</v>
      </c>
      <c r="B22" s="61">
        <v>0.35972222222222222</v>
      </c>
      <c r="C22" s="4" t="s">
        <v>41</v>
      </c>
      <c r="D22" s="4"/>
      <c r="E22" s="4"/>
      <c r="F22" s="4"/>
      <c r="G22" s="4"/>
      <c r="H22" s="5" t="s">
        <v>156</v>
      </c>
      <c r="I22" s="41"/>
      <c r="J22" s="12" t="s">
        <v>158</v>
      </c>
      <c r="K22" s="4">
        <v>1</v>
      </c>
      <c r="L22" s="62" t="s">
        <v>79</v>
      </c>
      <c r="M22" s="4">
        <v>-10.15</v>
      </c>
      <c r="N22" s="8">
        <f>IF(ISNUMBER(SEARCH("-",ItmPur2025[[#This Row],[PriceAdj'#]])),-1*_xlfn.NUMBERVALUE(SUBSTITUTE(ItmPur2025[[#This Row],[PriceAdj'#]],"-","")),_xlfn.NUMBERVALUE(ItmPur2025[[#This Row],[PriceAdj'#]]))</f>
        <v>-10.15</v>
      </c>
      <c r="O22" s="9">
        <f>IFERROR(ItmPur2025[[#This Row],[PriceFinal'#]]/ItmPur2025[[#This Row],[Qty]]*LOOKUP(ItmPur2025[[#This Row],[Qty_units]],#REF!,#REF!),0)</f>
        <v>0</v>
      </c>
      <c r="P22" s="62" t="s">
        <v>9</v>
      </c>
      <c r="Q22" s="62" t="s">
        <v>33</v>
      </c>
      <c r="R22" s="62"/>
      <c r="S22" s="40"/>
      <c r="T22" s="11"/>
      <c r="U22" s="4">
        <f>IF(ItmPur2025[[#This Row],[OverrideMo]],ItmPur2025[[#This Row],[OverrideMo]]+ItmPur2025[[#This Row],[AdditMonths]],MONTH(ItmPur2025[[#This Row],[Date]])+ItmPur2025[[#This Row],[AdditMonths]])</f>
        <v>1</v>
      </c>
      <c r="V22" s="10" t="str">
        <f>IFERROR(IF(FIND("tax",LOWER(ItmPur2025[[#This Row],[Item]])),"TAX",""),"")</f>
        <v/>
      </c>
      <c r="W22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-10.15</v>
      </c>
      <c r="X22" s="8">
        <f>IF(ItmPur2025[[#This Row],[AdditMonths]]&gt;0,ItmPur2025[[#This Row],[PriceFinal'#]]/(ItmPur2025[[#This Row],[AdditMonths]]+1),ItmPur2025[[#This Row],[PriceFinal'#]])</f>
        <v>-10.15</v>
      </c>
      <c r="Y22" s="11"/>
      <c r="Z22" s="4">
        <f>IF(ISBLANK(ItmPur2025[[#This Row],[OverrideMo]]), MONTH(ItmPur2025[[#This Row],[Date]]), ItmPur2025[[#This Row],[OverrideMo]])</f>
        <v>1</v>
      </c>
      <c r="AA22" s="7" t="str">
        <f>_xlfn.CONCAT(ItmPur2025[[#This Row],[Cat]],ItmPur2025[[#This Row],[SubCat]])</f>
        <v>HousingSupplies &amp; Furnishings</v>
      </c>
      <c r="AB22" s="7" t="e">
        <f>MATCH(ItmPur2025[[#This Row],[ValidationCat'#]],#REF!,0)</f>
        <v>#REF!</v>
      </c>
    </row>
    <row r="23" spans="1:28" s="7" customFormat="1" ht="15" customHeight="1" x14ac:dyDescent="0.2">
      <c r="A23" s="16">
        <v>46025</v>
      </c>
      <c r="B23" s="45">
        <v>0.35972222222222222</v>
      </c>
      <c r="C23" s="4" t="s">
        <v>41</v>
      </c>
      <c r="D23" s="4"/>
      <c r="E23" s="4"/>
      <c r="F23" s="4"/>
      <c r="G23" s="4"/>
      <c r="H23" s="5" t="s">
        <v>156</v>
      </c>
      <c r="I23" s="41"/>
      <c r="J23" s="12" t="s">
        <v>159</v>
      </c>
      <c r="K23" s="4"/>
      <c r="M23" s="4">
        <v>10.15</v>
      </c>
      <c r="N23" s="8">
        <f>IF(ISNUMBER(SEARCH("-",ItmPur2025[[#This Row],[PriceAdj'#]])),-1*_xlfn.NUMBERVALUE(SUBSTITUTE(ItmPur2025[[#This Row],[PriceAdj'#]],"-","")),_xlfn.NUMBERVALUE(ItmPur2025[[#This Row],[PriceAdj'#]]))</f>
        <v>10.15</v>
      </c>
      <c r="O23" s="9">
        <f>IFERROR(ItmPur2025[[#This Row],[PriceFinal'#]]/ItmPur2025[[#This Row],[Qty]]*LOOKUP(ItmPur2025[[#This Row],[Qty_units]],#REF!,#REF!),0)</f>
        <v>0</v>
      </c>
      <c r="P23" s="7" t="s">
        <v>9</v>
      </c>
      <c r="Q23" s="7" t="s">
        <v>33</v>
      </c>
      <c r="S23" s="40"/>
      <c r="T23" s="11"/>
      <c r="U23" s="4">
        <f>IF(ItmPur2025[[#This Row],[OverrideMo]],ItmPur2025[[#This Row],[OverrideMo]]+ItmPur2025[[#This Row],[AdditMonths]],MONTH(ItmPur2025[[#This Row],[Date]])+ItmPur2025[[#This Row],[AdditMonths]])</f>
        <v>1</v>
      </c>
      <c r="V23" s="10" t="str">
        <f>IFERROR(IF(FIND("tax",LOWER(ItmPur2025[[#This Row],[Item]])),"TAX",""),"")</f>
        <v/>
      </c>
      <c r="W23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10.15</v>
      </c>
      <c r="X23" s="8">
        <f>IF(ItmPur2025[[#This Row],[AdditMonths]]&gt;0,ItmPur2025[[#This Row],[PriceFinal'#]]/(ItmPur2025[[#This Row],[AdditMonths]]+1),ItmPur2025[[#This Row],[PriceFinal'#]])</f>
        <v>10.15</v>
      </c>
      <c r="Y23" s="11"/>
      <c r="Z23" s="4">
        <f>IF(ISBLANK(ItmPur2025[[#This Row],[OverrideMo]]), MONTH(ItmPur2025[[#This Row],[Date]]), ItmPur2025[[#This Row],[OverrideMo]])</f>
        <v>1</v>
      </c>
      <c r="AA23" s="7" t="str">
        <f>_xlfn.CONCAT(ItmPur2025[[#This Row],[Cat]],ItmPur2025[[#This Row],[SubCat]])</f>
        <v>HousingSupplies &amp; Furnishings</v>
      </c>
      <c r="AB23" s="7" t="e">
        <f>MATCH(ItmPur2025[[#This Row],[ValidationCat'#]],#REF!,0)</f>
        <v>#REF!</v>
      </c>
    </row>
    <row r="24" spans="1:28" s="7" customFormat="1" ht="15" customHeight="1" x14ac:dyDescent="0.2">
      <c r="A24" s="46">
        <v>46027</v>
      </c>
      <c r="B24" s="60">
        <v>0.69374999999999998</v>
      </c>
      <c r="C24" s="47" t="s">
        <v>53</v>
      </c>
      <c r="D24" s="47"/>
      <c r="E24" s="47"/>
      <c r="F24" s="47"/>
      <c r="G24" s="48"/>
      <c r="H24" s="49" t="s">
        <v>184</v>
      </c>
      <c r="I24" s="50"/>
      <c r="J24" s="51" t="s">
        <v>183</v>
      </c>
      <c r="K24" s="51">
        <v>1.5</v>
      </c>
      <c r="L24" s="52" t="s">
        <v>39</v>
      </c>
      <c r="M24" s="51">
        <v>7.49</v>
      </c>
      <c r="N24" s="53">
        <f>IF(ISNUMBER(SEARCH("-",ItmPur2025[[#This Row],[PriceAdj'#]])),-1*_xlfn.NUMBERVALUE(SUBSTITUTE(ItmPur2025[[#This Row],[PriceAdj'#]],"-","")),_xlfn.NUMBERVALUE(ItmPur2025[[#This Row],[PriceAdj'#]]))</f>
        <v>7.49</v>
      </c>
      <c r="O24" s="54">
        <f>IFERROR(ItmPur2025[[#This Row],[PriceFinal'#]]/ItmPur2025[[#This Row],[Qty]]*LOOKUP(ItmPur2025[[#This Row],[Qty_units]],#REF!,#REF!),0)</f>
        <v>0</v>
      </c>
      <c r="P24" s="55" t="s">
        <v>4</v>
      </c>
      <c r="Q24" s="55" t="s">
        <v>5</v>
      </c>
      <c r="R24" s="55"/>
      <c r="S24" s="47"/>
      <c r="T24" s="56"/>
      <c r="U24" s="48">
        <f>IF(ItmPur2025[[#This Row],[OverrideMo]],ItmPur2025[[#This Row],[OverrideMo]]+ItmPur2025[[#This Row],[AdditMonths]],MONTH(ItmPur2025[[#This Row],[Date]])+ItmPur2025[[#This Row],[AdditMonths]])</f>
        <v>1</v>
      </c>
      <c r="V24" s="57" t="str">
        <f>IFERROR(IF(FIND("tax",LOWER(ItmPur2025[[#This Row],[Item]])),"TAX",""),"")</f>
        <v/>
      </c>
      <c r="W24" s="48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7.49</v>
      </c>
      <c r="X24" s="53">
        <f>IF(ItmPur2025[[#This Row],[AdditMonths]]&gt;0,ItmPur2025[[#This Row],[PriceFinal'#]]/(ItmPur2025[[#This Row],[AdditMonths]]+1),ItmPur2025[[#This Row],[PriceFinal'#]])</f>
        <v>7.49</v>
      </c>
      <c r="Y24" s="56"/>
      <c r="Z24" s="47">
        <f>IF(ISBLANK(ItmPur2025[[#This Row],[OverrideMo]]), MONTH(ItmPur2025[[#This Row],[Date]]), ItmPur2025[[#This Row],[OverrideMo]])</f>
        <v>1</v>
      </c>
      <c r="AA24" s="58" t="str">
        <f>_xlfn.CONCAT(ItmPur2025[[#This Row],[Cat]],ItmPur2025[[#This Row],[SubCat]])</f>
        <v>EntertainmentHospitality</v>
      </c>
      <c r="AB24" s="55" t="e">
        <f>MATCH(ItmPur2025[[#This Row],[ValidationCat'#]],#REF!,0)</f>
        <v>#REF!</v>
      </c>
    </row>
    <row r="25" spans="1:28" s="7" customFormat="1" ht="15" customHeight="1" x14ac:dyDescent="0.2">
      <c r="A25" s="46">
        <v>46027</v>
      </c>
      <c r="B25" s="60">
        <v>0.69374999999999998</v>
      </c>
      <c r="C25" s="47" t="s">
        <v>53</v>
      </c>
      <c r="D25" s="47"/>
      <c r="E25" s="47"/>
      <c r="F25" s="47"/>
      <c r="G25" s="48"/>
      <c r="H25" s="49" t="s">
        <v>184</v>
      </c>
      <c r="I25" s="50"/>
      <c r="J25" s="51" t="s">
        <v>179</v>
      </c>
      <c r="K25" s="51">
        <v>1.5</v>
      </c>
      <c r="L25" s="52" t="s">
        <v>39</v>
      </c>
      <c r="M25" s="51">
        <v>7.49</v>
      </c>
      <c r="N25" s="53">
        <f>IF(ISNUMBER(SEARCH("-",ItmPur2025[[#This Row],[PriceAdj'#]])),-1*_xlfn.NUMBERVALUE(SUBSTITUTE(ItmPur2025[[#This Row],[PriceAdj'#]],"-","")),_xlfn.NUMBERVALUE(ItmPur2025[[#This Row],[PriceAdj'#]]))</f>
        <v>7.49</v>
      </c>
      <c r="O25" s="54">
        <f>IFERROR(ItmPur2025[[#This Row],[PriceFinal'#]]/ItmPur2025[[#This Row],[Qty]]*LOOKUP(ItmPur2025[[#This Row],[Qty_units]],#REF!,#REF!),0)</f>
        <v>0</v>
      </c>
      <c r="P25" s="55" t="s">
        <v>4</v>
      </c>
      <c r="Q25" s="55" t="s">
        <v>5</v>
      </c>
      <c r="R25" s="55"/>
      <c r="S25" s="47"/>
      <c r="T25" s="56"/>
      <c r="U25" s="48">
        <f>IF(ItmPur2025[[#This Row],[OverrideMo]],ItmPur2025[[#This Row],[OverrideMo]]+ItmPur2025[[#This Row],[AdditMonths]],MONTH(ItmPur2025[[#This Row],[Date]])+ItmPur2025[[#This Row],[AdditMonths]])</f>
        <v>1</v>
      </c>
      <c r="V25" s="57" t="str">
        <f>IFERROR(IF(FIND("tax",LOWER(ItmPur2025[[#This Row],[Item]])),"TAX",""),"")</f>
        <v/>
      </c>
      <c r="W25" s="48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7.49</v>
      </c>
      <c r="X25" s="53">
        <f>IF(ItmPur2025[[#This Row],[AdditMonths]]&gt;0,ItmPur2025[[#This Row],[PriceFinal'#]]/(ItmPur2025[[#This Row],[AdditMonths]]+1),ItmPur2025[[#This Row],[PriceFinal'#]])</f>
        <v>7.49</v>
      </c>
      <c r="Y25" s="56"/>
      <c r="Z25" s="47">
        <f>IF(ISBLANK(ItmPur2025[[#This Row],[OverrideMo]]), MONTH(ItmPur2025[[#This Row],[Date]]), ItmPur2025[[#This Row],[OverrideMo]])</f>
        <v>1</v>
      </c>
      <c r="AA25" s="58" t="str">
        <f>_xlfn.CONCAT(ItmPur2025[[#This Row],[Cat]],ItmPur2025[[#This Row],[SubCat]])</f>
        <v>EntertainmentHospitality</v>
      </c>
      <c r="AB25" s="55" t="e">
        <f>MATCH(ItmPur2025[[#This Row],[ValidationCat'#]],#REF!,0)</f>
        <v>#REF!</v>
      </c>
    </row>
    <row r="26" spans="1:28" s="7" customFormat="1" ht="15" customHeight="1" x14ac:dyDescent="0.2">
      <c r="A26" s="46">
        <v>46027</v>
      </c>
      <c r="B26" s="60">
        <v>0.69374999999999998</v>
      </c>
      <c r="C26" s="47" t="s">
        <v>53</v>
      </c>
      <c r="D26" s="47"/>
      <c r="E26" s="47"/>
      <c r="F26" s="47"/>
      <c r="G26" s="48"/>
      <c r="H26" s="49" t="s">
        <v>184</v>
      </c>
      <c r="I26" s="50"/>
      <c r="J26" s="51" t="s">
        <v>180</v>
      </c>
      <c r="K26" s="51">
        <v>3</v>
      </c>
      <c r="L26" s="52" t="s">
        <v>39</v>
      </c>
      <c r="M26" s="51">
        <v>-7</v>
      </c>
      <c r="N26" s="53">
        <f>IF(ISNUMBER(SEARCH("-",ItmPur2025[[#This Row],[PriceAdj'#]])),-1*_xlfn.NUMBERVALUE(SUBSTITUTE(ItmPur2025[[#This Row],[PriceAdj'#]],"-","")),_xlfn.NUMBERVALUE(ItmPur2025[[#This Row],[PriceAdj'#]]))</f>
        <v>-7</v>
      </c>
      <c r="O26" s="54">
        <f>IFERROR(ItmPur2025[[#This Row],[PriceFinal'#]]/ItmPur2025[[#This Row],[Qty]]*LOOKUP(ItmPur2025[[#This Row],[Qty_units]],#REF!,#REF!),0)</f>
        <v>0</v>
      </c>
      <c r="P26" s="55" t="s">
        <v>4</v>
      </c>
      <c r="Q26" s="55" t="s">
        <v>5</v>
      </c>
      <c r="R26" s="55"/>
      <c r="S26" s="47"/>
      <c r="T26" s="56"/>
      <c r="U26" s="48">
        <f>IF(ItmPur2025[[#This Row],[OverrideMo]],ItmPur2025[[#This Row],[OverrideMo]]+ItmPur2025[[#This Row],[AdditMonths]],MONTH(ItmPur2025[[#This Row],[Date]])+ItmPur2025[[#This Row],[AdditMonths]])</f>
        <v>1</v>
      </c>
      <c r="V26" s="57" t="str">
        <f>IFERROR(IF(FIND("tax",LOWER(ItmPur2025[[#This Row],[Item]])),"TAX",""),"")</f>
        <v/>
      </c>
      <c r="W26" s="48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-7</v>
      </c>
      <c r="X26" s="53">
        <f>IF(ItmPur2025[[#This Row],[AdditMonths]]&gt;0,ItmPur2025[[#This Row],[PriceFinal'#]]/(ItmPur2025[[#This Row],[AdditMonths]]+1),ItmPur2025[[#This Row],[PriceFinal'#]])</f>
        <v>-7</v>
      </c>
      <c r="Y26" s="56"/>
      <c r="Z26" s="47">
        <f>IF(ISBLANK(ItmPur2025[[#This Row],[OverrideMo]]), MONTH(ItmPur2025[[#This Row],[Date]]), ItmPur2025[[#This Row],[OverrideMo]])</f>
        <v>1</v>
      </c>
      <c r="AA26" s="58" t="str">
        <f>_xlfn.CONCAT(ItmPur2025[[#This Row],[Cat]],ItmPur2025[[#This Row],[SubCat]])</f>
        <v>EntertainmentHospitality</v>
      </c>
      <c r="AB26" s="55" t="e">
        <f>MATCH(ItmPur2025[[#This Row],[ValidationCat'#]],#REF!,0)</f>
        <v>#REF!</v>
      </c>
    </row>
    <row r="27" spans="1:28" s="7" customFormat="1" ht="15" customHeight="1" x14ac:dyDescent="0.2">
      <c r="A27" s="46">
        <v>46027</v>
      </c>
      <c r="B27" s="60">
        <v>0.69374999999999998</v>
      </c>
      <c r="C27" s="47" t="s">
        <v>53</v>
      </c>
      <c r="D27" s="47"/>
      <c r="E27" s="47"/>
      <c r="F27" s="47"/>
      <c r="G27" s="48"/>
      <c r="H27" s="49" t="s">
        <v>184</v>
      </c>
      <c r="I27" s="50"/>
      <c r="J27" s="51" t="s">
        <v>182</v>
      </c>
      <c r="K27" s="51">
        <v>3.35</v>
      </c>
      <c r="L27" s="52" t="s">
        <v>37</v>
      </c>
      <c r="M27" s="51">
        <v>13.37</v>
      </c>
      <c r="N27" s="53">
        <f>IF(ISNUMBER(SEARCH("-",ItmPur2025[[#This Row],[PriceAdj'#]])),-1*_xlfn.NUMBERVALUE(SUBSTITUTE(ItmPur2025[[#This Row],[PriceAdj'#]],"-","")),_xlfn.NUMBERVALUE(ItmPur2025[[#This Row],[PriceAdj'#]]))</f>
        <v>13.37</v>
      </c>
      <c r="O27" s="54">
        <f>IFERROR(ItmPur2025[[#This Row],[PriceFinal'#]]/ItmPur2025[[#This Row],[Qty]]*LOOKUP(ItmPur2025[[#This Row],[Qty_units]],#REF!,#REF!),0)</f>
        <v>0</v>
      </c>
      <c r="P27" s="55" t="s">
        <v>4</v>
      </c>
      <c r="Q27" s="55" t="s">
        <v>5</v>
      </c>
      <c r="R27" s="55"/>
      <c r="S27" s="47"/>
      <c r="T27" s="56"/>
      <c r="U27" s="48">
        <f>IF(ItmPur2025[[#This Row],[OverrideMo]],ItmPur2025[[#This Row],[OverrideMo]]+ItmPur2025[[#This Row],[AdditMonths]],MONTH(ItmPur2025[[#This Row],[Date]])+ItmPur2025[[#This Row],[AdditMonths]])</f>
        <v>1</v>
      </c>
      <c r="V27" s="57" t="str">
        <f>IFERROR(IF(FIND("tax",LOWER(ItmPur2025[[#This Row],[Item]])),"TAX",""),"")</f>
        <v/>
      </c>
      <c r="W27" s="48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13.37</v>
      </c>
      <c r="X27" s="53">
        <f>IF(ItmPur2025[[#This Row],[AdditMonths]]&gt;0,ItmPur2025[[#This Row],[PriceFinal'#]]/(ItmPur2025[[#This Row],[AdditMonths]]+1),ItmPur2025[[#This Row],[PriceFinal'#]])</f>
        <v>13.37</v>
      </c>
      <c r="Y27" s="56"/>
      <c r="Z27" s="47">
        <f>IF(ISBLANK(ItmPur2025[[#This Row],[OverrideMo]]), MONTH(ItmPur2025[[#This Row],[Date]]), ItmPur2025[[#This Row],[OverrideMo]])</f>
        <v>1</v>
      </c>
      <c r="AA27" s="58" t="str">
        <f>_xlfn.CONCAT(ItmPur2025[[#This Row],[Cat]],ItmPur2025[[#This Row],[SubCat]])</f>
        <v>EntertainmentHospitality</v>
      </c>
      <c r="AB27" s="55" t="e">
        <f>MATCH(ItmPur2025[[#This Row],[ValidationCat'#]],#REF!,0)</f>
        <v>#REF!</v>
      </c>
    </row>
    <row r="28" spans="1:28" s="7" customFormat="1" ht="15" customHeight="1" x14ac:dyDescent="0.2">
      <c r="A28" s="46">
        <v>46027</v>
      </c>
      <c r="B28" s="60">
        <v>0.69374999999999998</v>
      </c>
      <c r="C28" s="47" t="s">
        <v>53</v>
      </c>
      <c r="D28" s="47"/>
      <c r="E28" s="47"/>
      <c r="F28" s="47"/>
      <c r="G28" s="48"/>
      <c r="H28" s="49" t="s">
        <v>184</v>
      </c>
      <c r="I28" s="50"/>
      <c r="J28" s="51" t="s">
        <v>181</v>
      </c>
      <c r="K28" s="51">
        <v>3.35</v>
      </c>
      <c r="L28" s="52" t="s">
        <v>37</v>
      </c>
      <c r="M28" s="51">
        <v>-6.7</v>
      </c>
      <c r="N28" s="53">
        <f>IF(ISNUMBER(SEARCH("-",ItmPur2025[[#This Row],[PriceAdj'#]])),-1*_xlfn.NUMBERVALUE(SUBSTITUTE(ItmPur2025[[#This Row],[PriceAdj'#]],"-","")),_xlfn.NUMBERVALUE(ItmPur2025[[#This Row],[PriceAdj'#]]))</f>
        <v>-6.7</v>
      </c>
      <c r="O28" s="54">
        <f>IFERROR(ItmPur2025[[#This Row],[PriceFinal'#]]/ItmPur2025[[#This Row],[Qty]]*LOOKUP(ItmPur2025[[#This Row],[Qty_units]],#REF!,#REF!),0)</f>
        <v>0</v>
      </c>
      <c r="P28" s="55" t="s">
        <v>4</v>
      </c>
      <c r="Q28" s="55" t="s">
        <v>5</v>
      </c>
      <c r="R28" s="55"/>
      <c r="S28" s="47"/>
      <c r="T28" s="56"/>
      <c r="U28" s="48">
        <f>IF(ItmPur2025[[#This Row],[OverrideMo]],ItmPur2025[[#This Row],[OverrideMo]]+ItmPur2025[[#This Row],[AdditMonths]],MONTH(ItmPur2025[[#This Row],[Date]])+ItmPur2025[[#This Row],[AdditMonths]])</f>
        <v>1</v>
      </c>
      <c r="V28" s="57" t="str">
        <f>IFERROR(IF(FIND("tax",LOWER(ItmPur2025[[#This Row],[Item]])),"TAX",""),"")</f>
        <v/>
      </c>
      <c r="W28" s="48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-6.7</v>
      </c>
      <c r="X28" s="53">
        <f>IF(ItmPur2025[[#This Row],[AdditMonths]]&gt;0,ItmPur2025[[#This Row],[PriceFinal'#]]/(ItmPur2025[[#This Row],[AdditMonths]]+1),ItmPur2025[[#This Row],[PriceFinal'#]])</f>
        <v>-6.7</v>
      </c>
      <c r="Y28" s="56"/>
      <c r="Z28" s="47">
        <f>IF(ISBLANK(ItmPur2025[[#This Row],[OverrideMo]]), MONTH(ItmPur2025[[#This Row],[Date]]), ItmPur2025[[#This Row],[OverrideMo]])</f>
        <v>1</v>
      </c>
      <c r="AA28" s="58" t="str">
        <f>_xlfn.CONCAT(ItmPur2025[[#This Row],[Cat]],ItmPur2025[[#This Row],[SubCat]])</f>
        <v>EntertainmentHospitality</v>
      </c>
      <c r="AB28" s="55" t="e">
        <f>MATCH(ItmPur2025[[#This Row],[ValidationCat'#]],#REF!,0)</f>
        <v>#REF!</v>
      </c>
    </row>
    <row r="29" spans="1:28" s="7" customFormat="1" ht="15" customHeight="1" x14ac:dyDescent="0.2">
      <c r="A29" s="46">
        <v>46027</v>
      </c>
      <c r="B29" s="60">
        <v>0.69374999999999998</v>
      </c>
      <c r="C29" s="47" t="s">
        <v>53</v>
      </c>
      <c r="D29" s="47"/>
      <c r="E29" s="47"/>
      <c r="F29" s="47"/>
      <c r="G29" s="48"/>
      <c r="H29" s="49" t="s">
        <v>184</v>
      </c>
      <c r="I29" s="50"/>
      <c r="J29" s="51" t="s">
        <v>91</v>
      </c>
      <c r="K29" s="51">
        <v>3</v>
      </c>
      <c r="L29" s="52" t="s">
        <v>79</v>
      </c>
      <c r="M29" s="51">
        <v>-1</v>
      </c>
      <c r="N29" s="53">
        <f>IF(ISNUMBER(SEARCH("-",ItmPur2025[[#This Row],[PriceAdj'#]])),-1*_xlfn.NUMBERVALUE(SUBSTITUTE(ItmPur2025[[#This Row],[PriceAdj'#]],"-","")),_xlfn.NUMBERVALUE(ItmPur2025[[#This Row],[PriceAdj'#]]))</f>
        <v>-1</v>
      </c>
      <c r="O29" s="54">
        <f>IFERROR(ItmPur2025[[#This Row],[PriceFinal'#]]/ItmPur2025[[#This Row],[Qty]]*LOOKUP(ItmPur2025[[#This Row],[Qty_units]],#REF!,#REF!),0)</f>
        <v>0</v>
      </c>
      <c r="P29" s="55" t="s">
        <v>4</v>
      </c>
      <c r="Q29" s="55" t="s">
        <v>5</v>
      </c>
      <c r="R29" s="55"/>
      <c r="S29" s="47"/>
      <c r="T29" s="56"/>
      <c r="U29" s="48">
        <f>IF(ItmPur2025[[#This Row],[OverrideMo]],ItmPur2025[[#This Row],[OverrideMo]]+ItmPur2025[[#This Row],[AdditMonths]],MONTH(ItmPur2025[[#This Row],[Date]])+ItmPur2025[[#This Row],[AdditMonths]])</f>
        <v>1</v>
      </c>
      <c r="V29" s="57" t="str">
        <f>IFERROR(IF(FIND("tax",LOWER(ItmPur2025[[#This Row],[Item]])),"TAX",""),"")</f>
        <v/>
      </c>
      <c r="W29" s="48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-1</v>
      </c>
      <c r="X29" s="53">
        <f>IF(ItmPur2025[[#This Row],[AdditMonths]]&gt;0,ItmPur2025[[#This Row],[PriceFinal'#]]/(ItmPur2025[[#This Row],[AdditMonths]]+1),ItmPur2025[[#This Row],[PriceFinal'#]])</f>
        <v>-1</v>
      </c>
      <c r="Y29" s="56"/>
      <c r="Z29" s="47">
        <f>IF(ISBLANK(ItmPur2025[[#This Row],[OverrideMo]]), MONTH(ItmPur2025[[#This Row],[Date]]), ItmPur2025[[#This Row],[OverrideMo]])</f>
        <v>1</v>
      </c>
      <c r="AA29" s="58" t="str">
        <f>_xlfn.CONCAT(ItmPur2025[[#This Row],[Cat]],ItmPur2025[[#This Row],[SubCat]])</f>
        <v>EntertainmentHospitality</v>
      </c>
      <c r="AB29" s="55" t="e">
        <f>MATCH(ItmPur2025[[#This Row],[ValidationCat'#]],#REF!,0)</f>
        <v>#REF!</v>
      </c>
    </row>
    <row r="30" spans="1:28" s="7" customFormat="1" ht="15" customHeight="1" x14ac:dyDescent="0.2">
      <c r="A30" s="46">
        <v>46027</v>
      </c>
      <c r="B30" s="60">
        <v>0.69374999999999998</v>
      </c>
      <c r="C30" s="47" t="s">
        <v>53</v>
      </c>
      <c r="D30" s="47"/>
      <c r="E30" s="47"/>
      <c r="F30" s="47"/>
      <c r="G30" s="48"/>
      <c r="H30" s="49" t="s">
        <v>184</v>
      </c>
      <c r="I30" s="50"/>
      <c r="J30" s="51" t="s">
        <v>12</v>
      </c>
      <c r="K30" s="51">
        <v>3</v>
      </c>
      <c r="L30" s="52" t="s">
        <v>79</v>
      </c>
      <c r="M30" s="51">
        <v>0</v>
      </c>
      <c r="N30" s="53">
        <f>IF(ISNUMBER(SEARCH("-",ItmPur2025[[#This Row],[PriceAdj'#]])),-1*_xlfn.NUMBERVALUE(SUBSTITUTE(ItmPur2025[[#This Row],[PriceAdj'#]],"-","")),_xlfn.NUMBERVALUE(ItmPur2025[[#This Row],[PriceAdj'#]]))</f>
        <v>0</v>
      </c>
      <c r="O30" s="54">
        <f>IFERROR(ItmPur2025[[#This Row],[PriceFinal'#]]/ItmPur2025[[#This Row],[Qty]]*LOOKUP(ItmPur2025[[#This Row],[Qty_units]],#REF!,#REF!),0)</f>
        <v>0</v>
      </c>
      <c r="P30" s="55" t="s">
        <v>4</v>
      </c>
      <c r="Q30" s="55" t="s">
        <v>5</v>
      </c>
      <c r="R30" s="55"/>
      <c r="S30" s="47"/>
      <c r="T30" s="56"/>
      <c r="U30" s="48">
        <f>IF(ItmPur2025[[#This Row],[OverrideMo]],ItmPur2025[[#This Row],[OverrideMo]]+ItmPur2025[[#This Row],[AdditMonths]],MONTH(ItmPur2025[[#This Row],[Date]])+ItmPur2025[[#This Row],[AdditMonths]])</f>
        <v>1</v>
      </c>
      <c r="V30" s="57" t="str">
        <f>IFERROR(IF(FIND("tax",LOWER(ItmPur2025[[#This Row],[Item]])),"TAX",""),"")</f>
        <v>TAX</v>
      </c>
      <c r="W30" s="48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0</v>
      </c>
      <c r="X30" s="53">
        <f>IF(ItmPur2025[[#This Row],[AdditMonths]]&gt;0,ItmPur2025[[#This Row],[PriceFinal'#]]/(ItmPur2025[[#This Row],[AdditMonths]]+1),ItmPur2025[[#This Row],[PriceFinal'#]])</f>
        <v>0</v>
      </c>
      <c r="Y30" s="56"/>
      <c r="Z30" s="47">
        <f>IF(ISBLANK(ItmPur2025[[#This Row],[OverrideMo]]), MONTH(ItmPur2025[[#This Row],[Date]]), ItmPur2025[[#This Row],[OverrideMo]])</f>
        <v>1</v>
      </c>
      <c r="AA30" s="58" t="str">
        <f>_xlfn.CONCAT(ItmPur2025[[#This Row],[Cat]],ItmPur2025[[#This Row],[SubCat]])</f>
        <v>EntertainmentHospitality</v>
      </c>
      <c r="AB30" s="55" t="e">
        <f>MATCH(ItmPur2025[[#This Row],[ValidationCat'#]],#REF!,0)</f>
        <v>#REF!</v>
      </c>
    </row>
    <row r="31" spans="1:28" s="7" customFormat="1" ht="15" customHeight="1" x14ac:dyDescent="0.2">
      <c r="A31" s="16">
        <v>46027</v>
      </c>
      <c r="B31" s="18">
        <v>0.2076388888888889</v>
      </c>
      <c r="C31" s="4" t="s">
        <v>57</v>
      </c>
      <c r="D31" s="4"/>
      <c r="E31" s="4"/>
      <c r="F31" s="4"/>
      <c r="G31" s="4"/>
      <c r="H31" s="5"/>
      <c r="I31" s="43"/>
      <c r="J31" s="12" t="s">
        <v>173</v>
      </c>
      <c r="K31" s="12"/>
      <c r="L31" s="15"/>
      <c r="M31" s="12">
        <v>110</v>
      </c>
      <c r="N31" s="8">
        <f>IF(ISNUMBER(SEARCH("-",ItmPur2025[[#This Row],[PriceAdj'#]])),-1*_xlfn.NUMBERVALUE(SUBSTITUTE(ItmPur2025[[#This Row],[PriceAdj'#]],"-","")),_xlfn.NUMBERVALUE(ItmPur2025[[#This Row],[PriceAdj'#]]))</f>
        <v>110</v>
      </c>
      <c r="O31" s="9">
        <f>IFERROR(ItmPur2025[[#This Row],[PriceFinal'#]]/ItmPur2025[[#This Row],[Qty]]*LOOKUP(ItmPur2025[[#This Row],[Qty_units]],#REF!,#REF!),0)</f>
        <v>0</v>
      </c>
      <c r="P31" s="7" t="s">
        <v>21</v>
      </c>
      <c r="Q31" s="7" t="s">
        <v>24</v>
      </c>
      <c r="S31" s="4"/>
      <c r="T31" s="11"/>
      <c r="U31" s="4">
        <f>IF(ItmPur2025[[#This Row],[OverrideMo]],ItmPur2025[[#This Row],[OverrideMo]]+ItmPur2025[[#This Row],[AdditMonths]],MONTH(ItmPur2025[[#This Row],[Date]])+ItmPur2025[[#This Row],[AdditMonths]])</f>
        <v>1</v>
      </c>
      <c r="V31" s="10" t="str">
        <f>IFERROR(IF(FIND("tax",LOWER(ItmPur2025[[#This Row],[Item]])),"TAX",""),"")</f>
        <v/>
      </c>
      <c r="W31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110</v>
      </c>
      <c r="X31" s="8">
        <f>IF(ItmPur2025[[#This Row],[AdditMonths]]&gt;0,ItmPur2025[[#This Row],[PriceFinal'#]]/(ItmPur2025[[#This Row],[AdditMonths]]+1),ItmPur2025[[#This Row],[PriceFinal'#]])</f>
        <v>110</v>
      </c>
      <c r="Y31" s="11"/>
      <c r="Z31" s="4">
        <f>IF(ISBLANK(ItmPur2025[[#This Row],[OverrideMo]]), MONTH(ItmPur2025[[#This Row],[Date]]), ItmPur2025[[#This Row],[OverrideMo]])</f>
        <v>1</v>
      </c>
      <c r="AA31" s="7" t="str">
        <f>_xlfn.CONCAT(ItmPur2025[[#This Row],[Cat]],ItmPur2025[[#This Row],[SubCat]])</f>
        <v>UtilitiesWifi</v>
      </c>
      <c r="AB31" s="7" t="e">
        <f>MATCH(ItmPur2025[[#This Row],[ValidationCat'#]],#REF!,0)</f>
        <v>#REF!</v>
      </c>
    </row>
    <row r="32" spans="1:28" s="7" customFormat="1" ht="15" customHeight="1" x14ac:dyDescent="0.2">
      <c r="A32" s="16">
        <v>46027</v>
      </c>
      <c r="B32" s="18">
        <v>0.2076388888888889</v>
      </c>
      <c r="C32" s="4" t="s">
        <v>57</v>
      </c>
      <c r="D32" s="4"/>
      <c r="E32" s="4"/>
      <c r="F32" s="4"/>
      <c r="G32" s="4"/>
      <c r="H32" s="5"/>
      <c r="I32" s="43"/>
      <c r="J32" s="12" t="s">
        <v>81</v>
      </c>
      <c r="K32" s="12"/>
      <c r="L32" s="15"/>
      <c r="M32" s="12">
        <v>-50</v>
      </c>
      <c r="N32" s="8">
        <f>IF(ISNUMBER(SEARCH("-",ItmPur2025[[#This Row],[PriceAdj'#]])),-1*_xlfn.NUMBERVALUE(SUBSTITUTE(ItmPur2025[[#This Row],[PriceAdj'#]],"-","")),_xlfn.NUMBERVALUE(ItmPur2025[[#This Row],[PriceAdj'#]]))</f>
        <v>-50</v>
      </c>
      <c r="O32" s="9">
        <f>IFERROR(ItmPur2025[[#This Row],[PriceFinal'#]]/ItmPur2025[[#This Row],[Qty]]*LOOKUP(ItmPur2025[[#This Row],[Qty_units]],#REF!,#REF!),0)</f>
        <v>0</v>
      </c>
      <c r="P32" s="7" t="s">
        <v>21</v>
      </c>
      <c r="Q32" s="7" t="s">
        <v>24</v>
      </c>
      <c r="S32" s="4"/>
      <c r="T32" s="11"/>
      <c r="U32" s="4">
        <f>IF(ItmPur2025[[#This Row],[OverrideMo]],ItmPur2025[[#This Row],[OverrideMo]]+ItmPur2025[[#This Row],[AdditMonths]],MONTH(ItmPur2025[[#This Row],[Date]])+ItmPur2025[[#This Row],[AdditMonths]])</f>
        <v>1</v>
      </c>
      <c r="V32" s="10" t="str">
        <f>IFERROR(IF(FIND("tax",LOWER(ItmPur2025[[#This Row],[Item]])),"TAX",""),"")</f>
        <v/>
      </c>
      <c r="W32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-50</v>
      </c>
      <c r="X32" s="8">
        <f>IF(ItmPur2025[[#This Row],[AdditMonths]]&gt;0,ItmPur2025[[#This Row],[PriceFinal'#]]/(ItmPur2025[[#This Row],[AdditMonths]]+1),ItmPur2025[[#This Row],[PriceFinal'#]])</f>
        <v>-50</v>
      </c>
      <c r="Y32" s="11"/>
      <c r="Z32" s="4">
        <f>IF(ISBLANK(ItmPur2025[[#This Row],[OverrideMo]]), MONTH(ItmPur2025[[#This Row],[Date]]), ItmPur2025[[#This Row],[OverrideMo]])</f>
        <v>1</v>
      </c>
      <c r="AA32" s="7" t="str">
        <f>_xlfn.CONCAT(ItmPur2025[[#This Row],[Cat]],ItmPur2025[[#This Row],[SubCat]])</f>
        <v>UtilitiesWifi</v>
      </c>
      <c r="AB32" s="7" t="e">
        <f>MATCH(ItmPur2025[[#This Row],[ValidationCat'#]],#REF!,0)</f>
        <v>#REF!</v>
      </c>
    </row>
    <row r="33" spans="1:28" s="7" customFormat="1" ht="15" customHeight="1" x14ac:dyDescent="0.2">
      <c r="A33" s="16">
        <v>46027</v>
      </c>
      <c r="B33" s="18">
        <v>0.2076388888888889</v>
      </c>
      <c r="C33" s="4" t="s">
        <v>57</v>
      </c>
      <c r="D33" s="4"/>
      <c r="E33" s="4"/>
      <c r="F33" s="4"/>
      <c r="G33" s="4"/>
      <c r="H33" s="5"/>
      <c r="I33" s="43"/>
      <c r="J33" s="12" t="s">
        <v>82</v>
      </c>
      <c r="K33" s="12"/>
      <c r="L33" s="15"/>
      <c r="M33" s="12">
        <v>-10</v>
      </c>
      <c r="N33" s="8">
        <f>IF(ISNUMBER(SEARCH("-",ItmPur2025[[#This Row],[PriceAdj'#]])),-1*_xlfn.NUMBERVALUE(SUBSTITUTE(ItmPur2025[[#This Row],[PriceAdj'#]],"-","")),_xlfn.NUMBERVALUE(ItmPur2025[[#This Row],[PriceAdj'#]]))</f>
        <v>-10</v>
      </c>
      <c r="O33" s="9">
        <f>IFERROR(ItmPur2025[[#This Row],[PriceFinal'#]]/ItmPur2025[[#This Row],[Qty]]*LOOKUP(ItmPur2025[[#This Row],[Qty_units]],#REF!,#REF!),0)</f>
        <v>0</v>
      </c>
      <c r="P33" s="7" t="s">
        <v>21</v>
      </c>
      <c r="Q33" s="7" t="s">
        <v>24</v>
      </c>
      <c r="S33" s="4"/>
      <c r="T33" s="11"/>
      <c r="U33" s="4">
        <f>IF(ItmPur2025[[#This Row],[OverrideMo]],ItmPur2025[[#This Row],[OverrideMo]]+ItmPur2025[[#This Row],[AdditMonths]],MONTH(ItmPur2025[[#This Row],[Date]])+ItmPur2025[[#This Row],[AdditMonths]])</f>
        <v>1</v>
      </c>
      <c r="V33" s="10" t="str">
        <f>IFERROR(IF(FIND("tax",LOWER(ItmPur2025[[#This Row],[Item]])),"TAX",""),"")</f>
        <v/>
      </c>
      <c r="W33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-10</v>
      </c>
      <c r="X33" s="8">
        <f>IF(ItmPur2025[[#This Row],[AdditMonths]]&gt;0,ItmPur2025[[#This Row],[PriceFinal'#]]/(ItmPur2025[[#This Row],[AdditMonths]]+1),ItmPur2025[[#This Row],[PriceFinal'#]])</f>
        <v>-10</v>
      </c>
      <c r="Y33" s="11"/>
      <c r="Z33" s="4">
        <f>IF(ISBLANK(ItmPur2025[[#This Row],[OverrideMo]]), MONTH(ItmPur2025[[#This Row],[Date]]), ItmPur2025[[#This Row],[OverrideMo]])</f>
        <v>1</v>
      </c>
      <c r="AA33" s="7" t="str">
        <f>_xlfn.CONCAT(ItmPur2025[[#This Row],[Cat]],ItmPur2025[[#This Row],[SubCat]])</f>
        <v>UtilitiesWifi</v>
      </c>
      <c r="AB33" s="7" t="e">
        <f>MATCH(ItmPur2025[[#This Row],[ValidationCat'#]],#REF!,0)</f>
        <v>#REF!</v>
      </c>
    </row>
    <row r="34" spans="1:28" s="7" customFormat="1" ht="15" customHeight="1" x14ac:dyDescent="0.2">
      <c r="A34" s="16">
        <v>46027</v>
      </c>
      <c r="B34" s="18">
        <v>0.2076388888888889</v>
      </c>
      <c r="C34" s="4" t="s">
        <v>57</v>
      </c>
      <c r="D34" s="4"/>
      <c r="E34" s="4"/>
      <c r="F34" s="4"/>
      <c r="G34" s="4"/>
      <c r="H34" s="5"/>
      <c r="I34" s="43"/>
      <c r="J34" s="12" t="s">
        <v>83</v>
      </c>
      <c r="K34" s="12"/>
      <c r="L34" s="15"/>
      <c r="M34" s="12">
        <v>1.21</v>
      </c>
      <c r="N34" s="8">
        <f>IF(ISNUMBER(SEARCH("-",ItmPur2025[[#This Row],[PriceAdj'#]])),-1*_xlfn.NUMBERVALUE(SUBSTITUTE(ItmPur2025[[#This Row],[PriceAdj'#]],"-","")),_xlfn.NUMBERVALUE(ItmPur2025[[#This Row],[PriceAdj'#]]))</f>
        <v>1.21</v>
      </c>
      <c r="O34" s="9">
        <f>IFERROR(ItmPur2025[[#This Row],[PriceFinal'#]]/ItmPur2025[[#This Row],[Qty]]*LOOKUP(ItmPur2025[[#This Row],[Qty_units]],#REF!,#REF!),0)</f>
        <v>0</v>
      </c>
      <c r="P34" s="7" t="s">
        <v>21</v>
      </c>
      <c r="Q34" s="7" t="s">
        <v>24</v>
      </c>
      <c r="S34" s="4"/>
      <c r="T34" s="11"/>
      <c r="U34" s="4">
        <f>IF(ItmPur2025[[#This Row],[OverrideMo]],ItmPur2025[[#This Row],[OverrideMo]]+ItmPur2025[[#This Row],[AdditMonths]],MONTH(ItmPur2025[[#This Row],[Date]])+ItmPur2025[[#This Row],[AdditMonths]])</f>
        <v>1</v>
      </c>
      <c r="V34" s="10" t="str">
        <f>IFERROR(IF(FIND("tax",LOWER(ItmPur2025[[#This Row],[Item]])),"TAX",""),"")</f>
        <v>TAX</v>
      </c>
      <c r="W34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1.21</v>
      </c>
      <c r="X34" s="8">
        <f>IF(ItmPur2025[[#This Row],[AdditMonths]]&gt;0,ItmPur2025[[#This Row],[PriceFinal'#]]/(ItmPur2025[[#This Row],[AdditMonths]]+1),ItmPur2025[[#This Row],[PriceFinal'#]])</f>
        <v>1.21</v>
      </c>
      <c r="Y34" s="11"/>
      <c r="Z34" s="4">
        <f>IF(ISBLANK(ItmPur2025[[#This Row],[OverrideMo]]), MONTH(ItmPur2025[[#This Row],[Date]]), ItmPur2025[[#This Row],[OverrideMo]])</f>
        <v>1</v>
      </c>
      <c r="AA34" s="7" t="str">
        <f>_xlfn.CONCAT(ItmPur2025[[#This Row],[Cat]],ItmPur2025[[#This Row],[SubCat]])</f>
        <v>UtilitiesWifi</v>
      </c>
      <c r="AB34" s="7" t="e">
        <f>MATCH(ItmPur2025[[#This Row],[ValidationCat'#]],#REF!,0)</f>
        <v>#REF!</v>
      </c>
    </row>
    <row r="35" spans="1:28" s="7" customFormat="1" ht="15" customHeight="1" x14ac:dyDescent="0.2">
      <c r="A35" s="16">
        <v>46028</v>
      </c>
      <c r="B35" s="61">
        <v>0.29166666666666669</v>
      </c>
      <c r="C35" s="4" t="s">
        <v>50</v>
      </c>
      <c r="D35" s="4"/>
      <c r="E35" s="4"/>
      <c r="F35" s="4"/>
      <c r="G35" s="4"/>
      <c r="H35" s="5" t="s">
        <v>130</v>
      </c>
      <c r="I35" s="41"/>
      <c r="J35" s="12" t="s">
        <v>131</v>
      </c>
      <c r="K35" s="4"/>
      <c r="M35" s="4">
        <v>1</v>
      </c>
      <c r="N35" s="8">
        <f>IF(ISNUMBER(SEARCH("-",ItmPur2025[[#This Row],[PriceAdj'#]])),-1*_xlfn.NUMBERVALUE(SUBSTITUTE(ItmPur2025[[#This Row],[PriceAdj'#]],"-","")),_xlfn.NUMBERVALUE(ItmPur2025[[#This Row],[PriceAdj'#]]))</f>
        <v>1</v>
      </c>
      <c r="O35" s="9">
        <f>IFERROR(ItmPur2025[[#This Row],[PriceFinal'#]]/ItmPur2025[[#This Row],[Qty]]*LOOKUP(ItmPur2025[[#This Row],[Qty_units]],#REF!,#REF!),0)</f>
        <v>0</v>
      </c>
      <c r="P35" s="7" t="s">
        <v>6</v>
      </c>
      <c r="Q35" s="7" t="s">
        <v>32</v>
      </c>
      <c r="S35" s="40"/>
      <c r="T35" s="11"/>
      <c r="U35" s="4">
        <f>IF(ItmPur2025[[#This Row],[OverrideMo]],ItmPur2025[[#This Row],[OverrideMo]]+ItmPur2025[[#This Row],[AdditMonths]],MONTH(ItmPur2025[[#This Row],[Date]])+ItmPur2025[[#This Row],[AdditMonths]])</f>
        <v>1</v>
      </c>
      <c r="V35" s="10" t="str">
        <f>IFERROR(IF(FIND("tax",LOWER(ItmPur2025[[#This Row],[Item]])),"TAX",""),"")</f>
        <v/>
      </c>
      <c r="W35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1</v>
      </c>
      <c r="X35" s="8">
        <f>IF(ItmPur2025[[#This Row],[AdditMonths]]&gt;0,ItmPur2025[[#This Row],[PriceFinal'#]]/(ItmPur2025[[#This Row],[AdditMonths]]+1),ItmPur2025[[#This Row],[PriceFinal'#]])</f>
        <v>1</v>
      </c>
      <c r="Y35" s="11"/>
      <c r="Z35" s="4">
        <f>IF(ISBLANK(ItmPur2025[[#This Row],[OverrideMo]]), MONTH(ItmPur2025[[#This Row],[Date]]), ItmPur2025[[#This Row],[OverrideMo]])</f>
        <v>1</v>
      </c>
      <c r="AA35" s="7" t="str">
        <f>_xlfn.CONCAT(ItmPur2025[[#This Row],[Cat]],ItmPur2025[[#This Row],[SubCat]])</f>
        <v>GiftGifts to us</v>
      </c>
      <c r="AB35" s="7" t="e">
        <f>MATCH(ItmPur2025[[#This Row],[ValidationCat'#]],#REF!,0)</f>
        <v>#REF!</v>
      </c>
    </row>
    <row r="36" spans="1:28" s="7" customFormat="1" ht="15" customHeight="1" x14ac:dyDescent="0.2">
      <c r="A36" s="16">
        <v>46028</v>
      </c>
      <c r="B36" s="61">
        <v>0.29166666666666669</v>
      </c>
      <c r="C36" s="4" t="s">
        <v>50</v>
      </c>
      <c r="D36" s="4"/>
      <c r="E36" s="4"/>
      <c r="F36" s="4"/>
      <c r="G36" s="4"/>
      <c r="H36" s="5" t="s">
        <v>130</v>
      </c>
      <c r="I36" s="41"/>
      <c r="J36" s="12" t="s">
        <v>132</v>
      </c>
      <c r="K36" s="4"/>
      <c r="M36" s="4">
        <v>1</v>
      </c>
      <c r="N36" s="8">
        <f>IF(ISNUMBER(SEARCH("-",ItmPur2025[[#This Row],[PriceAdj'#]])),-1*_xlfn.NUMBERVALUE(SUBSTITUTE(ItmPur2025[[#This Row],[PriceAdj'#]],"-","")),_xlfn.NUMBERVALUE(ItmPur2025[[#This Row],[PriceAdj'#]]))</f>
        <v>1</v>
      </c>
      <c r="O36" s="9">
        <f>IFERROR(ItmPur2025[[#This Row],[PriceFinal'#]]/ItmPur2025[[#This Row],[Qty]]*LOOKUP(ItmPur2025[[#This Row],[Qty_units]],#REF!,#REF!),0)</f>
        <v>0</v>
      </c>
      <c r="P36" s="7" t="s">
        <v>6</v>
      </c>
      <c r="Q36" s="7" t="s">
        <v>32</v>
      </c>
      <c r="S36" s="40"/>
      <c r="T36" s="11"/>
      <c r="U36" s="4">
        <f>IF(ItmPur2025[[#This Row],[OverrideMo]],ItmPur2025[[#This Row],[OverrideMo]]+ItmPur2025[[#This Row],[AdditMonths]],MONTH(ItmPur2025[[#This Row],[Date]])+ItmPur2025[[#This Row],[AdditMonths]])</f>
        <v>1</v>
      </c>
      <c r="V36" s="10" t="str">
        <f>IFERROR(IF(FIND("tax",LOWER(ItmPur2025[[#This Row],[Item]])),"TAX",""),"")</f>
        <v/>
      </c>
      <c r="W36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1</v>
      </c>
      <c r="X36" s="8">
        <f>IF(ItmPur2025[[#This Row],[AdditMonths]]&gt;0,ItmPur2025[[#This Row],[PriceFinal'#]]/(ItmPur2025[[#This Row],[AdditMonths]]+1),ItmPur2025[[#This Row],[PriceFinal'#]])</f>
        <v>1</v>
      </c>
      <c r="Y36" s="11"/>
      <c r="Z36" s="4">
        <f>IF(ISBLANK(ItmPur2025[[#This Row],[OverrideMo]]), MONTH(ItmPur2025[[#This Row],[Date]]), ItmPur2025[[#This Row],[OverrideMo]])</f>
        <v>1</v>
      </c>
      <c r="AA36" s="7" t="str">
        <f>_xlfn.CONCAT(ItmPur2025[[#This Row],[Cat]],ItmPur2025[[#This Row],[SubCat]])</f>
        <v>GiftGifts to us</v>
      </c>
      <c r="AB36" s="7" t="e">
        <f>MATCH(ItmPur2025[[#This Row],[ValidationCat'#]],#REF!,0)</f>
        <v>#REF!</v>
      </c>
    </row>
    <row r="37" spans="1:28" s="7" customFormat="1" ht="15" customHeight="1" x14ac:dyDescent="0.2">
      <c r="A37" s="16">
        <v>46028</v>
      </c>
      <c r="B37" s="61">
        <v>0.29166666666666669</v>
      </c>
      <c r="C37" s="4" t="s">
        <v>50</v>
      </c>
      <c r="D37" s="4"/>
      <c r="E37" s="4"/>
      <c r="F37" s="4"/>
      <c r="G37" s="4"/>
      <c r="H37" s="5" t="s">
        <v>130</v>
      </c>
      <c r="I37" s="41"/>
      <c r="J37" s="12" t="s">
        <v>133</v>
      </c>
      <c r="K37" s="4"/>
      <c r="M37" s="4">
        <v>1</v>
      </c>
      <c r="N37" s="8">
        <f>IF(ISNUMBER(SEARCH("-",ItmPur2025[[#This Row],[PriceAdj'#]])),-1*_xlfn.NUMBERVALUE(SUBSTITUTE(ItmPur2025[[#This Row],[PriceAdj'#]],"-","")),_xlfn.NUMBERVALUE(ItmPur2025[[#This Row],[PriceAdj'#]]))</f>
        <v>1</v>
      </c>
      <c r="O37" s="9">
        <f>IFERROR(ItmPur2025[[#This Row],[PriceFinal'#]]/ItmPur2025[[#This Row],[Qty]]*LOOKUP(ItmPur2025[[#This Row],[Qty_units]],#REF!,#REF!),0)</f>
        <v>0</v>
      </c>
      <c r="P37" s="7" t="s">
        <v>6</v>
      </c>
      <c r="Q37" s="7" t="s">
        <v>32</v>
      </c>
      <c r="S37" s="40"/>
      <c r="T37" s="11"/>
      <c r="U37" s="4">
        <f>IF(ItmPur2025[[#This Row],[OverrideMo]],ItmPur2025[[#This Row],[OverrideMo]]+ItmPur2025[[#This Row],[AdditMonths]],MONTH(ItmPur2025[[#This Row],[Date]])+ItmPur2025[[#This Row],[AdditMonths]])</f>
        <v>1</v>
      </c>
      <c r="V37" s="10" t="str">
        <f>IFERROR(IF(FIND("tax",LOWER(ItmPur2025[[#This Row],[Item]])),"TAX",""),"")</f>
        <v/>
      </c>
      <c r="W37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1</v>
      </c>
      <c r="X37" s="8">
        <f>IF(ItmPur2025[[#This Row],[AdditMonths]]&gt;0,ItmPur2025[[#This Row],[PriceFinal'#]]/(ItmPur2025[[#This Row],[AdditMonths]]+1),ItmPur2025[[#This Row],[PriceFinal'#]])</f>
        <v>1</v>
      </c>
      <c r="Y37" s="11"/>
      <c r="Z37" s="4">
        <f>IF(ISBLANK(ItmPur2025[[#This Row],[OverrideMo]]), MONTH(ItmPur2025[[#This Row],[Date]]), ItmPur2025[[#This Row],[OverrideMo]])</f>
        <v>1</v>
      </c>
      <c r="AA37" s="7" t="str">
        <f>_xlfn.CONCAT(ItmPur2025[[#This Row],[Cat]],ItmPur2025[[#This Row],[SubCat]])</f>
        <v>GiftGifts to us</v>
      </c>
      <c r="AB37" s="7" t="e">
        <f>MATCH(ItmPur2025[[#This Row],[ValidationCat'#]],#REF!,0)</f>
        <v>#REF!</v>
      </c>
    </row>
    <row r="38" spans="1:28" s="7" customFormat="1" ht="15" customHeight="1" x14ac:dyDescent="0.2">
      <c r="A38" s="16">
        <v>46028</v>
      </c>
      <c r="B38" s="61">
        <v>0.29166666666666669</v>
      </c>
      <c r="C38" s="4" t="s">
        <v>50</v>
      </c>
      <c r="D38" s="4"/>
      <c r="E38" s="4"/>
      <c r="F38" s="4"/>
      <c r="G38" s="4"/>
      <c r="H38" s="5" t="s">
        <v>130</v>
      </c>
      <c r="I38" s="6"/>
      <c r="J38" s="12" t="s">
        <v>134</v>
      </c>
      <c r="K38" s="4"/>
      <c r="M38" s="4">
        <v>1</v>
      </c>
      <c r="N38" s="8">
        <f>IF(ISNUMBER(SEARCH("-",ItmPur2025[[#This Row],[PriceAdj'#]])),-1*_xlfn.NUMBERVALUE(SUBSTITUTE(ItmPur2025[[#This Row],[PriceAdj'#]],"-","")),_xlfn.NUMBERVALUE(ItmPur2025[[#This Row],[PriceAdj'#]]))</f>
        <v>1</v>
      </c>
      <c r="O38" s="9">
        <f>IFERROR(ItmPur2025[[#This Row],[PriceFinal'#]]/ItmPur2025[[#This Row],[Qty]]*LOOKUP(ItmPur2025[[#This Row],[Qty_units]],#REF!,#REF!),0)</f>
        <v>0</v>
      </c>
      <c r="P38" s="7" t="s">
        <v>6</v>
      </c>
      <c r="Q38" s="7" t="s">
        <v>32</v>
      </c>
      <c r="S38" s="40"/>
      <c r="T38" s="11"/>
      <c r="U38" s="4">
        <f>IF(ItmPur2025[[#This Row],[OverrideMo]],ItmPur2025[[#This Row],[OverrideMo]]+ItmPur2025[[#This Row],[AdditMonths]],MONTH(ItmPur2025[[#This Row],[Date]])+ItmPur2025[[#This Row],[AdditMonths]])</f>
        <v>1</v>
      </c>
      <c r="V38" s="10" t="str">
        <f>IFERROR(IF(FIND("tax",LOWER(ItmPur2025[[#This Row],[Item]])),"TAX",""),"")</f>
        <v/>
      </c>
      <c r="W38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1</v>
      </c>
      <c r="X38" s="8">
        <f>IF(ItmPur2025[[#This Row],[AdditMonths]]&gt;0,ItmPur2025[[#This Row],[PriceFinal'#]]/(ItmPur2025[[#This Row],[AdditMonths]]+1),ItmPur2025[[#This Row],[PriceFinal'#]])</f>
        <v>1</v>
      </c>
      <c r="Y38" s="11"/>
      <c r="Z38" s="4">
        <f>IF(ISBLANK(ItmPur2025[[#This Row],[OverrideMo]]), MONTH(ItmPur2025[[#This Row],[Date]]), ItmPur2025[[#This Row],[OverrideMo]])</f>
        <v>1</v>
      </c>
      <c r="AA38" s="7" t="str">
        <f>_xlfn.CONCAT(ItmPur2025[[#This Row],[Cat]],ItmPur2025[[#This Row],[SubCat]])</f>
        <v>GiftGifts to us</v>
      </c>
      <c r="AB38" s="7" t="e">
        <f>MATCH(ItmPur2025[[#This Row],[ValidationCat'#]],#REF!,0)</f>
        <v>#REF!</v>
      </c>
    </row>
    <row r="39" spans="1:28" s="7" customFormat="1" ht="15" customHeight="1" x14ac:dyDescent="0.2">
      <c r="A39" s="16">
        <v>46028</v>
      </c>
      <c r="B39" s="61">
        <v>0.29166666666666669</v>
      </c>
      <c r="C39" s="4" t="s">
        <v>50</v>
      </c>
      <c r="D39" s="4"/>
      <c r="E39" s="4"/>
      <c r="F39" s="4"/>
      <c r="G39" s="4"/>
      <c r="H39" s="5" t="s">
        <v>130</v>
      </c>
      <c r="I39" s="41"/>
      <c r="J39" s="12" t="s">
        <v>135</v>
      </c>
      <c r="K39" s="4"/>
      <c r="M39" s="4">
        <v>1</v>
      </c>
      <c r="N39" s="8">
        <f>IF(ISNUMBER(SEARCH("-",ItmPur2025[[#This Row],[PriceAdj'#]])),-1*_xlfn.NUMBERVALUE(SUBSTITUTE(ItmPur2025[[#This Row],[PriceAdj'#]],"-","")),_xlfn.NUMBERVALUE(ItmPur2025[[#This Row],[PriceAdj'#]]))</f>
        <v>1</v>
      </c>
      <c r="O39" s="9">
        <f>IFERROR(ItmPur2025[[#This Row],[PriceFinal'#]]/ItmPur2025[[#This Row],[Qty]]*LOOKUP(ItmPur2025[[#This Row],[Qty_units]],#REF!,#REF!),0)</f>
        <v>0</v>
      </c>
      <c r="P39" s="7" t="s">
        <v>6</v>
      </c>
      <c r="Q39" s="7" t="s">
        <v>32</v>
      </c>
      <c r="S39" s="40"/>
      <c r="T39" s="11"/>
      <c r="U39" s="4">
        <f>IF(ItmPur2025[[#This Row],[OverrideMo]],ItmPur2025[[#This Row],[OverrideMo]]+ItmPur2025[[#This Row],[AdditMonths]],MONTH(ItmPur2025[[#This Row],[Date]])+ItmPur2025[[#This Row],[AdditMonths]])</f>
        <v>1</v>
      </c>
      <c r="V39" s="10" t="str">
        <f>IFERROR(IF(FIND("tax",LOWER(ItmPur2025[[#This Row],[Item]])),"TAX",""),"")</f>
        <v/>
      </c>
      <c r="W39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1</v>
      </c>
      <c r="X39" s="8">
        <f>IF(ItmPur2025[[#This Row],[AdditMonths]]&gt;0,ItmPur2025[[#This Row],[PriceFinal'#]]/(ItmPur2025[[#This Row],[AdditMonths]]+1),ItmPur2025[[#This Row],[PriceFinal'#]])</f>
        <v>1</v>
      </c>
      <c r="Y39" s="11"/>
      <c r="Z39" s="4">
        <f>IF(ISBLANK(ItmPur2025[[#This Row],[OverrideMo]]), MONTH(ItmPur2025[[#This Row],[Date]]), ItmPur2025[[#This Row],[OverrideMo]])</f>
        <v>1</v>
      </c>
      <c r="AA39" s="7" t="str">
        <f>_xlfn.CONCAT(ItmPur2025[[#This Row],[Cat]],ItmPur2025[[#This Row],[SubCat]])</f>
        <v>GiftGifts to us</v>
      </c>
      <c r="AB39" s="7" t="e">
        <f>MATCH(ItmPur2025[[#This Row],[ValidationCat'#]],#REF!,0)</f>
        <v>#REF!</v>
      </c>
    </row>
    <row r="40" spans="1:28" s="7" customFormat="1" ht="15" customHeight="1" x14ac:dyDescent="0.2">
      <c r="A40" s="16">
        <v>46028</v>
      </c>
      <c r="B40" s="61">
        <v>0.29166666666666669</v>
      </c>
      <c r="C40" s="4" t="s">
        <v>50</v>
      </c>
      <c r="D40" s="4"/>
      <c r="E40" s="4"/>
      <c r="F40" s="4"/>
      <c r="G40" s="4"/>
      <c r="H40" s="5" t="s">
        <v>130</v>
      </c>
      <c r="I40" s="41"/>
      <c r="J40" s="12" t="s">
        <v>136</v>
      </c>
      <c r="K40" s="4"/>
      <c r="M40" s="4">
        <v>1</v>
      </c>
      <c r="N40" s="8">
        <f>IF(ISNUMBER(SEARCH("-",ItmPur2025[[#This Row],[PriceAdj'#]])),-1*_xlfn.NUMBERVALUE(SUBSTITUTE(ItmPur2025[[#This Row],[PriceAdj'#]],"-","")),_xlfn.NUMBERVALUE(ItmPur2025[[#This Row],[PriceAdj'#]]))</f>
        <v>1</v>
      </c>
      <c r="O40" s="9">
        <f>IFERROR(ItmPur2025[[#This Row],[PriceFinal'#]]/ItmPur2025[[#This Row],[Qty]]*LOOKUP(ItmPur2025[[#This Row],[Qty_units]],#REF!,#REF!),0)</f>
        <v>0</v>
      </c>
      <c r="P40" s="7" t="s">
        <v>6</v>
      </c>
      <c r="Q40" s="7" t="s">
        <v>32</v>
      </c>
      <c r="S40" s="40"/>
      <c r="T40" s="11"/>
      <c r="U40" s="4">
        <f>IF(ItmPur2025[[#This Row],[OverrideMo]],ItmPur2025[[#This Row],[OverrideMo]]+ItmPur2025[[#This Row],[AdditMonths]],MONTH(ItmPur2025[[#This Row],[Date]])+ItmPur2025[[#This Row],[AdditMonths]])</f>
        <v>1</v>
      </c>
      <c r="V40" s="10" t="str">
        <f>IFERROR(IF(FIND("tax",LOWER(ItmPur2025[[#This Row],[Item]])),"TAX",""),"")</f>
        <v/>
      </c>
      <c r="W40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1</v>
      </c>
      <c r="X40" s="8">
        <f>IF(ItmPur2025[[#This Row],[AdditMonths]]&gt;0,ItmPur2025[[#This Row],[PriceFinal'#]]/(ItmPur2025[[#This Row],[AdditMonths]]+1),ItmPur2025[[#This Row],[PriceFinal'#]])</f>
        <v>1</v>
      </c>
      <c r="Y40" s="11"/>
      <c r="Z40" s="4">
        <f>IF(ISBLANK(ItmPur2025[[#This Row],[OverrideMo]]), MONTH(ItmPur2025[[#This Row],[Date]]), ItmPur2025[[#This Row],[OverrideMo]])</f>
        <v>1</v>
      </c>
      <c r="AA40" s="7" t="str">
        <f>_xlfn.CONCAT(ItmPur2025[[#This Row],[Cat]],ItmPur2025[[#This Row],[SubCat]])</f>
        <v>GiftGifts to us</v>
      </c>
      <c r="AB40" s="7" t="e">
        <f>MATCH(ItmPur2025[[#This Row],[ValidationCat'#]],#REF!,0)</f>
        <v>#REF!</v>
      </c>
    </row>
    <row r="41" spans="1:28" s="7" customFormat="1" ht="15" customHeight="1" x14ac:dyDescent="0.2">
      <c r="A41" s="16">
        <v>46028</v>
      </c>
      <c r="B41" s="61">
        <v>0.29166666666666669</v>
      </c>
      <c r="C41" s="4" t="s">
        <v>50</v>
      </c>
      <c r="D41" s="4"/>
      <c r="E41" s="4"/>
      <c r="F41" s="4"/>
      <c r="G41" s="4"/>
      <c r="H41" s="5" t="s">
        <v>130</v>
      </c>
      <c r="I41" s="41"/>
      <c r="J41" s="12" t="s">
        <v>137</v>
      </c>
      <c r="K41" s="4"/>
      <c r="M41" s="4">
        <v>1</v>
      </c>
      <c r="N41" s="8">
        <f>IF(ISNUMBER(SEARCH("-",ItmPur2025[[#This Row],[PriceAdj'#]])),-1*_xlfn.NUMBERVALUE(SUBSTITUTE(ItmPur2025[[#This Row],[PriceAdj'#]],"-","")),_xlfn.NUMBERVALUE(ItmPur2025[[#This Row],[PriceAdj'#]]))</f>
        <v>1</v>
      </c>
      <c r="O41" s="9">
        <f>IFERROR(ItmPur2025[[#This Row],[PriceFinal'#]]/ItmPur2025[[#This Row],[Qty]]*LOOKUP(ItmPur2025[[#This Row],[Qty_units]],#REF!,#REF!),0)</f>
        <v>0</v>
      </c>
      <c r="P41" s="7" t="s">
        <v>6</v>
      </c>
      <c r="Q41" s="7" t="s">
        <v>32</v>
      </c>
      <c r="S41" s="40"/>
      <c r="T41" s="11"/>
      <c r="U41" s="4">
        <f>IF(ItmPur2025[[#This Row],[OverrideMo]],ItmPur2025[[#This Row],[OverrideMo]]+ItmPur2025[[#This Row],[AdditMonths]],MONTH(ItmPur2025[[#This Row],[Date]])+ItmPur2025[[#This Row],[AdditMonths]])</f>
        <v>1</v>
      </c>
      <c r="V41" s="10" t="str">
        <f>IFERROR(IF(FIND("tax",LOWER(ItmPur2025[[#This Row],[Item]])),"TAX",""),"")</f>
        <v/>
      </c>
      <c r="W41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1</v>
      </c>
      <c r="X41" s="8">
        <f>IF(ItmPur2025[[#This Row],[AdditMonths]]&gt;0,ItmPur2025[[#This Row],[PriceFinal'#]]/(ItmPur2025[[#This Row],[AdditMonths]]+1),ItmPur2025[[#This Row],[PriceFinal'#]])</f>
        <v>1</v>
      </c>
      <c r="Y41" s="11"/>
      <c r="Z41" s="4">
        <f>IF(ISBLANK(ItmPur2025[[#This Row],[OverrideMo]]), MONTH(ItmPur2025[[#This Row],[Date]]), ItmPur2025[[#This Row],[OverrideMo]])</f>
        <v>1</v>
      </c>
      <c r="AA41" s="7" t="str">
        <f>_xlfn.CONCAT(ItmPur2025[[#This Row],[Cat]],ItmPur2025[[#This Row],[SubCat]])</f>
        <v>GiftGifts to us</v>
      </c>
      <c r="AB41" s="7" t="e">
        <f>MATCH(ItmPur2025[[#This Row],[ValidationCat'#]],#REF!,0)</f>
        <v>#REF!</v>
      </c>
    </row>
    <row r="42" spans="1:28" s="7" customFormat="1" ht="15" customHeight="1" x14ac:dyDescent="0.2">
      <c r="A42" s="16">
        <v>46028</v>
      </c>
      <c r="B42" s="61">
        <v>0.29166666666666669</v>
      </c>
      <c r="C42" s="4" t="s">
        <v>50</v>
      </c>
      <c r="D42" s="4"/>
      <c r="E42" s="4"/>
      <c r="F42" s="4"/>
      <c r="G42" s="4"/>
      <c r="H42" s="5" t="s">
        <v>130</v>
      </c>
      <c r="I42" s="41"/>
      <c r="J42" s="12" t="s">
        <v>138</v>
      </c>
      <c r="K42" s="4"/>
      <c r="M42" s="4">
        <v>-7</v>
      </c>
      <c r="N42" s="8">
        <f>IF(ISNUMBER(SEARCH("-",ItmPur2025[[#This Row],[PriceAdj'#]])),-1*_xlfn.NUMBERVALUE(SUBSTITUTE(ItmPur2025[[#This Row],[PriceAdj'#]],"-","")),_xlfn.NUMBERVALUE(ItmPur2025[[#This Row],[PriceAdj'#]]))</f>
        <v>-7</v>
      </c>
      <c r="O42" s="9">
        <f>IFERROR(ItmPur2025[[#This Row],[PriceFinal'#]]/ItmPur2025[[#This Row],[Qty]]*LOOKUP(ItmPur2025[[#This Row],[Qty_units]],#REF!,#REF!),0)</f>
        <v>0</v>
      </c>
      <c r="P42" s="7" t="s">
        <v>6</v>
      </c>
      <c r="Q42" s="7" t="s">
        <v>32</v>
      </c>
      <c r="S42" s="40"/>
      <c r="T42" s="11"/>
      <c r="U42" s="4">
        <f>IF(ItmPur2025[[#This Row],[OverrideMo]],ItmPur2025[[#This Row],[OverrideMo]]+ItmPur2025[[#This Row],[AdditMonths]],MONTH(ItmPur2025[[#This Row],[Date]])+ItmPur2025[[#This Row],[AdditMonths]])</f>
        <v>1</v>
      </c>
      <c r="V42" s="10" t="str">
        <f>IFERROR(IF(FIND("tax",LOWER(ItmPur2025[[#This Row],[Item]])),"TAX",""),"")</f>
        <v/>
      </c>
      <c r="W42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-7</v>
      </c>
      <c r="X42" s="8">
        <f>IF(ItmPur2025[[#This Row],[AdditMonths]]&gt;0,ItmPur2025[[#This Row],[PriceFinal'#]]/(ItmPur2025[[#This Row],[AdditMonths]]+1),ItmPur2025[[#This Row],[PriceFinal'#]])</f>
        <v>-7</v>
      </c>
      <c r="Y42" s="11"/>
      <c r="Z42" s="4">
        <f>IF(ISBLANK(ItmPur2025[[#This Row],[OverrideMo]]), MONTH(ItmPur2025[[#This Row],[Date]]), ItmPur2025[[#This Row],[OverrideMo]])</f>
        <v>1</v>
      </c>
      <c r="AA42" s="7" t="str">
        <f>_xlfn.CONCAT(ItmPur2025[[#This Row],[Cat]],ItmPur2025[[#This Row],[SubCat]])</f>
        <v>GiftGifts to us</v>
      </c>
      <c r="AB42" s="7" t="e">
        <f>MATCH(ItmPur2025[[#This Row],[ValidationCat'#]],#REF!,0)</f>
        <v>#REF!</v>
      </c>
    </row>
    <row r="43" spans="1:28" s="7" customFormat="1" ht="15" customHeight="1" x14ac:dyDescent="0.2">
      <c r="A43" s="46">
        <v>46030</v>
      </c>
      <c r="B43" s="60">
        <v>0.69305555555555554</v>
      </c>
      <c r="C43" s="47" t="s">
        <v>46</v>
      </c>
      <c r="D43" s="47"/>
      <c r="E43" s="47"/>
      <c r="F43" s="47"/>
      <c r="G43" s="48"/>
      <c r="H43" s="49" t="s">
        <v>177</v>
      </c>
      <c r="I43" s="50"/>
      <c r="J43" s="51" t="s">
        <v>178</v>
      </c>
      <c r="K43" s="51">
        <v>12</v>
      </c>
      <c r="L43" s="52" t="s">
        <v>38</v>
      </c>
      <c r="M43" s="51">
        <v>11.6</v>
      </c>
      <c r="N43" s="53">
        <f>IF(ISNUMBER(SEARCH("-",ItmPur2025[[#This Row],[PriceAdj'#]])),-1*_xlfn.NUMBERVALUE(SUBSTITUTE(ItmPur2025[[#This Row],[PriceAdj'#]],"-","")),_xlfn.NUMBERVALUE(ItmPur2025[[#This Row],[PriceAdj'#]]))</f>
        <v>11.6</v>
      </c>
      <c r="O43" s="54">
        <f>IFERROR(ItmPur2025[[#This Row],[PriceFinal'#]]/ItmPur2025[[#This Row],[Qty]]*LOOKUP(ItmPur2025[[#This Row],[Qty_units]],#REF!,#REF!),0)</f>
        <v>0</v>
      </c>
      <c r="P43" s="55" t="s">
        <v>4</v>
      </c>
      <c r="Q43" s="55" t="s">
        <v>5</v>
      </c>
      <c r="R43" s="55"/>
      <c r="S43" s="47"/>
      <c r="T43" s="56"/>
      <c r="U43" s="48">
        <f>IF(ItmPur2025[[#This Row],[OverrideMo]],ItmPur2025[[#This Row],[OverrideMo]]+ItmPur2025[[#This Row],[AdditMonths]],MONTH(ItmPur2025[[#This Row],[Date]])+ItmPur2025[[#This Row],[AdditMonths]])</f>
        <v>1</v>
      </c>
      <c r="V43" s="57" t="str">
        <f>IFERROR(IF(FIND("tax",LOWER(ItmPur2025[[#This Row],[Item]])),"TAX",""),"")</f>
        <v/>
      </c>
      <c r="W43" s="48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11.6</v>
      </c>
      <c r="X43" s="53">
        <f>IF(ItmPur2025[[#This Row],[AdditMonths]]&gt;0,ItmPur2025[[#This Row],[PriceFinal'#]]/(ItmPur2025[[#This Row],[AdditMonths]]+1),ItmPur2025[[#This Row],[PriceFinal'#]])</f>
        <v>11.6</v>
      </c>
      <c r="Y43" s="56"/>
      <c r="Z43" s="47">
        <f>IF(ISBLANK(ItmPur2025[[#This Row],[OverrideMo]]), MONTH(ItmPur2025[[#This Row],[Date]]), ItmPur2025[[#This Row],[OverrideMo]])</f>
        <v>1</v>
      </c>
      <c r="AA43" s="58" t="str">
        <f>_xlfn.CONCAT(ItmPur2025[[#This Row],[Cat]],ItmPur2025[[#This Row],[SubCat]])</f>
        <v>EntertainmentHospitality</v>
      </c>
      <c r="AB43" s="55" t="e">
        <f>MATCH(ItmPur2025[[#This Row],[ValidationCat'#]],#REF!,0)</f>
        <v>#REF!</v>
      </c>
    </row>
    <row r="44" spans="1:28" s="7" customFormat="1" ht="15" customHeight="1" x14ac:dyDescent="0.2">
      <c r="A44" s="16">
        <v>46030</v>
      </c>
      <c r="B44" s="61">
        <v>0.56535879629629626</v>
      </c>
      <c r="C44" s="4" t="s">
        <v>47</v>
      </c>
      <c r="D44" s="4"/>
      <c r="E44" s="4"/>
      <c r="F44" s="4"/>
      <c r="G44" s="4"/>
      <c r="H44" s="5" t="s">
        <v>129</v>
      </c>
      <c r="I44" s="6"/>
      <c r="J44" s="12" t="s">
        <v>121</v>
      </c>
      <c r="K44" s="4">
        <v>1</v>
      </c>
      <c r="L44" s="7" t="s">
        <v>79</v>
      </c>
      <c r="M44" s="4">
        <v>0.99</v>
      </c>
      <c r="N44" s="8">
        <f>IF(ISNUMBER(SEARCH("-",ItmPur2025[[#This Row],[PriceAdj'#]])),-1*_xlfn.NUMBERVALUE(SUBSTITUTE(ItmPur2025[[#This Row],[PriceAdj'#]],"-","")),_xlfn.NUMBERVALUE(ItmPur2025[[#This Row],[PriceAdj'#]]))</f>
        <v>0.99</v>
      </c>
      <c r="O44" s="9">
        <f>IFERROR(ItmPur2025[[#This Row],[PriceFinal'#]]/ItmPur2025[[#This Row],[Qty]]*LOOKUP(ItmPur2025[[#This Row],[Qty_units]],#REF!,#REF!),0)</f>
        <v>0</v>
      </c>
      <c r="P44" s="7" t="s">
        <v>18</v>
      </c>
      <c r="Q44" s="7" t="s">
        <v>20</v>
      </c>
      <c r="S44" s="40"/>
      <c r="T44" s="11"/>
      <c r="U44" s="4">
        <f>IF(ItmPur2025[[#This Row],[OverrideMo]],ItmPur2025[[#This Row],[OverrideMo]]+ItmPur2025[[#This Row],[AdditMonths]],MONTH(ItmPur2025[[#This Row],[Date]])+ItmPur2025[[#This Row],[AdditMonths]])</f>
        <v>1</v>
      </c>
      <c r="V44" s="10" t="str">
        <f>IFERROR(IF(FIND("tax",LOWER(ItmPur2025[[#This Row],[Item]])),"TAX",""),"")</f>
        <v/>
      </c>
      <c r="W44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0.99</v>
      </c>
      <c r="X44" s="8">
        <f>IF(ItmPur2025[[#This Row],[AdditMonths]]&gt;0,ItmPur2025[[#This Row],[PriceFinal'#]]/(ItmPur2025[[#This Row],[AdditMonths]]+1),ItmPur2025[[#This Row],[PriceFinal'#]])</f>
        <v>0.99</v>
      </c>
      <c r="Y44" s="11"/>
      <c r="Z44" s="4">
        <f>IF(ISBLANK(ItmPur2025[[#This Row],[OverrideMo]]), MONTH(ItmPur2025[[#This Row],[Date]]), ItmPur2025[[#This Row],[OverrideMo]])</f>
        <v>1</v>
      </c>
      <c r="AA44" s="7" t="str">
        <f>_xlfn.CONCAT(ItmPur2025[[#This Row],[Cat]],ItmPur2025[[#This Row],[SubCat]])</f>
        <v>FoodGroceries</v>
      </c>
      <c r="AB44" s="7" t="e">
        <f>MATCH(ItmPur2025[[#This Row],[ValidationCat'#]],#REF!,0)</f>
        <v>#REF!</v>
      </c>
    </row>
    <row r="45" spans="1:28" s="7" customFormat="1" ht="15" customHeight="1" x14ac:dyDescent="0.2">
      <c r="A45" s="16">
        <v>46030</v>
      </c>
      <c r="B45" s="61">
        <v>0.56535879629629626</v>
      </c>
      <c r="C45" s="4" t="s">
        <v>47</v>
      </c>
      <c r="D45" s="4"/>
      <c r="E45" s="4"/>
      <c r="F45" s="4"/>
      <c r="G45" s="4"/>
      <c r="H45" s="5" t="s">
        <v>129</v>
      </c>
      <c r="I45" s="41"/>
      <c r="J45" s="12" t="s">
        <v>122</v>
      </c>
      <c r="K45" s="4">
        <v>0.24</v>
      </c>
      <c r="L45" s="7" t="s">
        <v>37</v>
      </c>
      <c r="M45" s="4">
        <v>3.6</v>
      </c>
      <c r="N45" s="8">
        <f>IF(ISNUMBER(SEARCH("-",ItmPur2025[[#This Row],[PriceAdj'#]])),-1*_xlfn.NUMBERVALUE(SUBSTITUTE(ItmPur2025[[#This Row],[PriceAdj'#]],"-","")),_xlfn.NUMBERVALUE(ItmPur2025[[#This Row],[PriceAdj'#]]))</f>
        <v>3.6</v>
      </c>
      <c r="O45" s="9">
        <f>IFERROR(ItmPur2025[[#This Row],[PriceFinal'#]]/ItmPur2025[[#This Row],[Qty]]*LOOKUP(ItmPur2025[[#This Row],[Qty_units]],#REF!,#REF!),0)</f>
        <v>0</v>
      </c>
      <c r="P45" s="7" t="s">
        <v>18</v>
      </c>
      <c r="Q45" s="7" t="s">
        <v>20</v>
      </c>
      <c r="S45" s="40"/>
      <c r="T45" s="11"/>
      <c r="U45" s="4">
        <f>IF(ItmPur2025[[#This Row],[OverrideMo]],ItmPur2025[[#This Row],[OverrideMo]]+ItmPur2025[[#This Row],[AdditMonths]],MONTH(ItmPur2025[[#This Row],[Date]])+ItmPur2025[[#This Row],[AdditMonths]])</f>
        <v>1</v>
      </c>
      <c r="V45" s="10" t="str">
        <f>IFERROR(IF(FIND("tax",LOWER(ItmPur2025[[#This Row],[Item]])),"TAX",""),"")</f>
        <v/>
      </c>
      <c r="W45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3.6</v>
      </c>
      <c r="X45" s="8">
        <f>IF(ItmPur2025[[#This Row],[AdditMonths]]&gt;0,ItmPur2025[[#This Row],[PriceFinal'#]]/(ItmPur2025[[#This Row],[AdditMonths]]+1),ItmPur2025[[#This Row],[PriceFinal'#]])</f>
        <v>3.6</v>
      </c>
      <c r="Y45" s="11"/>
      <c r="Z45" s="4">
        <f>IF(ISBLANK(ItmPur2025[[#This Row],[OverrideMo]]), MONTH(ItmPur2025[[#This Row],[Date]]), ItmPur2025[[#This Row],[OverrideMo]])</f>
        <v>1</v>
      </c>
      <c r="AA45" s="7" t="str">
        <f>_xlfn.CONCAT(ItmPur2025[[#This Row],[Cat]],ItmPur2025[[#This Row],[SubCat]])</f>
        <v>FoodGroceries</v>
      </c>
      <c r="AB45" s="7" t="e">
        <f>MATCH(ItmPur2025[[#This Row],[ValidationCat'#]],#REF!,0)</f>
        <v>#REF!</v>
      </c>
    </row>
    <row r="46" spans="1:28" s="7" customFormat="1" ht="15" customHeight="1" x14ac:dyDescent="0.2">
      <c r="A46" s="16">
        <v>46030</v>
      </c>
      <c r="B46" s="61">
        <v>0.56535879629629626</v>
      </c>
      <c r="C46" s="4" t="s">
        <v>47</v>
      </c>
      <c r="D46" s="4"/>
      <c r="E46" s="4"/>
      <c r="F46" s="4"/>
      <c r="G46" s="4"/>
      <c r="H46" s="5" t="s">
        <v>129</v>
      </c>
      <c r="I46" s="41"/>
      <c r="J46" s="12" t="s">
        <v>123</v>
      </c>
      <c r="K46" s="4">
        <v>3</v>
      </c>
      <c r="L46" s="7" t="s">
        <v>79</v>
      </c>
      <c r="M46" s="4">
        <v>5.37</v>
      </c>
      <c r="N46" s="8">
        <f>IF(ISNUMBER(SEARCH("-",ItmPur2025[[#This Row],[PriceAdj'#]])),-1*_xlfn.NUMBERVALUE(SUBSTITUTE(ItmPur2025[[#This Row],[PriceAdj'#]],"-","")),_xlfn.NUMBERVALUE(ItmPur2025[[#This Row],[PriceAdj'#]]))</f>
        <v>5.37</v>
      </c>
      <c r="O46" s="9">
        <f>IFERROR(ItmPur2025[[#This Row],[PriceFinal'#]]/ItmPur2025[[#This Row],[Qty]]*LOOKUP(ItmPur2025[[#This Row],[Qty_units]],#REF!,#REF!),0)</f>
        <v>0</v>
      </c>
      <c r="P46" s="7" t="s">
        <v>18</v>
      </c>
      <c r="Q46" s="7" t="s">
        <v>20</v>
      </c>
      <c r="S46" s="40"/>
      <c r="T46" s="11"/>
      <c r="U46" s="4">
        <f>IF(ItmPur2025[[#This Row],[OverrideMo]],ItmPur2025[[#This Row],[OverrideMo]]+ItmPur2025[[#This Row],[AdditMonths]],MONTH(ItmPur2025[[#This Row],[Date]])+ItmPur2025[[#This Row],[AdditMonths]])</f>
        <v>1</v>
      </c>
      <c r="V46" s="10" t="str">
        <f>IFERROR(IF(FIND("tax",LOWER(ItmPur2025[[#This Row],[Item]])),"TAX",""),"")</f>
        <v/>
      </c>
      <c r="W46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5.37</v>
      </c>
      <c r="X46" s="8">
        <f>IF(ItmPur2025[[#This Row],[AdditMonths]]&gt;0,ItmPur2025[[#This Row],[PriceFinal'#]]/(ItmPur2025[[#This Row],[AdditMonths]]+1),ItmPur2025[[#This Row],[PriceFinal'#]])</f>
        <v>5.37</v>
      </c>
      <c r="Y46" s="11"/>
      <c r="Z46" s="4">
        <f>IF(ISBLANK(ItmPur2025[[#This Row],[OverrideMo]]), MONTH(ItmPur2025[[#This Row],[Date]]), ItmPur2025[[#This Row],[OverrideMo]])</f>
        <v>1</v>
      </c>
      <c r="AA46" s="7" t="str">
        <f>_xlfn.CONCAT(ItmPur2025[[#This Row],[Cat]],ItmPur2025[[#This Row],[SubCat]])</f>
        <v>FoodGroceries</v>
      </c>
      <c r="AB46" s="7" t="e">
        <f>MATCH(ItmPur2025[[#This Row],[ValidationCat'#]],#REF!,0)</f>
        <v>#REF!</v>
      </c>
    </row>
    <row r="47" spans="1:28" s="7" customFormat="1" ht="15" customHeight="1" x14ac:dyDescent="0.2">
      <c r="A47" s="16">
        <v>46030</v>
      </c>
      <c r="B47" s="61">
        <v>0.56535879629629626</v>
      </c>
      <c r="C47" s="4" t="s">
        <v>47</v>
      </c>
      <c r="D47" s="4"/>
      <c r="E47" s="4"/>
      <c r="F47" s="4"/>
      <c r="G47" s="4"/>
      <c r="H47" s="5" t="s">
        <v>129</v>
      </c>
      <c r="I47" s="41"/>
      <c r="J47" s="12" t="s">
        <v>124</v>
      </c>
      <c r="K47" s="4">
        <v>0.52</v>
      </c>
      <c r="L47" s="7" t="s">
        <v>37</v>
      </c>
      <c r="M47" s="4">
        <v>0.77</v>
      </c>
      <c r="N47" s="8">
        <f>IF(ISNUMBER(SEARCH("-",ItmPur2025[[#This Row],[PriceAdj'#]])),-1*_xlfn.NUMBERVALUE(SUBSTITUTE(ItmPur2025[[#This Row],[PriceAdj'#]],"-","")),_xlfn.NUMBERVALUE(ItmPur2025[[#This Row],[PriceAdj'#]]))</f>
        <v>0.77</v>
      </c>
      <c r="O47" s="9">
        <f>IFERROR(ItmPur2025[[#This Row],[PriceFinal'#]]/ItmPur2025[[#This Row],[Qty]]*LOOKUP(ItmPur2025[[#This Row],[Qty_units]],#REF!,#REF!),0)</f>
        <v>0</v>
      </c>
      <c r="P47" s="7" t="s">
        <v>18</v>
      </c>
      <c r="Q47" s="7" t="s">
        <v>20</v>
      </c>
      <c r="S47" s="40"/>
      <c r="T47" s="11"/>
      <c r="U47" s="4">
        <f>IF(ItmPur2025[[#This Row],[OverrideMo]],ItmPur2025[[#This Row],[OverrideMo]]+ItmPur2025[[#This Row],[AdditMonths]],MONTH(ItmPur2025[[#This Row],[Date]])+ItmPur2025[[#This Row],[AdditMonths]])</f>
        <v>1</v>
      </c>
      <c r="V47" s="10" t="str">
        <f>IFERROR(IF(FIND("tax",LOWER(ItmPur2025[[#This Row],[Item]])),"TAX",""),"")</f>
        <v/>
      </c>
      <c r="W47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0.77</v>
      </c>
      <c r="X47" s="8">
        <f>IF(ItmPur2025[[#This Row],[AdditMonths]]&gt;0,ItmPur2025[[#This Row],[PriceFinal'#]]/(ItmPur2025[[#This Row],[AdditMonths]]+1),ItmPur2025[[#This Row],[PriceFinal'#]])</f>
        <v>0.77</v>
      </c>
      <c r="Y47" s="11"/>
      <c r="Z47" s="4">
        <f>IF(ISBLANK(ItmPur2025[[#This Row],[OverrideMo]]), MONTH(ItmPur2025[[#This Row],[Date]]), ItmPur2025[[#This Row],[OverrideMo]])</f>
        <v>1</v>
      </c>
      <c r="AA47" s="7" t="str">
        <f>_xlfn.CONCAT(ItmPur2025[[#This Row],[Cat]],ItmPur2025[[#This Row],[SubCat]])</f>
        <v>FoodGroceries</v>
      </c>
      <c r="AB47" s="7" t="e">
        <f>MATCH(ItmPur2025[[#This Row],[ValidationCat'#]],#REF!,0)</f>
        <v>#REF!</v>
      </c>
    </row>
    <row r="48" spans="1:28" s="7" customFormat="1" ht="15" customHeight="1" x14ac:dyDescent="0.2">
      <c r="A48" s="16">
        <v>46030</v>
      </c>
      <c r="B48" s="61">
        <v>0.56535879629629626</v>
      </c>
      <c r="C48" s="4" t="s">
        <v>47</v>
      </c>
      <c r="D48" s="4"/>
      <c r="E48" s="4"/>
      <c r="F48" s="4"/>
      <c r="G48" s="4"/>
      <c r="H48" s="5" t="s">
        <v>129</v>
      </c>
      <c r="I48" s="41"/>
      <c r="J48" s="12" t="s">
        <v>125</v>
      </c>
      <c r="K48" s="4">
        <v>1.18</v>
      </c>
      <c r="L48" s="7" t="s">
        <v>37</v>
      </c>
      <c r="M48" s="4">
        <v>2.94</v>
      </c>
      <c r="N48" s="8">
        <f>IF(ISNUMBER(SEARCH("-",ItmPur2025[[#This Row],[PriceAdj'#]])),-1*_xlfn.NUMBERVALUE(SUBSTITUTE(ItmPur2025[[#This Row],[PriceAdj'#]],"-","")),_xlfn.NUMBERVALUE(ItmPur2025[[#This Row],[PriceAdj'#]]))</f>
        <v>2.94</v>
      </c>
      <c r="O48" s="9">
        <f>IFERROR(ItmPur2025[[#This Row],[PriceFinal'#]]/ItmPur2025[[#This Row],[Qty]]*LOOKUP(ItmPur2025[[#This Row],[Qty_units]],#REF!,#REF!),0)</f>
        <v>0</v>
      </c>
      <c r="P48" s="7" t="s">
        <v>18</v>
      </c>
      <c r="Q48" s="7" t="s">
        <v>20</v>
      </c>
      <c r="S48" s="40"/>
      <c r="T48" s="11"/>
      <c r="U48" s="4">
        <f>IF(ItmPur2025[[#This Row],[OverrideMo]],ItmPur2025[[#This Row],[OverrideMo]]+ItmPur2025[[#This Row],[AdditMonths]],MONTH(ItmPur2025[[#This Row],[Date]])+ItmPur2025[[#This Row],[AdditMonths]])</f>
        <v>1</v>
      </c>
      <c r="V48" s="10" t="str">
        <f>IFERROR(IF(FIND("tax",LOWER(ItmPur2025[[#This Row],[Item]])),"TAX",""),"")</f>
        <v/>
      </c>
      <c r="W48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2.94</v>
      </c>
      <c r="X48" s="8">
        <f>IF(ItmPur2025[[#This Row],[AdditMonths]]&gt;0,ItmPur2025[[#This Row],[PriceFinal'#]]/(ItmPur2025[[#This Row],[AdditMonths]]+1),ItmPur2025[[#This Row],[PriceFinal'#]])</f>
        <v>2.94</v>
      </c>
      <c r="Y48" s="11"/>
      <c r="Z48" s="4">
        <f>IF(ISBLANK(ItmPur2025[[#This Row],[OverrideMo]]), MONTH(ItmPur2025[[#This Row],[Date]]), ItmPur2025[[#This Row],[OverrideMo]])</f>
        <v>1</v>
      </c>
      <c r="AA48" s="7" t="str">
        <f>_xlfn.CONCAT(ItmPur2025[[#This Row],[Cat]],ItmPur2025[[#This Row],[SubCat]])</f>
        <v>FoodGroceries</v>
      </c>
      <c r="AB48" s="7" t="e">
        <f>MATCH(ItmPur2025[[#This Row],[ValidationCat'#]],#REF!,0)</f>
        <v>#REF!</v>
      </c>
    </row>
    <row r="49" spans="1:28" s="7" customFormat="1" ht="15" customHeight="1" x14ac:dyDescent="0.2">
      <c r="A49" s="16">
        <v>46030</v>
      </c>
      <c r="B49" s="61">
        <v>0.56535879629629626</v>
      </c>
      <c r="C49" s="4" t="s">
        <v>47</v>
      </c>
      <c r="D49" s="4"/>
      <c r="E49" s="4"/>
      <c r="F49" s="4"/>
      <c r="G49" s="4"/>
      <c r="H49" s="5" t="s">
        <v>129</v>
      </c>
      <c r="I49" s="41"/>
      <c r="J49" s="12" t="s">
        <v>126</v>
      </c>
      <c r="K49" s="4">
        <v>3</v>
      </c>
      <c r="L49" s="7" t="s">
        <v>79</v>
      </c>
      <c r="M49" s="4">
        <v>0.87</v>
      </c>
      <c r="N49" s="8">
        <f>IF(ISNUMBER(SEARCH("-",ItmPur2025[[#This Row],[PriceAdj'#]])),-1*_xlfn.NUMBERVALUE(SUBSTITUTE(ItmPur2025[[#This Row],[PriceAdj'#]],"-","")),_xlfn.NUMBERVALUE(ItmPur2025[[#This Row],[PriceAdj'#]]))</f>
        <v>0.87</v>
      </c>
      <c r="O49" s="9">
        <f>IFERROR(ItmPur2025[[#This Row],[PriceFinal'#]]/ItmPur2025[[#This Row],[Qty]]*LOOKUP(ItmPur2025[[#This Row],[Qty_units]],#REF!,#REF!),0)</f>
        <v>0</v>
      </c>
      <c r="P49" s="7" t="s">
        <v>18</v>
      </c>
      <c r="Q49" s="7" t="s">
        <v>20</v>
      </c>
      <c r="S49" s="40"/>
      <c r="T49" s="11"/>
      <c r="U49" s="4">
        <f>IF(ItmPur2025[[#This Row],[OverrideMo]],ItmPur2025[[#This Row],[OverrideMo]]+ItmPur2025[[#This Row],[AdditMonths]],MONTH(ItmPur2025[[#This Row],[Date]])+ItmPur2025[[#This Row],[AdditMonths]])</f>
        <v>1</v>
      </c>
      <c r="V49" s="10" t="str">
        <f>IFERROR(IF(FIND("tax",LOWER(ItmPur2025[[#This Row],[Item]])),"TAX",""),"")</f>
        <v/>
      </c>
      <c r="W49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0.87</v>
      </c>
      <c r="X49" s="8">
        <f>IF(ItmPur2025[[#This Row],[AdditMonths]]&gt;0,ItmPur2025[[#This Row],[PriceFinal'#]]/(ItmPur2025[[#This Row],[AdditMonths]]+1),ItmPur2025[[#This Row],[PriceFinal'#]])</f>
        <v>0.87</v>
      </c>
      <c r="Y49" s="11"/>
      <c r="Z49" s="4">
        <f>IF(ISBLANK(ItmPur2025[[#This Row],[OverrideMo]]), MONTH(ItmPur2025[[#This Row],[Date]]), ItmPur2025[[#This Row],[OverrideMo]])</f>
        <v>1</v>
      </c>
      <c r="AA49" s="7" t="str">
        <f>_xlfn.CONCAT(ItmPur2025[[#This Row],[Cat]],ItmPur2025[[#This Row],[SubCat]])</f>
        <v>FoodGroceries</v>
      </c>
      <c r="AB49" s="7" t="e">
        <f>MATCH(ItmPur2025[[#This Row],[ValidationCat'#]],#REF!,0)</f>
        <v>#REF!</v>
      </c>
    </row>
    <row r="50" spans="1:28" s="7" customFormat="1" ht="15" customHeight="1" x14ac:dyDescent="0.2">
      <c r="A50" s="16">
        <v>46030</v>
      </c>
      <c r="B50" s="61">
        <v>0.56535879629629626</v>
      </c>
      <c r="C50" s="4" t="s">
        <v>47</v>
      </c>
      <c r="D50" s="4"/>
      <c r="E50" s="4"/>
      <c r="F50" s="4"/>
      <c r="G50" s="4"/>
      <c r="H50" s="5" t="s">
        <v>129</v>
      </c>
      <c r="I50" s="41"/>
      <c r="J50" s="12" t="s">
        <v>127</v>
      </c>
      <c r="K50" s="4">
        <v>1.58</v>
      </c>
      <c r="L50" s="7" t="s">
        <v>37</v>
      </c>
      <c r="M50" s="4">
        <v>2.02</v>
      </c>
      <c r="N50" s="8">
        <f>IF(ISNUMBER(SEARCH("-",ItmPur2025[[#This Row],[PriceAdj'#]])),-1*_xlfn.NUMBERVALUE(SUBSTITUTE(ItmPur2025[[#This Row],[PriceAdj'#]],"-","")),_xlfn.NUMBERVALUE(ItmPur2025[[#This Row],[PriceAdj'#]]))</f>
        <v>2.02</v>
      </c>
      <c r="O50" s="9">
        <f>IFERROR(ItmPur2025[[#This Row],[PriceFinal'#]]/ItmPur2025[[#This Row],[Qty]]*LOOKUP(ItmPur2025[[#This Row],[Qty_units]],#REF!,#REF!),0)</f>
        <v>0</v>
      </c>
      <c r="P50" s="7" t="s">
        <v>18</v>
      </c>
      <c r="Q50" s="7" t="s">
        <v>20</v>
      </c>
      <c r="S50" s="40"/>
      <c r="T50" s="11"/>
      <c r="U50" s="4">
        <f>IF(ItmPur2025[[#This Row],[OverrideMo]],ItmPur2025[[#This Row],[OverrideMo]]+ItmPur2025[[#This Row],[AdditMonths]],MONTH(ItmPur2025[[#This Row],[Date]])+ItmPur2025[[#This Row],[AdditMonths]])</f>
        <v>1</v>
      </c>
      <c r="V50" s="10" t="str">
        <f>IFERROR(IF(FIND("tax",LOWER(ItmPur2025[[#This Row],[Item]])),"TAX",""),"")</f>
        <v/>
      </c>
      <c r="W50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2.02</v>
      </c>
      <c r="X50" s="8">
        <f>IF(ItmPur2025[[#This Row],[AdditMonths]]&gt;0,ItmPur2025[[#This Row],[PriceFinal'#]]/(ItmPur2025[[#This Row],[AdditMonths]]+1),ItmPur2025[[#This Row],[PriceFinal'#]])</f>
        <v>2.02</v>
      </c>
      <c r="Y50" s="11"/>
      <c r="Z50" s="4">
        <f>IF(ISBLANK(ItmPur2025[[#This Row],[OverrideMo]]), MONTH(ItmPur2025[[#This Row],[Date]]), ItmPur2025[[#This Row],[OverrideMo]])</f>
        <v>1</v>
      </c>
      <c r="AA50" s="7" t="str">
        <f>_xlfn.CONCAT(ItmPur2025[[#This Row],[Cat]],ItmPur2025[[#This Row],[SubCat]])</f>
        <v>FoodGroceries</v>
      </c>
      <c r="AB50" s="7" t="e">
        <f>MATCH(ItmPur2025[[#This Row],[ValidationCat'#]],#REF!,0)</f>
        <v>#REF!</v>
      </c>
    </row>
    <row r="51" spans="1:28" s="7" customFormat="1" ht="15" customHeight="1" x14ac:dyDescent="0.2">
      <c r="A51" s="16">
        <v>46030</v>
      </c>
      <c r="B51" s="61">
        <v>0.56535879629629626</v>
      </c>
      <c r="C51" s="4" t="s">
        <v>47</v>
      </c>
      <c r="D51" s="4"/>
      <c r="E51" s="4"/>
      <c r="F51" s="4"/>
      <c r="G51" s="4"/>
      <c r="H51" s="5" t="s">
        <v>129</v>
      </c>
      <c r="I51" s="41"/>
      <c r="J51" s="12" t="s">
        <v>128</v>
      </c>
      <c r="K51" s="4">
        <v>1.25</v>
      </c>
      <c r="L51" s="7" t="s">
        <v>37</v>
      </c>
      <c r="M51" s="4">
        <v>0.73</v>
      </c>
      <c r="N51" s="8">
        <f>IF(ISNUMBER(SEARCH("-",ItmPur2025[[#This Row],[PriceAdj'#]])),-1*_xlfn.NUMBERVALUE(SUBSTITUTE(ItmPur2025[[#This Row],[PriceAdj'#]],"-","")),_xlfn.NUMBERVALUE(ItmPur2025[[#This Row],[PriceAdj'#]]))</f>
        <v>0.73</v>
      </c>
      <c r="O51" s="9">
        <f>IFERROR(ItmPur2025[[#This Row],[PriceFinal'#]]/ItmPur2025[[#This Row],[Qty]]*LOOKUP(ItmPur2025[[#This Row],[Qty_units]],#REF!,#REF!),0)</f>
        <v>0</v>
      </c>
      <c r="P51" s="7" t="s">
        <v>18</v>
      </c>
      <c r="Q51" s="7" t="s">
        <v>20</v>
      </c>
      <c r="S51" s="40"/>
      <c r="T51" s="11"/>
      <c r="U51" s="4">
        <f>IF(ItmPur2025[[#This Row],[OverrideMo]],ItmPur2025[[#This Row],[OverrideMo]]+ItmPur2025[[#This Row],[AdditMonths]],MONTH(ItmPur2025[[#This Row],[Date]])+ItmPur2025[[#This Row],[AdditMonths]])</f>
        <v>1</v>
      </c>
      <c r="V51" s="10" t="str">
        <f>IFERROR(IF(FIND("tax",LOWER(ItmPur2025[[#This Row],[Item]])),"TAX",""),"")</f>
        <v/>
      </c>
      <c r="W51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0.73</v>
      </c>
      <c r="X51" s="8">
        <f>IF(ItmPur2025[[#This Row],[AdditMonths]]&gt;0,ItmPur2025[[#This Row],[PriceFinal'#]]/(ItmPur2025[[#This Row],[AdditMonths]]+1),ItmPur2025[[#This Row],[PriceFinal'#]])</f>
        <v>0.73</v>
      </c>
      <c r="Y51" s="11"/>
      <c r="Z51" s="4">
        <f>IF(ISBLANK(ItmPur2025[[#This Row],[OverrideMo]]), MONTH(ItmPur2025[[#This Row],[Date]]), ItmPur2025[[#This Row],[OverrideMo]])</f>
        <v>1</v>
      </c>
      <c r="AA51" s="7" t="str">
        <f>_xlfn.CONCAT(ItmPur2025[[#This Row],[Cat]],ItmPur2025[[#This Row],[SubCat]])</f>
        <v>FoodGroceries</v>
      </c>
      <c r="AB51" s="7" t="e">
        <f>MATCH(ItmPur2025[[#This Row],[ValidationCat'#]],#REF!,0)</f>
        <v>#REF!</v>
      </c>
    </row>
    <row r="52" spans="1:28" s="7" customFormat="1" ht="15" customHeight="1" x14ac:dyDescent="0.2">
      <c r="A52" s="16">
        <v>46030</v>
      </c>
      <c r="B52" s="61">
        <v>0.56535879629629626</v>
      </c>
      <c r="C52" s="4" t="s">
        <v>47</v>
      </c>
      <c r="D52" s="4"/>
      <c r="E52" s="4"/>
      <c r="F52" s="4"/>
      <c r="G52" s="4"/>
      <c r="H52" s="5" t="s">
        <v>129</v>
      </c>
      <c r="I52" s="41"/>
      <c r="J52" s="12" t="s">
        <v>12</v>
      </c>
      <c r="K52" s="4">
        <v>8</v>
      </c>
      <c r="L52" s="7" t="s">
        <v>79</v>
      </c>
      <c r="M52" s="4">
        <v>0</v>
      </c>
      <c r="N52" s="8">
        <f>IF(ISNUMBER(SEARCH("-",ItmPur2025[[#This Row],[PriceAdj'#]])),-1*_xlfn.NUMBERVALUE(SUBSTITUTE(ItmPur2025[[#This Row],[PriceAdj'#]],"-","")),_xlfn.NUMBERVALUE(ItmPur2025[[#This Row],[PriceAdj'#]]))</f>
        <v>0</v>
      </c>
      <c r="O52" s="9">
        <f>IFERROR(ItmPur2025[[#This Row],[PriceFinal'#]]/ItmPur2025[[#This Row],[Qty]]*LOOKUP(ItmPur2025[[#This Row],[Qty_units]],#REF!,#REF!),0)</f>
        <v>0</v>
      </c>
      <c r="P52" s="7" t="s">
        <v>18</v>
      </c>
      <c r="Q52" s="7" t="s">
        <v>20</v>
      </c>
      <c r="S52" s="40"/>
      <c r="T52" s="11"/>
      <c r="U52" s="4">
        <f>IF(ItmPur2025[[#This Row],[OverrideMo]],ItmPur2025[[#This Row],[OverrideMo]]+ItmPur2025[[#This Row],[AdditMonths]],MONTH(ItmPur2025[[#This Row],[Date]])+ItmPur2025[[#This Row],[AdditMonths]])</f>
        <v>1</v>
      </c>
      <c r="V52" s="10" t="str">
        <f>IFERROR(IF(FIND("tax",LOWER(ItmPur2025[[#This Row],[Item]])),"TAX",""),"")</f>
        <v>TAX</v>
      </c>
      <c r="W52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0</v>
      </c>
      <c r="X52" s="8">
        <f>IF(ItmPur2025[[#This Row],[AdditMonths]]&gt;0,ItmPur2025[[#This Row],[PriceFinal'#]]/(ItmPur2025[[#This Row],[AdditMonths]]+1),ItmPur2025[[#This Row],[PriceFinal'#]])</f>
        <v>0</v>
      </c>
      <c r="Y52" s="11"/>
      <c r="Z52" s="4">
        <f>IF(ISBLANK(ItmPur2025[[#This Row],[OverrideMo]]), MONTH(ItmPur2025[[#This Row],[Date]]), ItmPur2025[[#This Row],[OverrideMo]])</f>
        <v>1</v>
      </c>
      <c r="AA52" s="7" t="str">
        <f>_xlfn.CONCAT(ItmPur2025[[#This Row],[Cat]],ItmPur2025[[#This Row],[SubCat]])</f>
        <v>FoodGroceries</v>
      </c>
      <c r="AB52" s="7" t="e">
        <f>MATCH(ItmPur2025[[#This Row],[ValidationCat'#]],#REF!,0)</f>
        <v>#REF!</v>
      </c>
    </row>
    <row r="53" spans="1:28" s="7" customFormat="1" ht="15" customHeight="1" x14ac:dyDescent="0.2">
      <c r="A53" s="16">
        <v>46030</v>
      </c>
      <c r="B53" s="61">
        <v>0.54236111111111107</v>
      </c>
      <c r="C53" s="4" t="s">
        <v>44</v>
      </c>
      <c r="D53" s="4"/>
      <c r="E53" s="4"/>
      <c r="F53" s="4"/>
      <c r="G53" s="4"/>
      <c r="H53" s="19" t="s">
        <v>139</v>
      </c>
      <c r="I53" s="42" t="s">
        <v>140</v>
      </c>
      <c r="J53" s="12" t="s">
        <v>141</v>
      </c>
      <c r="K53" s="4"/>
      <c r="M53" s="4" t="s">
        <v>150</v>
      </c>
      <c r="N53" s="8">
        <f>IF(ISNUMBER(SEARCH("-",ItmPur2025[[#This Row],[PriceAdj'#]])),-1*_xlfn.NUMBERVALUE(SUBSTITUTE(ItmPur2025[[#This Row],[PriceAdj'#]],"-","")),_xlfn.NUMBERVALUE(ItmPur2025[[#This Row],[PriceAdj'#]]))</f>
        <v>14.99</v>
      </c>
      <c r="O53" s="9">
        <f>IFERROR(ItmPur2025[[#This Row],[PriceFinal'#]]/ItmPur2025[[#This Row],[Qty]]*LOOKUP(ItmPur2025[[#This Row],[Qty_units]],#REF!,#REF!),0)</f>
        <v>0</v>
      </c>
      <c r="P53" s="7" t="s">
        <v>9</v>
      </c>
      <c r="Q53" s="7" t="s">
        <v>33</v>
      </c>
      <c r="S53" s="40"/>
      <c r="T53" s="11"/>
      <c r="U53" s="4">
        <f>IF(ItmPur2025[[#This Row],[OverrideMo]],ItmPur2025[[#This Row],[OverrideMo]]+ItmPur2025[[#This Row],[AdditMonths]],MONTH(ItmPur2025[[#This Row],[Date]])+ItmPur2025[[#This Row],[AdditMonths]])</f>
        <v>1</v>
      </c>
      <c r="V53" s="10" t="str">
        <f>IFERROR(IF(FIND("tax",LOWER(ItmPur2025[[#This Row],[Item]])),"TAX",""),"")</f>
        <v/>
      </c>
      <c r="W53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14.99</v>
      </c>
      <c r="X53" s="8">
        <f>IF(ItmPur2025[[#This Row],[AdditMonths]]&gt;0,ItmPur2025[[#This Row],[PriceFinal'#]]/(ItmPur2025[[#This Row],[AdditMonths]]+1),ItmPur2025[[#This Row],[PriceFinal'#]])</f>
        <v>14.99</v>
      </c>
      <c r="Y53" s="11"/>
      <c r="Z53" s="4">
        <f>IF(ISBLANK(ItmPur2025[[#This Row],[OverrideMo]]), MONTH(ItmPur2025[[#This Row],[Date]]), ItmPur2025[[#This Row],[OverrideMo]])</f>
        <v>1</v>
      </c>
      <c r="AA53" s="7" t="str">
        <f>_xlfn.CONCAT(ItmPur2025[[#This Row],[Cat]],ItmPur2025[[#This Row],[SubCat]])</f>
        <v>HousingSupplies &amp; Furnishings</v>
      </c>
      <c r="AB53" s="7" t="e">
        <f>MATCH(ItmPur2025[[#This Row],[ValidationCat'#]],#REF!,0)</f>
        <v>#REF!</v>
      </c>
    </row>
    <row r="54" spans="1:28" s="7" customFormat="1" ht="15" customHeight="1" x14ac:dyDescent="0.2">
      <c r="A54" s="16">
        <v>46030</v>
      </c>
      <c r="B54" s="61">
        <v>0.54236111111111107</v>
      </c>
      <c r="C54" s="4" t="s">
        <v>44</v>
      </c>
      <c r="D54" s="4"/>
      <c r="E54" s="4"/>
      <c r="F54" s="4"/>
      <c r="G54" s="4"/>
      <c r="H54" s="19" t="s">
        <v>139</v>
      </c>
      <c r="I54" s="41"/>
      <c r="J54" s="12" t="s">
        <v>142</v>
      </c>
      <c r="K54" s="4"/>
      <c r="M54" s="4">
        <v>17.989999999999998</v>
      </c>
      <c r="N54" s="8">
        <f>IF(ISNUMBER(SEARCH("-",ItmPur2025[[#This Row],[PriceAdj'#]])),-1*_xlfn.NUMBERVALUE(SUBSTITUTE(ItmPur2025[[#This Row],[PriceAdj'#]],"-","")),_xlfn.NUMBERVALUE(ItmPur2025[[#This Row],[PriceAdj'#]]))</f>
        <v>17.989999999999998</v>
      </c>
      <c r="O54" s="9">
        <f>IFERROR(ItmPur2025[[#This Row],[PriceFinal'#]]/ItmPur2025[[#This Row],[Qty]]*LOOKUP(ItmPur2025[[#This Row],[Qty_units]],#REF!,#REF!),0)</f>
        <v>0</v>
      </c>
      <c r="P54" s="7" t="s">
        <v>18</v>
      </c>
      <c r="Q54" s="7" t="s">
        <v>20</v>
      </c>
      <c r="S54" s="40"/>
      <c r="T54" s="11"/>
      <c r="U54" s="4">
        <f>IF(ItmPur2025[[#This Row],[OverrideMo]],ItmPur2025[[#This Row],[OverrideMo]]+ItmPur2025[[#This Row],[AdditMonths]],MONTH(ItmPur2025[[#This Row],[Date]])+ItmPur2025[[#This Row],[AdditMonths]])</f>
        <v>1</v>
      </c>
      <c r="V54" s="10" t="str">
        <f>IFERROR(IF(FIND("tax",LOWER(ItmPur2025[[#This Row],[Item]])),"TAX",""),"")</f>
        <v/>
      </c>
      <c r="W54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17.99</v>
      </c>
      <c r="X54" s="8">
        <f>IF(ItmPur2025[[#This Row],[AdditMonths]]&gt;0,ItmPur2025[[#This Row],[PriceFinal'#]]/(ItmPur2025[[#This Row],[AdditMonths]]+1),ItmPur2025[[#This Row],[PriceFinal'#]])</f>
        <v>17.989999999999998</v>
      </c>
      <c r="Y54" s="11"/>
      <c r="Z54" s="4">
        <f>IF(ISBLANK(ItmPur2025[[#This Row],[OverrideMo]]), MONTH(ItmPur2025[[#This Row],[Date]]), ItmPur2025[[#This Row],[OverrideMo]])</f>
        <v>1</v>
      </c>
      <c r="AA54" s="7" t="str">
        <f>_xlfn.CONCAT(ItmPur2025[[#This Row],[Cat]],ItmPur2025[[#This Row],[SubCat]])</f>
        <v>FoodGroceries</v>
      </c>
      <c r="AB54" s="7" t="e">
        <f>MATCH(ItmPur2025[[#This Row],[ValidationCat'#]],#REF!,0)</f>
        <v>#REF!</v>
      </c>
    </row>
    <row r="55" spans="1:28" s="7" customFormat="1" ht="15" customHeight="1" x14ac:dyDescent="0.2">
      <c r="A55" s="16">
        <v>46030</v>
      </c>
      <c r="B55" s="61">
        <v>0.54236111111111107</v>
      </c>
      <c r="C55" s="4" t="s">
        <v>44</v>
      </c>
      <c r="D55" s="4"/>
      <c r="E55" s="4"/>
      <c r="F55" s="4"/>
      <c r="G55" s="4"/>
      <c r="H55" s="19" t="s">
        <v>139</v>
      </c>
      <c r="I55" s="41"/>
      <c r="J55" s="12" t="s">
        <v>143</v>
      </c>
      <c r="K55" s="4"/>
      <c r="M55" s="4" t="s">
        <v>109</v>
      </c>
      <c r="N55" s="8">
        <f>IF(ISNUMBER(SEARCH("-",ItmPur2025[[#This Row],[PriceAdj'#]])),-1*_xlfn.NUMBERVALUE(SUBSTITUTE(ItmPur2025[[#This Row],[PriceAdj'#]],"-","")),_xlfn.NUMBERVALUE(ItmPur2025[[#This Row],[PriceAdj'#]]))</f>
        <v>-4</v>
      </c>
      <c r="O55" s="9">
        <f>IFERROR(ItmPur2025[[#This Row],[PriceFinal'#]]/ItmPur2025[[#This Row],[Qty]]*LOOKUP(ItmPur2025[[#This Row],[Qty_units]],#REF!,#REF!),0)</f>
        <v>0</v>
      </c>
      <c r="P55" s="7" t="s">
        <v>18</v>
      </c>
      <c r="Q55" s="7" t="s">
        <v>20</v>
      </c>
      <c r="S55" s="40"/>
      <c r="T55" s="11"/>
      <c r="U55" s="4">
        <f>IF(ItmPur2025[[#This Row],[OverrideMo]],ItmPur2025[[#This Row],[OverrideMo]]+ItmPur2025[[#This Row],[AdditMonths]],MONTH(ItmPur2025[[#This Row],[Date]])+ItmPur2025[[#This Row],[AdditMonths]])</f>
        <v>1</v>
      </c>
      <c r="V55" s="10" t="str">
        <f>IFERROR(IF(FIND("tax",LOWER(ItmPur2025[[#This Row],[Item]])),"TAX",""),"")</f>
        <v/>
      </c>
      <c r="W55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4.0-</v>
      </c>
      <c r="X55" s="8">
        <f>IF(ItmPur2025[[#This Row],[AdditMonths]]&gt;0,ItmPur2025[[#This Row],[PriceFinal'#]]/(ItmPur2025[[#This Row],[AdditMonths]]+1),ItmPur2025[[#This Row],[PriceFinal'#]])</f>
        <v>-4</v>
      </c>
      <c r="Y55" s="11"/>
      <c r="Z55" s="4">
        <f>IF(ISBLANK(ItmPur2025[[#This Row],[OverrideMo]]), MONTH(ItmPur2025[[#This Row],[Date]]), ItmPur2025[[#This Row],[OverrideMo]])</f>
        <v>1</v>
      </c>
      <c r="AA55" s="7" t="str">
        <f>_xlfn.CONCAT(ItmPur2025[[#This Row],[Cat]],ItmPur2025[[#This Row],[SubCat]])</f>
        <v>FoodGroceries</v>
      </c>
      <c r="AB55" s="7" t="e">
        <f>MATCH(ItmPur2025[[#This Row],[ValidationCat'#]],#REF!,0)</f>
        <v>#REF!</v>
      </c>
    </row>
    <row r="56" spans="1:28" s="7" customFormat="1" ht="15" customHeight="1" x14ac:dyDescent="0.2">
      <c r="A56" s="16">
        <v>46030</v>
      </c>
      <c r="B56" s="61">
        <v>0.54236111111111107</v>
      </c>
      <c r="C56" s="4" t="s">
        <v>44</v>
      </c>
      <c r="D56" s="4"/>
      <c r="E56" s="4"/>
      <c r="F56" s="4"/>
      <c r="G56" s="4"/>
      <c r="H56" s="19" t="s">
        <v>139</v>
      </c>
      <c r="I56" s="41"/>
      <c r="J56" s="12" t="s">
        <v>144</v>
      </c>
      <c r="K56" s="4"/>
      <c r="M56" s="4">
        <v>6.99</v>
      </c>
      <c r="N56" s="8">
        <f>IF(ISNUMBER(SEARCH("-",ItmPur2025[[#This Row],[PriceAdj'#]])),-1*_xlfn.NUMBERVALUE(SUBSTITUTE(ItmPur2025[[#This Row],[PriceAdj'#]],"-","")),_xlfn.NUMBERVALUE(ItmPur2025[[#This Row],[PriceAdj'#]]))</f>
        <v>6.99</v>
      </c>
      <c r="O56" s="9">
        <f>IFERROR(ItmPur2025[[#This Row],[PriceFinal'#]]/ItmPur2025[[#This Row],[Qty]]*LOOKUP(ItmPur2025[[#This Row],[Qty_units]],#REF!,#REF!),0)</f>
        <v>0</v>
      </c>
      <c r="P56" s="7" t="s">
        <v>18</v>
      </c>
      <c r="Q56" s="7" t="s">
        <v>20</v>
      </c>
      <c r="S56" s="40"/>
      <c r="T56" s="11"/>
      <c r="U56" s="4">
        <f>IF(ItmPur2025[[#This Row],[OverrideMo]],ItmPur2025[[#This Row],[OverrideMo]]+ItmPur2025[[#This Row],[AdditMonths]],MONTH(ItmPur2025[[#This Row],[Date]])+ItmPur2025[[#This Row],[AdditMonths]])</f>
        <v>1</v>
      </c>
      <c r="V56" s="10" t="str">
        <f>IFERROR(IF(FIND("tax",LOWER(ItmPur2025[[#This Row],[Item]])),"TAX",""),"")</f>
        <v/>
      </c>
      <c r="W56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6.99</v>
      </c>
      <c r="X56" s="8">
        <f>IF(ItmPur2025[[#This Row],[AdditMonths]]&gt;0,ItmPur2025[[#This Row],[PriceFinal'#]]/(ItmPur2025[[#This Row],[AdditMonths]]+1),ItmPur2025[[#This Row],[PriceFinal'#]])</f>
        <v>6.99</v>
      </c>
      <c r="Y56" s="11"/>
      <c r="Z56" s="4">
        <f>IF(ISBLANK(ItmPur2025[[#This Row],[OverrideMo]]), MONTH(ItmPur2025[[#This Row],[Date]]), ItmPur2025[[#This Row],[OverrideMo]])</f>
        <v>1</v>
      </c>
      <c r="AA56" s="7" t="str">
        <f>_xlfn.CONCAT(ItmPur2025[[#This Row],[Cat]],ItmPur2025[[#This Row],[SubCat]])</f>
        <v>FoodGroceries</v>
      </c>
      <c r="AB56" s="7" t="e">
        <f>MATCH(ItmPur2025[[#This Row],[ValidationCat'#]],#REF!,0)</f>
        <v>#REF!</v>
      </c>
    </row>
    <row r="57" spans="1:28" s="7" customFormat="1" ht="15" customHeight="1" x14ac:dyDescent="0.2">
      <c r="A57" s="16">
        <v>46030</v>
      </c>
      <c r="B57" s="61">
        <v>0.54236111111111107</v>
      </c>
      <c r="C57" s="4" t="s">
        <v>44</v>
      </c>
      <c r="D57" s="4"/>
      <c r="E57" s="4"/>
      <c r="F57" s="4"/>
      <c r="G57" s="4"/>
      <c r="H57" s="19" t="s">
        <v>139</v>
      </c>
      <c r="I57" s="41"/>
      <c r="J57" s="12" t="s">
        <v>88</v>
      </c>
      <c r="K57" s="4"/>
      <c r="M57" s="4">
        <v>3.99</v>
      </c>
      <c r="N57" s="8">
        <f>IF(ISNUMBER(SEARCH("-",ItmPur2025[[#This Row],[PriceAdj'#]])),-1*_xlfn.NUMBERVALUE(SUBSTITUTE(ItmPur2025[[#This Row],[PriceAdj'#]],"-","")),_xlfn.NUMBERVALUE(ItmPur2025[[#This Row],[PriceAdj'#]]))</f>
        <v>3.99</v>
      </c>
      <c r="O57" s="9">
        <f>IFERROR(ItmPur2025[[#This Row],[PriceFinal'#]]/ItmPur2025[[#This Row],[Qty]]*LOOKUP(ItmPur2025[[#This Row],[Qty_units]],#REF!,#REF!),0)</f>
        <v>0</v>
      </c>
      <c r="P57" s="7" t="s">
        <v>18</v>
      </c>
      <c r="Q57" s="7" t="s">
        <v>20</v>
      </c>
      <c r="S57" s="40"/>
      <c r="T57" s="11"/>
      <c r="U57" s="4">
        <f>IF(ItmPur2025[[#This Row],[OverrideMo]],ItmPur2025[[#This Row],[OverrideMo]]+ItmPur2025[[#This Row],[AdditMonths]],MONTH(ItmPur2025[[#This Row],[Date]])+ItmPur2025[[#This Row],[AdditMonths]])</f>
        <v>1</v>
      </c>
      <c r="V57" s="10" t="str">
        <f>IFERROR(IF(FIND("tax",LOWER(ItmPur2025[[#This Row],[Item]])),"TAX",""),"")</f>
        <v/>
      </c>
      <c r="W57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3.99</v>
      </c>
      <c r="X57" s="8">
        <f>IF(ItmPur2025[[#This Row],[AdditMonths]]&gt;0,ItmPur2025[[#This Row],[PriceFinal'#]]/(ItmPur2025[[#This Row],[AdditMonths]]+1),ItmPur2025[[#This Row],[PriceFinal'#]])</f>
        <v>3.99</v>
      </c>
      <c r="Y57" s="11"/>
      <c r="Z57" s="4">
        <f>IF(ISBLANK(ItmPur2025[[#This Row],[OverrideMo]]), MONTH(ItmPur2025[[#This Row],[Date]]), ItmPur2025[[#This Row],[OverrideMo]])</f>
        <v>1</v>
      </c>
      <c r="AA57" s="7" t="str">
        <f>_xlfn.CONCAT(ItmPur2025[[#This Row],[Cat]],ItmPur2025[[#This Row],[SubCat]])</f>
        <v>FoodGroceries</v>
      </c>
      <c r="AB57" s="7" t="e">
        <f>MATCH(ItmPur2025[[#This Row],[ValidationCat'#]],#REF!,0)</f>
        <v>#REF!</v>
      </c>
    </row>
    <row r="58" spans="1:28" s="7" customFormat="1" ht="15" customHeight="1" x14ac:dyDescent="0.2">
      <c r="A58" s="16">
        <v>46030</v>
      </c>
      <c r="B58" s="61">
        <v>0.54236111111111107</v>
      </c>
      <c r="C58" s="4" t="s">
        <v>44</v>
      </c>
      <c r="D58" s="4"/>
      <c r="E58" s="4"/>
      <c r="F58" s="4"/>
      <c r="G58" s="4"/>
      <c r="H58" s="19" t="s">
        <v>139</v>
      </c>
      <c r="I58" s="41"/>
      <c r="J58" s="12" t="s">
        <v>145</v>
      </c>
      <c r="K58" s="4"/>
      <c r="M58" s="4">
        <v>13.99</v>
      </c>
      <c r="N58" s="8">
        <f>IF(ISNUMBER(SEARCH("-",ItmPur2025[[#This Row],[PriceAdj'#]])),-1*_xlfn.NUMBERVALUE(SUBSTITUTE(ItmPur2025[[#This Row],[PriceAdj'#]],"-","")),_xlfn.NUMBERVALUE(ItmPur2025[[#This Row],[PriceAdj'#]]))</f>
        <v>13.99</v>
      </c>
      <c r="O58" s="9">
        <f>IFERROR(ItmPur2025[[#This Row],[PriceFinal'#]]/ItmPur2025[[#This Row],[Qty]]*LOOKUP(ItmPur2025[[#This Row],[Qty_units]],#REF!,#REF!),0)</f>
        <v>0</v>
      </c>
      <c r="P58" s="7" t="s">
        <v>18</v>
      </c>
      <c r="Q58" s="7" t="s">
        <v>20</v>
      </c>
      <c r="S58" s="40"/>
      <c r="T58" s="11"/>
      <c r="U58" s="4">
        <f>IF(ItmPur2025[[#This Row],[OverrideMo]],ItmPur2025[[#This Row],[OverrideMo]]+ItmPur2025[[#This Row],[AdditMonths]],MONTH(ItmPur2025[[#This Row],[Date]])+ItmPur2025[[#This Row],[AdditMonths]])</f>
        <v>1</v>
      </c>
      <c r="V58" s="10" t="str">
        <f>IFERROR(IF(FIND("tax",LOWER(ItmPur2025[[#This Row],[Item]])),"TAX",""),"")</f>
        <v/>
      </c>
      <c r="W58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13.99</v>
      </c>
      <c r="X58" s="8">
        <f>IF(ItmPur2025[[#This Row],[AdditMonths]]&gt;0,ItmPur2025[[#This Row],[PriceFinal'#]]/(ItmPur2025[[#This Row],[AdditMonths]]+1),ItmPur2025[[#This Row],[PriceFinal'#]])</f>
        <v>13.99</v>
      </c>
      <c r="Y58" s="11"/>
      <c r="Z58" s="4">
        <f>IF(ISBLANK(ItmPur2025[[#This Row],[OverrideMo]]), MONTH(ItmPur2025[[#This Row],[Date]]), ItmPur2025[[#This Row],[OverrideMo]])</f>
        <v>1</v>
      </c>
      <c r="AA58" s="7" t="str">
        <f>_xlfn.CONCAT(ItmPur2025[[#This Row],[Cat]],ItmPur2025[[#This Row],[SubCat]])</f>
        <v>FoodGroceries</v>
      </c>
      <c r="AB58" s="7" t="e">
        <f>MATCH(ItmPur2025[[#This Row],[ValidationCat'#]],#REF!,0)</f>
        <v>#REF!</v>
      </c>
    </row>
    <row r="59" spans="1:28" s="7" customFormat="1" ht="15" customHeight="1" x14ac:dyDescent="0.2">
      <c r="A59" s="16">
        <v>46030</v>
      </c>
      <c r="B59" s="61">
        <v>0.54236111111111107</v>
      </c>
      <c r="C59" s="4" t="s">
        <v>44</v>
      </c>
      <c r="D59" s="4"/>
      <c r="E59" s="4"/>
      <c r="F59" s="4"/>
      <c r="G59" s="4"/>
      <c r="H59" s="19" t="s">
        <v>139</v>
      </c>
      <c r="I59" s="41"/>
      <c r="J59" s="12" t="s">
        <v>146</v>
      </c>
      <c r="K59" s="4"/>
      <c r="M59" s="4" t="s">
        <v>109</v>
      </c>
      <c r="N59" s="8">
        <f>IF(ISNUMBER(SEARCH("-",ItmPur2025[[#This Row],[PriceAdj'#]])),-1*_xlfn.NUMBERVALUE(SUBSTITUTE(ItmPur2025[[#This Row],[PriceAdj'#]],"-","")),_xlfn.NUMBERVALUE(ItmPur2025[[#This Row],[PriceAdj'#]]))</f>
        <v>-4</v>
      </c>
      <c r="O59" s="9">
        <f>IFERROR(ItmPur2025[[#This Row],[PriceFinal'#]]/ItmPur2025[[#This Row],[Qty]]*LOOKUP(ItmPur2025[[#This Row],[Qty_units]],#REF!,#REF!),0)</f>
        <v>0</v>
      </c>
      <c r="P59" s="7" t="s">
        <v>18</v>
      </c>
      <c r="Q59" s="7" t="s">
        <v>20</v>
      </c>
      <c r="S59" s="40"/>
      <c r="T59" s="11"/>
      <c r="U59" s="4">
        <f>IF(ItmPur2025[[#This Row],[OverrideMo]],ItmPur2025[[#This Row],[OverrideMo]]+ItmPur2025[[#This Row],[AdditMonths]],MONTH(ItmPur2025[[#This Row],[Date]])+ItmPur2025[[#This Row],[AdditMonths]])</f>
        <v>1</v>
      </c>
      <c r="V59" s="10" t="str">
        <f>IFERROR(IF(FIND("tax",LOWER(ItmPur2025[[#This Row],[Item]])),"TAX",""),"")</f>
        <v/>
      </c>
      <c r="W59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4.0-</v>
      </c>
      <c r="X59" s="8">
        <f>IF(ItmPur2025[[#This Row],[AdditMonths]]&gt;0,ItmPur2025[[#This Row],[PriceFinal'#]]/(ItmPur2025[[#This Row],[AdditMonths]]+1),ItmPur2025[[#This Row],[PriceFinal'#]])</f>
        <v>-4</v>
      </c>
      <c r="Y59" s="11"/>
      <c r="Z59" s="4">
        <f>IF(ISBLANK(ItmPur2025[[#This Row],[OverrideMo]]), MONTH(ItmPur2025[[#This Row],[Date]]), ItmPur2025[[#This Row],[OverrideMo]])</f>
        <v>1</v>
      </c>
      <c r="AA59" s="7" t="str">
        <f>_xlfn.CONCAT(ItmPur2025[[#This Row],[Cat]],ItmPur2025[[#This Row],[SubCat]])</f>
        <v>FoodGroceries</v>
      </c>
      <c r="AB59" s="7" t="e">
        <f>MATCH(ItmPur2025[[#This Row],[ValidationCat'#]],#REF!,0)</f>
        <v>#REF!</v>
      </c>
    </row>
    <row r="60" spans="1:28" s="7" customFormat="1" ht="15" customHeight="1" x14ac:dyDescent="0.2">
      <c r="A60" s="16">
        <v>46030</v>
      </c>
      <c r="B60" s="61">
        <v>0.54236111111111107</v>
      </c>
      <c r="C60" s="4" t="s">
        <v>44</v>
      </c>
      <c r="D60" s="4"/>
      <c r="E60" s="4"/>
      <c r="F60" s="4"/>
      <c r="G60" s="4"/>
      <c r="H60" s="19" t="s">
        <v>139</v>
      </c>
      <c r="I60" s="41"/>
      <c r="J60" s="12" t="s">
        <v>111</v>
      </c>
      <c r="K60" s="4"/>
      <c r="M60" s="4">
        <v>4.8899999999999997</v>
      </c>
      <c r="N60" s="8">
        <f>IF(ISNUMBER(SEARCH("-",ItmPur2025[[#This Row],[PriceAdj'#]])),-1*_xlfn.NUMBERVALUE(SUBSTITUTE(ItmPur2025[[#This Row],[PriceAdj'#]],"-","")),_xlfn.NUMBERVALUE(ItmPur2025[[#This Row],[PriceAdj'#]]))</f>
        <v>4.8899999999999997</v>
      </c>
      <c r="O60" s="9">
        <f>IFERROR(ItmPur2025[[#This Row],[PriceFinal'#]]/ItmPur2025[[#This Row],[Qty]]*LOOKUP(ItmPur2025[[#This Row],[Qty_units]],#REF!,#REF!),0)</f>
        <v>0</v>
      </c>
      <c r="P60" s="7" t="s">
        <v>18</v>
      </c>
      <c r="Q60" s="7" t="s">
        <v>20</v>
      </c>
      <c r="S60" s="40"/>
      <c r="T60" s="11"/>
      <c r="U60" s="4">
        <f>IF(ItmPur2025[[#This Row],[OverrideMo]],ItmPur2025[[#This Row],[OverrideMo]]+ItmPur2025[[#This Row],[AdditMonths]],MONTH(ItmPur2025[[#This Row],[Date]])+ItmPur2025[[#This Row],[AdditMonths]])</f>
        <v>1</v>
      </c>
      <c r="V60" s="10" t="str">
        <f>IFERROR(IF(FIND("tax",LOWER(ItmPur2025[[#This Row],[Item]])),"TAX",""),"")</f>
        <v/>
      </c>
      <c r="W60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4.89</v>
      </c>
      <c r="X60" s="8">
        <f>IF(ItmPur2025[[#This Row],[AdditMonths]]&gt;0,ItmPur2025[[#This Row],[PriceFinal'#]]/(ItmPur2025[[#This Row],[AdditMonths]]+1),ItmPur2025[[#This Row],[PriceFinal'#]])</f>
        <v>4.8899999999999997</v>
      </c>
      <c r="Y60" s="11"/>
      <c r="Z60" s="4">
        <f>IF(ISBLANK(ItmPur2025[[#This Row],[OverrideMo]]), MONTH(ItmPur2025[[#This Row],[Date]]), ItmPur2025[[#This Row],[OverrideMo]])</f>
        <v>1</v>
      </c>
      <c r="AA60" s="7" t="str">
        <f>_xlfn.CONCAT(ItmPur2025[[#This Row],[Cat]],ItmPur2025[[#This Row],[SubCat]])</f>
        <v>FoodGroceries</v>
      </c>
      <c r="AB60" s="7" t="e">
        <f>MATCH(ItmPur2025[[#This Row],[ValidationCat'#]],#REF!,0)</f>
        <v>#REF!</v>
      </c>
    </row>
    <row r="61" spans="1:28" s="7" customFormat="1" ht="15" customHeight="1" x14ac:dyDescent="0.2">
      <c r="A61" s="16">
        <v>46030</v>
      </c>
      <c r="B61" s="61">
        <v>0.54236111111111107</v>
      </c>
      <c r="C61" s="4" t="s">
        <v>44</v>
      </c>
      <c r="D61" s="4"/>
      <c r="E61" s="4"/>
      <c r="F61" s="4"/>
      <c r="G61" s="4"/>
      <c r="H61" s="19" t="s">
        <v>139</v>
      </c>
      <c r="I61" s="41"/>
      <c r="J61" s="12" t="s">
        <v>89</v>
      </c>
      <c r="K61" s="4"/>
      <c r="M61" s="4">
        <v>9.39</v>
      </c>
      <c r="N61" s="8">
        <f>IF(ISNUMBER(SEARCH("-",ItmPur2025[[#This Row],[PriceAdj'#]])),-1*_xlfn.NUMBERVALUE(SUBSTITUTE(ItmPur2025[[#This Row],[PriceAdj'#]],"-","")),_xlfn.NUMBERVALUE(ItmPur2025[[#This Row],[PriceAdj'#]]))</f>
        <v>9.39</v>
      </c>
      <c r="O61" s="9">
        <f>IFERROR(ItmPur2025[[#This Row],[PriceFinal'#]]/ItmPur2025[[#This Row],[Qty]]*LOOKUP(ItmPur2025[[#This Row],[Qty_units]],#REF!,#REF!),0)</f>
        <v>0</v>
      </c>
      <c r="P61" s="7" t="s">
        <v>18</v>
      </c>
      <c r="Q61" s="7" t="s">
        <v>20</v>
      </c>
      <c r="S61" s="40"/>
      <c r="T61" s="11"/>
      <c r="U61" s="4">
        <f>IF(ItmPur2025[[#This Row],[OverrideMo]],ItmPur2025[[#This Row],[OverrideMo]]+ItmPur2025[[#This Row],[AdditMonths]],MONTH(ItmPur2025[[#This Row],[Date]])+ItmPur2025[[#This Row],[AdditMonths]])</f>
        <v>1</v>
      </c>
      <c r="V61" s="10" t="str">
        <f>IFERROR(IF(FIND("tax",LOWER(ItmPur2025[[#This Row],[Item]])),"TAX",""),"")</f>
        <v/>
      </c>
      <c r="W61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9.39</v>
      </c>
      <c r="X61" s="8">
        <f>IF(ItmPur2025[[#This Row],[AdditMonths]]&gt;0,ItmPur2025[[#This Row],[PriceFinal'#]]/(ItmPur2025[[#This Row],[AdditMonths]]+1),ItmPur2025[[#This Row],[PriceFinal'#]])</f>
        <v>9.39</v>
      </c>
      <c r="Y61" s="11"/>
      <c r="Z61" s="4">
        <f>IF(ISBLANK(ItmPur2025[[#This Row],[OverrideMo]]), MONTH(ItmPur2025[[#This Row],[Date]]), ItmPur2025[[#This Row],[OverrideMo]])</f>
        <v>1</v>
      </c>
      <c r="AA61" s="7" t="str">
        <f>_xlfn.CONCAT(ItmPur2025[[#This Row],[Cat]],ItmPur2025[[#This Row],[SubCat]])</f>
        <v>FoodGroceries</v>
      </c>
      <c r="AB61" s="7" t="e">
        <f>MATCH(ItmPur2025[[#This Row],[ValidationCat'#]],#REF!,0)</f>
        <v>#REF!</v>
      </c>
    </row>
    <row r="62" spans="1:28" s="7" customFormat="1" ht="15" customHeight="1" x14ac:dyDescent="0.2">
      <c r="A62" s="16">
        <v>46030</v>
      </c>
      <c r="B62" s="61">
        <v>0.54236111111111107</v>
      </c>
      <c r="C62" s="4" t="s">
        <v>44</v>
      </c>
      <c r="D62" s="4"/>
      <c r="E62" s="4"/>
      <c r="F62" s="4"/>
      <c r="G62" s="4"/>
      <c r="H62" s="19" t="s">
        <v>139</v>
      </c>
      <c r="I62" s="41"/>
      <c r="J62" s="12" t="s">
        <v>147</v>
      </c>
      <c r="K62" s="4"/>
      <c r="M62" s="4">
        <v>5.69</v>
      </c>
      <c r="N62" s="8">
        <f>IF(ISNUMBER(SEARCH("-",ItmPur2025[[#This Row],[PriceAdj'#]])),-1*_xlfn.NUMBERVALUE(SUBSTITUTE(ItmPur2025[[#This Row],[PriceAdj'#]],"-","")),_xlfn.NUMBERVALUE(ItmPur2025[[#This Row],[PriceAdj'#]]))</f>
        <v>5.69</v>
      </c>
      <c r="O62" s="9">
        <f>IFERROR(ItmPur2025[[#This Row],[PriceFinal'#]]/ItmPur2025[[#This Row],[Qty]]*LOOKUP(ItmPur2025[[#This Row],[Qty_units]],#REF!,#REF!),0)</f>
        <v>0</v>
      </c>
      <c r="P62" s="7" t="s">
        <v>18</v>
      </c>
      <c r="Q62" s="7" t="s">
        <v>20</v>
      </c>
      <c r="S62" s="40"/>
      <c r="T62" s="11"/>
      <c r="U62" s="4">
        <f>IF(ItmPur2025[[#This Row],[OverrideMo]],ItmPur2025[[#This Row],[OverrideMo]]+ItmPur2025[[#This Row],[AdditMonths]],MONTH(ItmPur2025[[#This Row],[Date]])+ItmPur2025[[#This Row],[AdditMonths]])</f>
        <v>1</v>
      </c>
      <c r="V62" s="10" t="str">
        <f>IFERROR(IF(FIND("tax",LOWER(ItmPur2025[[#This Row],[Item]])),"TAX",""),"")</f>
        <v/>
      </c>
      <c r="W62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5.69</v>
      </c>
      <c r="X62" s="8">
        <f>IF(ItmPur2025[[#This Row],[AdditMonths]]&gt;0,ItmPur2025[[#This Row],[PriceFinal'#]]/(ItmPur2025[[#This Row],[AdditMonths]]+1),ItmPur2025[[#This Row],[PriceFinal'#]])</f>
        <v>5.69</v>
      </c>
      <c r="Y62" s="11"/>
      <c r="Z62" s="4">
        <f>IF(ISBLANK(ItmPur2025[[#This Row],[OverrideMo]]), MONTH(ItmPur2025[[#This Row],[Date]]), ItmPur2025[[#This Row],[OverrideMo]])</f>
        <v>1</v>
      </c>
      <c r="AA62" s="7" t="str">
        <f>_xlfn.CONCAT(ItmPur2025[[#This Row],[Cat]],ItmPur2025[[#This Row],[SubCat]])</f>
        <v>FoodGroceries</v>
      </c>
      <c r="AB62" s="7" t="e">
        <f>MATCH(ItmPur2025[[#This Row],[ValidationCat'#]],#REF!,0)</f>
        <v>#REF!</v>
      </c>
    </row>
    <row r="63" spans="1:28" s="7" customFormat="1" ht="15" customHeight="1" x14ac:dyDescent="0.2">
      <c r="A63" s="16">
        <v>46030</v>
      </c>
      <c r="B63" s="61">
        <v>0.54236111111111107</v>
      </c>
      <c r="C63" s="4" t="s">
        <v>44</v>
      </c>
      <c r="D63" s="4"/>
      <c r="E63" s="4"/>
      <c r="F63" s="4"/>
      <c r="G63" s="4"/>
      <c r="H63" s="19" t="s">
        <v>139</v>
      </c>
      <c r="I63" s="41"/>
      <c r="J63" s="12" t="s">
        <v>148</v>
      </c>
      <c r="K63" s="4"/>
      <c r="M63" s="4">
        <v>9.99</v>
      </c>
      <c r="N63" s="8">
        <f>IF(ISNUMBER(SEARCH("-",ItmPur2025[[#This Row],[PriceAdj'#]])),-1*_xlfn.NUMBERVALUE(SUBSTITUTE(ItmPur2025[[#This Row],[PriceAdj'#]],"-","")),_xlfn.NUMBERVALUE(ItmPur2025[[#This Row],[PriceAdj'#]]))</f>
        <v>9.99</v>
      </c>
      <c r="O63" s="9">
        <f>IFERROR(ItmPur2025[[#This Row],[PriceFinal'#]]/ItmPur2025[[#This Row],[Qty]]*LOOKUP(ItmPur2025[[#This Row],[Qty_units]],#REF!,#REF!),0)</f>
        <v>0</v>
      </c>
      <c r="P63" s="7" t="s">
        <v>18</v>
      </c>
      <c r="Q63" s="7" t="s">
        <v>20</v>
      </c>
      <c r="S63" s="40"/>
      <c r="T63" s="11"/>
      <c r="U63" s="4">
        <f>IF(ItmPur2025[[#This Row],[OverrideMo]],ItmPur2025[[#This Row],[OverrideMo]]+ItmPur2025[[#This Row],[AdditMonths]],MONTH(ItmPur2025[[#This Row],[Date]])+ItmPur2025[[#This Row],[AdditMonths]])</f>
        <v>1</v>
      </c>
      <c r="V63" s="10" t="str">
        <f>IFERROR(IF(FIND("tax",LOWER(ItmPur2025[[#This Row],[Item]])),"TAX",""),"")</f>
        <v/>
      </c>
      <c r="W63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9.99</v>
      </c>
      <c r="X63" s="8">
        <f>IF(ItmPur2025[[#This Row],[AdditMonths]]&gt;0,ItmPur2025[[#This Row],[PriceFinal'#]]/(ItmPur2025[[#This Row],[AdditMonths]]+1),ItmPur2025[[#This Row],[PriceFinal'#]])</f>
        <v>9.99</v>
      </c>
      <c r="Y63" s="11"/>
      <c r="Z63" s="4">
        <f>IF(ISBLANK(ItmPur2025[[#This Row],[OverrideMo]]), MONTH(ItmPur2025[[#This Row],[Date]]), ItmPur2025[[#This Row],[OverrideMo]])</f>
        <v>1</v>
      </c>
      <c r="AA63" s="7" t="str">
        <f>_xlfn.CONCAT(ItmPur2025[[#This Row],[Cat]],ItmPur2025[[#This Row],[SubCat]])</f>
        <v>FoodGroceries</v>
      </c>
      <c r="AB63" s="7" t="e">
        <f>MATCH(ItmPur2025[[#This Row],[ValidationCat'#]],#REF!,0)</f>
        <v>#REF!</v>
      </c>
    </row>
    <row r="64" spans="1:28" s="7" customFormat="1" ht="15" customHeight="1" x14ac:dyDescent="0.2">
      <c r="A64" s="16">
        <v>46030</v>
      </c>
      <c r="B64" s="61">
        <v>0.54236111111111107</v>
      </c>
      <c r="C64" s="4" t="s">
        <v>44</v>
      </c>
      <c r="D64" s="4"/>
      <c r="E64" s="4"/>
      <c r="F64" s="4"/>
      <c r="G64" s="4"/>
      <c r="H64" s="19" t="s">
        <v>139</v>
      </c>
      <c r="I64" s="41"/>
      <c r="J64" s="12" t="s">
        <v>149</v>
      </c>
      <c r="K64" s="4">
        <v>10</v>
      </c>
      <c r="L64" s="7" t="s">
        <v>37</v>
      </c>
      <c r="M64" s="4">
        <v>8.99</v>
      </c>
      <c r="N64" s="8">
        <f>IF(ISNUMBER(SEARCH("-",ItmPur2025[[#This Row],[PriceAdj'#]])),-1*_xlfn.NUMBERVALUE(SUBSTITUTE(ItmPur2025[[#This Row],[PriceAdj'#]],"-","")),_xlfn.NUMBERVALUE(ItmPur2025[[#This Row],[PriceAdj'#]]))</f>
        <v>8.99</v>
      </c>
      <c r="O64" s="9">
        <f>IFERROR(ItmPur2025[[#This Row],[PriceFinal'#]]/ItmPur2025[[#This Row],[Qty]]*LOOKUP(ItmPur2025[[#This Row],[Qty_units]],#REF!,#REF!),0)</f>
        <v>0</v>
      </c>
      <c r="P64" s="7" t="s">
        <v>18</v>
      </c>
      <c r="Q64" s="7" t="s">
        <v>20</v>
      </c>
      <c r="S64" s="40"/>
      <c r="T64" s="11"/>
      <c r="U64" s="4">
        <f>IF(ItmPur2025[[#This Row],[OverrideMo]],ItmPur2025[[#This Row],[OverrideMo]]+ItmPur2025[[#This Row],[AdditMonths]],MONTH(ItmPur2025[[#This Row],[Date]])+ItmPur2025[[#This Row],[AdditMonths]])</f>
        <v>1</v>
      </c>
      <c r="V64" s="10" t="str">
        <f>IFERROR(IF(FIND("tax",LOWER(ItmPur2025[[#This Row],[Item]])),"TAX",""),"")</f>
        <v/>
      </c>
      <c r="W64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8.99</v>
      </c>
      <c r="X64" s="8">
        <f>IF(ItmPur2025[[#This Row],[AdditMonths]]&gt;0,ItmPur2025[[#This Row],[PriceFinal'#]]/(ItmPur2025[[#This Row],[AdditMonths]]+1),ItmPur2025[[#This Row],[PriceFinal'#]])</f>
        <v>8.99</v>
      </c>
      <c r="Y64" s="11"/>
      <c r="Z64" s="4">
        <f>IF(ISBLANK(ItmPur2025[[#This Row],[OverrideMo]]), MONTH(ItmPur2025[[#This Row],[Date]]), ItmPur2025[[#This Row],[OverrideMo]])</f>
        <v>1</v>
      </c>
      <c r="AA64" s="7" t="str">
        <f>_xlfn.CONCAT(ItmPur2025[[#This Row],[Cat]],ItmPur2025[[#This Row],[SubCat]])</f>
        <v>FoodGroceries</v>
      </c>
      <c r="AB64" s="7" t="e">
        <f>MATCH(ItmPur2025[[#This Row],[ValidationCat'#]],#REF!,0)</f>
        <v>#REF!</v>
      </c>
    </row>
    <row r="65" spans="1:28" s="7" customFormat="1" ht="15" customHeight="1" x14ac:dyDescent="0.2">
      <c r="A65" s="16">
        <v>46030</v>
      </c>
      <c r="B65" s="61">
        <v>0.54236111111111107</v>
      </c>
      <c r="C65" s="4" t="s">
        <v>44</v>
      </c>
      <c r="D65" s="4"/>
      <c r="E65" s="4"/>
      <c r="F65" s="4"/>
      <c r="G65" s="4"/>
      <c r="H65" s="19" t="s">
        <v>139</v>
      </c>
      <c r="I65" s="41"/>
      <c r="J65" s="12" t="s">
        <v>90</v>
      </c>
      <c r="K65" s="4">
        <v>1</v>
      </c>
      <c r="L65" s="7" t="s">
        <v>79</v>
      </c>
      <c r="M65" s="4">
        <v>1.2</v>
      </c>
      <c r="N65" s="8">
        <f>IF(ISNUMBER(SEARCH("-",ItmPur2025[[#This Row],[PriceAdj'#]])),-1*_xlfn.NUMBERVALUE(SUBSTITUTE(ItmPur2025[[#This Row],[PriceAdj'#]],"-","")),_xlfn.NUMBERVALUE(ItmPur2025[[#This Row],[PriceAdj'#]]))</f>
        <v>1.2</v>
      </c>
      <c r="O65" s="9">
        <f>IFERROR(ItmPur2025[[#This Row],[PriceFinal'#]]/ItmPur2025[[#This Row],[Qty]]*LOOKUP(ItmPur2025[[#This Row],[Qty_units]],#REF!,#REF!),0)</f>
        <v>0</v>
      </c>
      <c r="P65" s="7" t="s">
        <v>9</v>
      </c>
      <c r="Q65" s="7" t="s">
        <v>33</v>
      </c>
      <c r="S65" s="40"/>
      <c r="T65" s="11"/>
      <c r="U65" s="4">
        <f>IF(ItmPur2025[[#This Row],[OverrideMo]],ItmPur2025[[#This Row],[OverrideMo]]+ItmPur2025[[#This Row],[AdditMonths]],MONTH(ItmPur2025[[#This Row],[Date]])+ItmPur2025[[#This Row],[AdditMonths]])</f>
        <v>1</v>
      </c>
      <c r="V65" s="10" t="str">
        <f>IFERROR(IF(FIND("tax",LOWER(ItmPur2025[[#This Row],[Item]])),"TAX",""),"")</f>
        <v>TAX</v>
      </c>
      <c r="W65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1.2</v>
      </c>
      <c r="X65" s="8">
        <f>IF(ItmPur2025[[#This Row],[AdditMonths]]&gt;0,ItmPur2025[[#This Row],[PriceFinal'#]]/(ItmPur2025[[#This Row],[AdditMonths]]+1),ItmPur2025[[#This Row],[PriceFinal'#]])</f>
        <v>1.2</v>
      </c>
      <c r="Y65" s="11"/>
      <c r="Z65" s="4">
        <f>IF(ISBLANK(ItmPur2025[[#This Row],[OverrideMo]]), MONTH(ItmPur2025[[#This Row],[Date]]), ItmPur2025[[#This Row],[OverrideMo]])</f>
        <v>1</v>
      </c>
      <c r="AA65" s="7" t="str">
        <f>_xlfn.CONCAT(ItmPur2025[[#This Row],[Cat]],ItmPur2025[[#This Row],[SubCat]])</f>
        <v>HousingSupplies &amp; Furnishings</v>
      </c>
      <c r="AB65" s="7" t="e">
        <f>MATCH(ItmPur2025[[#This Row],[ValidationCat'#]],#REF!,0)</f>
        <v>#REF!</v>
      </c>
    </row>
    <row r="66" spans="1:28" s="7" customFormat="1" ht="15" customHeight="1" x14ac:dyDescent="0.2">
      <c r="A66" s="16">
        <v>46030</v>
      </c>
      <c r="B66" s="18">
        <v>0.29166666666666669</v>
      </c>
      <c r="C66" s="4" t="s">
        <v>40</v>
      </c>
      <c r="D66" s="4"/>
      <c r="E66" s="4"/>
      <c r="F66" s="4"/>
      <c r="G66" s="4"/>
      <c r="H66" s="5" t="s">
        <v>174</v>
      </c>
      <c r="I66" s="14"/>
      <c r="J66" s="12" t="s">
        <v>92</v>
      </c>
      <c r="K66" s="4"/>
      <c r="M66" s="4">
        <v>300</v>
      </c>
      <c r="N66" s="8">
        <f>IF(ISNUMBER(SEARCH("-",ItmPur2025[[#This Row],[PriceAdj'#]])),-1*_xlfn.NUMBERVALUE(SUBSTITUTE(ItmPur2025[[#This Row],[PriceAdj'#]],"-","")),_xlfn.NUMBERVALUE(ItmPur2025[[#This Row],[PriceAdj'#]]))</f>
        <v>300</v>
      </c>
      <c r="O66" s="9">
        <f>IFERROR(ItmPur2025[[#This Row],[PriceFinal'#]]/ItmPur2025[[#This Row],[Qty]]*LOOKUP(ItmPur2025[[#This Row],[Qty_units]],#REF!,#REF!),0)</f>
        <v>0</v>
      </c>
      <c r="P66" s="7" t="s">
        <v>30</v>
      </c>
      <c r="Q66" s="7" t="s">
        <v>31</v>
      </c>
      <c r="S66" s="4"/>
      <c r="T66" s="11"/>
      <c r="U66" s="4">
        <f>IF(ItmPur2025[[#This Row],[OverrideMo]],ItmPur2025[[#This Row],[OverrideMo]]+ItmPur2025[[#This Row],[AdditMonths]],MONTH(ItmPur2025[[#This Row],[Date]])+ItmPur2025[[#This Row],[AdditMonths]])</f>
        <v>1</v>
      </c>
      <c r="V66" s="10" t="str">
        <f>IFERROR(IF(FIND("tax",LOWER(ItmPur2025[[#This Row],[Item]])),"TAX",""),"")</f>
        <v/>
      </c>
      <c r="W66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300</v>
      </c>
      <c r="X66" s="8">
        <f>IF(ItmPur2025[[#This Row],[AdditMonths]]&gt;0,ItmPur2025[[#This Row],[PriceFinal'#]]/(ItmPur2025[[#This Row],[AdditMonths]]+1),ItmPur2025[[#This Row],[PriceFinal'#]])</f>
        <v>300</v>
      </c>
      <c r="Y66" s="11"/>
      <c r="Z66" s="4">
        <f>IF(ISBLANK(ItmPur2025[[#This Row],[OverrideMo]]), MONTH(ItmPur2025[[#This Row],[Date]]), ItmPur2025[[#This Row],[OverrideMo]])</f>
        <v>1</v>
      </c>
      <c r="AA66" s="7" t="str">
        <f>_xlfn.CONCAT(ItmPur2025[[#This Row],[Cat]],ItmPur2025[[#This Row],[SubCat]])</f>
        <v>Retirement401(k)</v>
      </c>
      <c r="AB66" s="7" t="e">
        <f>MATCH(ItmPur2025[[#This Row],[ValidationCat'#]],#REF!,0)</f>
        <v>#REF!</v>
      </c>
    </row>
    <row r="67" spans="1:28" s="7" customFormat="1" ht="15" customHeight="1" x14ac:dyDescent="0.2">
      <c r="A67" s="16">
        <v>46030</v>
      </c>
      <c r="B67" s="18">
        <v>0.29166666666666669</v>
      </c>
      <c r="C67" s="4" t="s">
        <v>40</v>
      </c>
      <c r="D67" s="4"/>
      <c r="E67" s="4"/>
      <c r="F67" s="4"/>
      <c r="G67" s="4"/>
      <c r="H67" s="5" t="s">
        <v>174</v>
      </c>
      <c r="I67" s="14"/>
      <c r="J67" s="12" t="s">
        <v>93</v>
      </c>
      <c r="K67" s="4"/>
      <c r="M67" s="4">
        <v>0</v>
      </c>
      <c r="N67" s="8">
        <f>IF(ISNUMBER(SEARCH("-",ItmPur2025[[#This Row],[PriceAdj'#]])),-1*_xlfn.NUMBERVALUE(SUBSTITUTE(ItmPur2025[[#This Row],[PriceAdj'#]],"-","")),_xlfn.NUMBERVALUE(ItmPur2025[[#This Row],[PriceAdj'#]]))</f>
        <v>0</v>
      </c>
      <c r="O67" s="9">
        <f>IFERROR(ItmPur2025[[#This Row],[PriceFinal'#]]/ItmPur2025[[#This Row],[Qty]]*LOOKUP(ItmPur2025[[#This Row],[Qty_units]],#REF!,#REF!),0)</f>
        <v>0</v>
      </c>
      <c r="P67" s="7" t="s">
        <v>30</v>
      </c>
      <c r="Q67" s="7" t="s">
        <v>31</v>
      </c>
      <c r="S67" s="4"/>
      <c r="T67" s="11"/>
      <c r="U67" s="4">
        <f>IF(ItmPur2025[[#This Row],[OverrideMo]],ItmPur2025[[#This Row],[OverrideMo]]+ItmPur2025[[#This Row],[AdditMonths]],MONTH(ItmPur2025[[#This Row],[Date]])+ItmPur2025[[#This Row],[AdditMonths]])</f>
        <v>1</v>
      </c>
      <c r="V67" s="10" t="str">
        <f>IFERROR(IF(FIND("tax",LOWER(ItmPur2025[[#This Row],[Item]])),"TAX",""),"")</f>
        <v/>
      </c>
      <c r="W67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0</v>
      </c>
      <c r="X67" s="8">
        <f>IF(ItmPur2025[[#This Row],[AdditMonths]]&gt;0,ItmPur2025[[#This Row],[PriceFinal'#]]/(ItmPur2025[[#This Row],[AdditMonths]]+1),ItmPur2025[[#This Row],[PriceFinal'#]])</f>
        <v>0</v>
      </c>
      <c r="Y67" s="11"/>
      <c r="Z67" s="4">
        <f>IF(ISBLANK(ItmPur2025[[#This Row],[OverrideMo]]), MONTH(ItmPur2025[[#This Row],[Date]]), ItmPur2025[[#This Row],[OverrideMo]])</f>
        <v>1</v>
      </c>
      <c r="AA67" s="7" t="str">
        <f>_xlfn.CONCAT(ItmPur2025[[#This Row],[Cat]],ItmPur2025[[#This Row],[SubCat]])</f>
        <v>Retirement401(k)</v>
      </c>
      <c r="AB67" s="7" t="e">
        <f>MATCH(ItmPur2025[[#This Row],[ValidationCat'#]],#REF!,0)</f>
        <v>#REF!</v>
      </c>
    </row>
    <row r="68" spans="1:28" s="7" customFormat="1" ht="15" customHeight="1" x14ac:dyDescent="0.2">
      <c r="A68" s="16">
        <v>46030</v>
      </c>
      <c r="B68" s="18">
        <v>0.29166666666666669</v>
      </c>
      <c r="C68" s="4" t="s">
        <v>29</v>
      </c>
      <c r="D68" s="4"/>
      <c r="E68" s="4"/>
      <c r="F68" s="4"/>
      <c r="G68" s="4"/>
      <c r="H68" s="5" t="s">
        <v>174</v>
      </c>
      <c r="I68" s="14"/>
      <c r="J68" s="12" t="s">
        <v>94</v>
      </c>
      <c r="K68" s="4"/>
      <c r="M68" s="4">
        <v>192.31</v>
      </c>
      <c r="N68" s="8">
        <f>IF(ISNUMBER(SEARCH("-",ItmPur2025[[#This Row],[PriceAdj'#]])),-1*_xlfn.NUMBERVALUE(SUBSTITUTE(ItmPur2025[[#This Row],[PriceAdj'#]],"-","")),_xlfn.NUMBERVALUE(ItmPur2025[[#This Row],[PriceAdj'#]]))</f>
        <v>192.31</v>
      </c>
      <c r="O68" s="9">
        <f>IFERROR(ItmPur2025[[#This Row],[PriceFinal'#]]/ItmPur2025[[#This Row],[Qty]]*LOOKUP(ItmPur2025[[#This Row],[Qty_units]],#REF!,#REF!),0)</f>
        <v>0</v>
      </c>
      <c r="P68" s="7" t="s">
        <v>8</v>
      </c>
      <c r="Q68" s="7" t="s">
        <v>29</v>
      </c>
      <c r="S68" s="4"/>
      <c r="T68" s="11"/>
      <c r="U68" s="4">
        <f>IF(ItmPur2025[[#This Row],[OverrideMo]],ItmPur2025[[#This Row],[OverrideMo]]+ItmPur2025[[#This Row],[AdditMonths]],MONTH(ItmPur2025[[#This Row],[Date]])+ItmPur2025[[#This Row],[AdditMonths]])</f>
        <v>1</v>
      </c>
      <c r="V68" s="10" t="str">
        <f>IFERROR(IF(FIND("tax",LOWER(ItmPur2025[[#This Row],[Item]])),"TAX",""),"")</f>
        <v/>
      </c>
      <c r="W68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192.31</v>
      </c>
      <c r="X68" s="8">
        <f>IF(ItmPur2025[[#This Row],[AdditMonths]]&gt;0,ItmPur2025[[#This Row],[PriceFinal'#]]/(ItmPur2025[[#This Row],[AdditMonths]]+1),ItmPur2025[[#This Row],[PriceFinal'#]])</f>
        <v>192.31</v>
      </c>
      <c r="Y68" s="11"/>
      <c r="Z68" s="4">
        <f>IF(ISBLANK(ItmPur2025[[#This Row],[OverrideMo]]), MONTH(ItmPur2025[[#This Row],[Date]]), ItmPur2025[[#This Row],[OverrideMo]])</f>
        <v>1</v>
      </c>
      <c r="AA68" s="7" t="str">
        <f>_xlfn.CONCAT(ItmPur2025[[#This Row],[Cat]],ItmPur2025[[#This Row],[SubCat]])</f>
        <v>HealthHSA</v>
      </c>
      <c r="AB68" s="7" t="e">
        <f>MATCH(ItmPur2025[[#This Row],[ValidationCat'#]],#REF!,0)</f>
        <v>#REF!</v>
      </c>
    </row>
    <row r="69" spans="1:28" s="7" customFormat="1" ht="15" customHeight="1" x14ac:dyDescent="0.2">
      <c r="A69" s="16">
        <v>46030</v>
      </c>
      <c r="B69" s="18">
        <v>0.29166666666666669</v>
      </c>
      <c r="C69" s="4"/>
      <c r="D69" s="4"/>
      <c r="E69" s="4"/>
      <c r="F69" s="4"/>
      <c r="G69" s="4"/>
      <c r="H69" s="5" t="s">
        <v>174</v>
      </c>
      <c r="I69" s="43"/>
      <c r="J69" s="12" t="s">
        <v>176</v>
      </c>
      <c r="K69" s="4"/>
      <c r="M69" s="4">
        <v>15.01</v>
      </c>
      <c r="N69" s="8">
        <f>IF(ISNUMBER(SEARCH("-",ItmPur2025[[#This Row],[PriceAdj'#]])),-1*_xlfn.NUMBERVALUE(SUBSTITUTE(ItmPur2025[[#This Row],[PriceAdj'#]],"-","")),_xlfn.NUMBERVALUE(ItmPur2025[[#This Row],[PriceAdj'#]]))</f>
        <v>15.01</v>
      </c>
      <c r="O69" s="9">
        <f>IFERROR(ItmPur2025[[#This Row],[PriceFinal'#]]/ItmPur2025[[#This Row],[Qty]]*LOOKUP(ItmPur2025[[#This Row],[Qty_units]],#REF!,#REF!),0)</f>
        <v>0</v>
      </c>
      <c r="P69" s="7" t="s">
        <v>17</v>
      </c>
      <c r="Q69" s="7" t="s">
        <v>26</v>
      </c>
      <c r="S69" s="4" t="s">
        <v>77</v>
      </c>
      <c r="T69" s="11"/>
      <c r="U69" s="4">
        <f>IF(ItmPur2025[[#This Row],[OverrideMo]],ItmPur2025[[#This Row],[OverrideMo]]+ItmPur2025[[#This Row],[AdditMonths]],MONTH(ItmPur2025[[#This Row],[Date]])+ItmPur2025[[#This Row],[AdditMonths]])</f>
        <v>1</v>
      </c>
      <c r="V69" s="10" t="str">
        <f>IFERROR(IF(FIND("tax",LOWER(ItmPur2025[[#This Row],[Item]])),"TAX",""),"")</f>
        <v/>
      </c>
      <c r="W69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15.01</v>
      </c>
      <c r="X69" s="8">
        <f>IF(ItmPur2025[[#This Row],[AdditMonths]]&gt;0,ItmPur2025[[#This Row],[PriceFinal'#]]/(ItmPur2025[[#This Row],[AdditMonths]]+1),ItmPur2025[[#This Row],[PriceFinal'#]])</f>
        <v>15.01</v>
      </c>
      <c r="Y69" s="11"/>
      <c r="Z69" s="4">
        <f>IF(ISBLANK(ItmPur2025[[#This Row],[OverrideMo]]), MONTH(ItmPur2025[[#This Row],[Date]]), ItmPur2025[[#This Row],[OverrideMo]])</f>
        <v>1</v>
      </c>
      <c r="AA69" s="7" t="str">
        <f>_xlfn.CONCAT(ItmPur2025[[#This Row],[Cat]],ItmPur2025[[#This Row],[SubCat]])</f>
        <v>InsuranceVision</v>
      </c>
      <c r="AB69" s="7" t="e">
        <f>MATCH(ItmPur2025[[#This Row],[ValidationCat'#]],#REF!,0)</f>
        <v>#REF!</v>
      </c>
    </row>
    <row r="70" spans="1:28" s="7" customFormat="1" ht="15" customHeight="1" x14ac:dyDescent="0.2">
      <c r="A70" s="16">
        <v>46030</v>
      </c>
      <c r="B70" s="18">
        <v>0.29166666666666669</v>
      </c>
      <c r="C70" s="4" t="s">
        <v>42</v>
      </c>
      <c r="D70" s="4"/>
      <c r="E70" s="4"/>
      <c r="F70" s="4"/>
      <c r="G70" s="4"/>
      <c r="H70" s="5" t="s">
        <v>174</v>
      </c>
      <c r="I70" s="14"/>
      <c r="J70" s="12" t="s">
        <v>95</v>
      </c>
      <c r="K70" s="4"/>
      <c r="M70" s="4">
        <v>137.84</v>
      </c>
      <c r="N70" s="8">
        <f>IF(ISNUMBER(SEARCH("-",ItmPur2025[[#This Row],[PriceAdj'#]])),-1*_xlfn.NUMBERVALUE(SUBSTITUTE(ItmPur2025[[#This Row],[PriceAdj'#]],"-","")),_xlfn.NUMBERVALUE(ItmPur2025[[#This Row],[PriceAdj'#]]))</f>
        <v>137.84</v>
      </c>
      <c r="O70" s="9">
        <f>IFERROR(ItmPur2025[[#This Row],[PriceFinal'#]]/ItmPur2025[[#This Row],[Qty]]*LOOKUP(ItmPur2025[[#This Row],[Qty_units]],#REF!,#REF!),0)</f>
        <v>0</v>
      </c>
      <c r="P70" s="7" t="s">
        <v>17</v>
      </c>
      <c r="Q70" s="7" t="s">
        <v>8</v>
      </c>
      <c r="S70" s="4"/>
      <c r="T70" s="11"/>
      <c r="U70" s="4">
        <f>IF(ItmPur2025[[#This Row],[OverrideMo]],ItmPur2025[[#This Row],[OverrideMo]]+ItmPur2025[[#This Row],[AdditMonths]],MONTH(ItmPur2025[[#This Row],[Date]])+ItmPur2025[[#This Row],[AdditMonths]])</f>
        <v>1</v>
      </c>
      <c r="V70" s="10" t="str">
        <f>IFERROR(IF(FIND("tax",LOWER(ItmPur2025[[#This Row],[Item]])),"TAX",""),"")</f>
        <v/>
      </c>
      <c r="W70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137.84</v>
      </c>
      <c r="X70" s="8">
        <f>IF(ItmPur2025[[#This Row],[AdditMonths]]&gt;0,ItmPur2025[[#This Row],[PriceFinal'#]]/(ItmPur2025[[#This Row],[AdditMonths]]+1),ItmPur2025[[#This Row],[PriceFinal'#]])</f>
        <v>137.84</v>
      </c>
      <c r="Y70" s="11"/>
      <c r="Z70" s="4">
        <f>IF(ISBLANK(ItmPur2025[[#This Row],[OverrideMo]]), MONTH(ItmPur2025[[#This Row],[Date]]), ItmPur2025[[#This Row],[OverrideMo]])</f>
        <v>1</v>
      </c>
      <c r="AA70" s="7" t="str">
        <f>_xlfn.CONCAT(ItmPur2025[[#This Row],[Cat]],ItmPur2025[[#This Row],[SubCat]])</f>
        <v>InsuranceHealth</v>
      </c>
      <c r="AB70" s="7" t="e">
        <f>MATCH(ItmPur2025[[#This Row],[ValidationCat'#]],#REF!,0)</f>
        <v>#REF!</v>
      </c>
    </row>
    <row r="71" spans="1:28" s="7" customFormat="1" ht="15" customHeight="1" x14ac:dyDescent="0.2">
      <c r="A71" s="16">
        <v>46030</v>
      </c>
      <c r="B71" s="18">
        <v>0.29166666666666669</v>
      </c>
      <c r="C71" s="4" t="s">
        <v>45</v>
      </c>
      <c r="D71" s="4"/>
      <c r="E71" s="4"/>
      <c r="F71" s="4"/>
      <c r="G71" s="5"/>
      <c r="H71" s="5" t="s">
        <v>174</v>
      </c>
      <c r="I71" s="14"/>
      <c r="J71" s="12" t="s">
        <v>96</v>
      </c>
      <c r="K71" s="4"/>
      <c r="M71" s="4">
        <v>7.08</v>
      </c>
      <c r="N71" s="8">
        <f>IF(ISNUMBER(SEARCH("-",ItmPur2025[[#This Row],[PriceAdj'#]])),-1*_xlfn.NUMBERVALUE(SUBSTITUTE(ItmPur2025[[#This Row],[PriceAdj'#]],"-","")),_xlfn.NUMBERVALUE(ItmPur2025[[#This Row],[PriceAdj'#]]))</f>
        <v>7.08</v>
      </c>
      <c r="O71" s="9">
        <f>IFERROR(ItmPur2025[[#This Row],[PriceFinal'#]]/ItmPur2025[[#This Row],[Qty]]*LOOKUP(ItmPur2025[[#This Row],[Qty_units]],#REF!,#REF!),0)</f>
        <v>0</v>
      </c>
      <c r="P71" s="7" t="s">
        <v>17</v>
      </c>
      <c r="Q71" s="7" t="s">
        <v>16</v>
      </c>
      <c r="S71" s="4"/>
      <c r="T71" s="11"/>
      <c r="U71" s="4">
        <f>IF(ItmPur2025[[#This Row],[OverrideMo]],ItmPur2025[[#This Row],[OverrideMo]]+ItmPur2025[[#This Row],[AdditMonths]],MONTH(ItmPur2025[[#This Row],[Date]])+ItmPur2025[[#This Row],[AdditMonths]])</f>
        <v>1</v>
      </c>
      <c r="V71" s="10" t="str">
        <f>IFERROR(IF(FIND("tax",LOWER(ItmPur2025[[#This Row],[Item]])),"TAX",""),"")</f>
        <v/>
      </c>
      <c r="W71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7.08</v>
      </c>
      <c r="X71" s="8">
        <f>IF(ItmPur2025[[#This Row],[AdditMonths]]&gt;0,ItmPur2025[[#This Row],[PriceFinal'#]]/(ItmPur2025[[#This Row],[AdditMonths]]+1),ItmPur2025[[#This Row],[PriceFinal'#]])</f>
        <v>7.08</v>
      </c>
      <c r="Y71" s="11"/>
      <c r="Z71" s="4">
        <f>IF(ISBLANK(ItmPur2025[[#This Row],[OverrideMo]]), MONTH(ItmPur2025[[#This Row],[Date]]), ItmPur2025[[#This Row],[OverrideMo]])</f>
        <v>1</v>
      </c>
      <c r="AA71" s="7" t="str">
        <f>_xlfn.CONCAT(ItmPur2025[[#This Row],[Cat]],ItmPur2025[[#This Row],[SubCat]])</f>
        <v>InsuranceDental</v>
      </c>
      <c r="AB71" s="7" t="e">
        <f>MATCH(ItmPur2025[[#This Row],[ValidationCat'#]],#REF!,0)</f>
        <v>#REF!</v>
      </c>
    </row>
    <row r="72" spans="1:28" s="7" customFormat="1" ht="15" customHeight="1" x14ac:dyDescent="0.2">
      <c r="A72" s="16">
        <v>46030</v>
      </c>
      <c r="B72" s="18">
        <v>0.29166666666666669</v>
      </c>
      <c r="C72" s="4" t="s">
        <v>28</v>
      </c>
      <c r="D72" s="4"/>
      <c r="E72" s="4"/>
      <c r="F72" s="4"/>
      <c r="G72" s="4"/>
      <c r="H72" s="5" t="s">
        <v>174</v>
      </c>
      <c r="I72" s="22" t="s">
        <v>97</v>
      </c>
      <c r="J72" s="12" t="s">
        <v>98</v>
      </c>
      <c r="K72" s="4"/>
      <c r="M72" s="4">
        <v>0.01</v>
      </c>
      <c r="N72" s="8">
        <f>IF(ISNUMBER(SEARCH("-",ItmPur2025[[#This Row],[PriceAdj'#]])),-1*_xlfn.NUMBERVALUE(SUBSTITUTE(ItmPur2025[[#This Row],[PriceAdj'#]],"-","")),_xlfn.NUMBERVALUE(ItmPur2025[[#This Row],[PriceAdj'#]]))</f>
        <v>0.01</v>
      </c>
      <c r="O72" s="9">
        <f>IFERROR(ItmPur2025[[#This Row],[PriceFinal'#]]/ItmPur2025[[#This Row],[Qty]]*LOOKUP(ItmPur2025[[#This Row],[Qty_units]],#REF!,#REF!),0)</f>
        <v>0</v>
      </c>
      <c r="P72" s="7" t="s">
        <v>27</v>
      </c>
      <c r="Q72" s="7" t="s">
        <v>28</v>
      </c>
      <c r="S72" s="4"/>
      <c r="T72" s="11"/>
      <c r="U72" s="4">
        <f>IF(ItmPur2025[[#This Row],[OverrideMo]],ItmPur2025[[#This Row],[OverrideMo]]+ItmPur2025[[#This Row],[AdditMonths]],MONTH(ItmPur2025[[#This Row],[Date]])+ItmPur2025[[#This Row],[AdditMonths]])</f>
        <v>1</v>
      </c>
      <c r="V72" s="10" t="str">
        <f>IFERROR(IF(FIND("tax",LOWER(ItmPur2025[[#This Row],[Item]])),"TAX",""),"")</f>
        <v/>
      </c>
      <c r="W72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0.01</v>
      </c>
      <c r="X72" s="8">
        <f>IF(ItmPur2025[[#This Row],[AdditMonths]]&gt;0,ItmPur2025[[#This Row],[PriceFinal'#]]/(ItmPur2025[[#This Row],[AdditMonths]]+1),ItmPur2025[[#This Row],[PriceFinal'#]])</f>
        <v>0.01</v>
      </c>
      <c r="Y72" s="11"/>
      <c r="Z72" s="4">
        <f>IF(ISBLANK(ItmPur2025[[#This Row],[OverrideMo]]), MONTH(ItmPur2025[[#This Row],[Date]]), ItmPur2025[[#This Row],[OverrideMo]])</f>
        <v>1</v>
      </c>
      <c r="AA72" s="7" t="str">
        <f>_xlfn.CONCAT(ItmPur2025[[#This Row],[Cat]],ItmPur2025[[#This Row],[SubCat]])</f>
        <v>FamilyParents Gift Account</v>
      </c>
      <c r="AB72" s="7" t="e">
        <f>MATCH(ItmPur2025[[#This Row],[ValidationCat'#]],#REF!,0)</f>
        <v>#REF!</v>
      </c>
    </row>
    <row r="73" spans="1:28" s="7" customFormat="1" ht="15" customHeight="1" x14ac:dyDescent="0.2">
      <c r="A73" s="16">
        <v>46030</v>
      </c>
      <c r="B73" s="18">
        <v>0.29166666666666669</v>
      </c>
      <c r="C73" s="4" t="s">
        <v>55</v>
      </c>
      <c r="D73" s="4"/>
      <c r="E73" s="4"/>
      <c r="F73" s="4"/>
      <c r="G73" s="4"/>
      <c r="H73" s="5" t="s">
        <v>174</v>
      </c>
      <c r="I73" s="6"/>
      <c r="J73" s="12" t="s">
        <v>99</v>
      </c>
      <c r="K73" s="4"/>
      <c r="M73" s="4">
        <v>235.57</v>
      </c>
      <c r="N73" s="8">
        <f>IF(ISNUMBER(SEARCH("-",ItmPur2025[[#This Row],[PriceAdj'#]])),-1*_xlfn.NUMBERVALUE(SUBSTITUTE(ItmPur2025[[#This Row],[PriceAdj'#]],"-","")),_xlfn.NUMBERVALUE(ItmPur2025[[#This Row],[PriceAdj'#]]))</f>
        <v>235.57</v>
      </c>
      <c r="O73" s="9">
        <f>IFERROR(ItmPur2025[[#This Row],[PriceFinal'#]]/ItmPur2025[[#This Row],[Qty]]*LOOKUP(ItmPur2025[[#This Row],[Qty_units]],#REF!,#REF!),0)</f>
        <v>0</v>
      </c>
      <c r="P73" s="7" t="s">
        <v>13</v>
      </c>
      <c r="Q73" s="7" t="s">
        <v>12</v>
      </c>
      <c r="S73" s="4"/>
      <c r="T73" s="11"/>
      <c r="U73" s="4">
        <f>IF(ItmPur2025[[#This Row],[OverrideMo]],ItmPur2025[[#This Row],[OverrideMo]]+ItmPur2025[[#This Row],[AdditMonths]],MONTH(ItmPur2025[[#This Row],[Date]])+ItmPur2025[[#This Row],[AdditMonths]])</f>
        <v>1</v>
      </c>
      <c r="V73" s="10" t="str">
        <f>IFERROR(IF(FIND("tax",LOWER(ItmPur2025[[#This Row],[Item]])),"TAX",""),"")</f>
        <v>TAX</v>
      </c>
      <c r="W73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235.57</v>
      </c>
      <c r="X73" s="8">
        <f>IF(ItmPur2025[[#This Row],[AdditMonths]]&gt;0,ItmPur2025[[#This Row],[PriceFinal'#]]/(ItmPur2025[[#This Row],[AdditMonths]]+1),ItmPur2025[[#This Row],[PriceFinal'#]])</f>
        <v>235.57</v>
      </c>
      <c r="Y73" s="11"/>
      <c r="Z73" s="4">
        <f>IF(ISBLANK(ItmPur2025[[#This Row],[OverrideMo]]), MONTH(ItmPur2025[[#This Row],[Date]]), ItmPur2025[[#This Row],[OverrideMo]])</f>
        <v>1</v>
      </c>
      <c r="AA73" s="7" t="str">
        <f>_xlfn.CONCAT(ItmPur2025[[#This Row],[Cat]],ItmPur2025[[#This Row],[SubCat]])</f>
        <v>FederalTax</v>
      </c>
      <c r="AB73" s="7" t="e">
        <f>MATCH(ItmPur2025[[#This Row],[ValidationCat'#]],#REF!,0)</f>
        <v>#REF!</v>
      </c>
    </row>
    <row r="74" spans="1:28" s="7" customFormat="1" ht="15" customHeight="1" x14ac:dyDescent="0.2">
      <c r="A74" s="16">
        <v>46030</v>
      </c>
      <c r="B74" s="18">
        <v>0.29166666666666669</v>
      </c>
      <c r="C74" s="4" t="s">
        <v>55</v>
      </c>
      <c r="D74" s="4"/>
      <c r="E74" s="4"/>
      <c r="F74" s="4"/>
      <c r="G74" s="4"/>
      <c r="H74" s="5" t="s">
        <v>174</v>
      </c>
      <c r="I74" s="6"/>
      <c r="J74" s="12" t="s">
        <v>100</v>
      </c>
      <c r="K74" s="4"/>
      <c r="M74" s="4">
        <v>288.3</v>
      </c>
      <c r="N74" s="8">
        <f>IF(ISNUMBER(SEARCH("-",ItmPur2025[[#This Row],[PriceAdj'#]])),-1*_xlfn.NUMBERVALUE(SUBSTITUTE(ItmPur2025[[#This Row],[PriceAdj'#]],"-","")),_xlfn.NUMBERVALUE(ItmPur2025[[#This Row],[PriceAdj'#]]))</f>
        <v>288.3</v>
      </c>
      <c r="O74" s="9">
        <f>IFERROR(ItmPur2025[[#This Row],[PriceFinal'#]]/ItmPur2025[[#This Row],[Qty]]*LOOKUP(ItmPur2025[[#This Row],[Qty_units]],#REF!,#REF!),0)</f>
        <v>0</v>
      </c>
      <c r="P74" s="7" t="s">
        <v>13</v>
      </c>
      <c r="Q74" s="7" t="s">
        <v>12</v>
      </c>
      <c r="S74" s="4"/>
      <c r="T74" s="11"/>
      <c r="U74" s="4">
        <f>IF(ItmPur2025[[#This Row],[OverrideMo]],ItmPur2025[[#This Row],[OverrideMo]]+ItmPur2025[[#This Row],[AdditMonths]],MONTH(ItmPur2025[[#This Row],[Date]])+ItmPur2025[[#This Row],[AdditMonths]])</f>
        <v>1</v>
      </c>
      <c r="V74" s="10" t="str">
        <f>IFERROR(IF(FIND("tax",LOWER(ItmPur2025[[#This Row],[Item]])),"TAX",""),"")</f>
        <v>TAX</v>
      </c>
      <c r="W74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288.3</v>
      </c>
      <c r="X74" s="8">
        <f>IF(ItmPur2025[[#This Row],[AdditMonths]]&gt;0,ItmPur2025[[#This Row],[PriceFinal'#]]/(ItmPur2025[[#This Row],[AdditMonths]]+1),ItmPur2025[[#This Row],[PriceFinal'#]])</f>
        <v>288.3</v>
      </c>
      <c r="Y74" s="11"/>
      <c r="Z74" s="4">
        <f>IF(ISBLANK(ItmPur2025[[#This Row],[OverrideMo]]), MONTH(ItmPur2025[[#This Row],[Date]]), ItmPur2025[[#This Row],[OverrideMo]])</f>
        <v>1</v>
      </c>
      <c r="AA74" s="7" t="str">
        <f>_xlfn.CONCAT(ItmPur2025[[#This Row],[Cat]],ItmPur2025[[#This Row],[SubCat]])</f>
        <v>FederalTax</v>
      </c>
      <c r="AB74" s="7" t="e">
        <f>MATCH(ItmPur2025[[#This Row],[ValidationCat'#]],#REF!,0)</f>
        <v>#REF!</v>
      </c>
    </row>
    <row r="75" spans="1:28" s="7" customFormat="1" ht="15" customHeight="1" x14ac:dyDescent="0.2">
      <c r="A75" s="16">
        <v>46030</v>
      </c>
      <c r="B75" s="18">
        <v>0.29166666666666669</v>
      </c>
      <c r="C75" s="4" t="s">
        <v>43</v>
      </c>
      <c r="D75" s="4"/>
      <c r="E75" s="4"/>
      <c r="F75" s="4"/>
      <c r="G75" s="4"/>
      <c r="H75" s="5" t="s">
        <v>174</v>
      </c>
      <c r="I75" s="6"/>
      <c r="J75" s="12" t="s">
        <v>101</v>
      </c>
      <c r="K75" s="4"/>
      <c r="M75" s="4">
        <v>172.69</v>
      </c>
      <c r="N75" s="8">
        <f>IF(ISNUMBER(SEARCH("-",ItmPur2025[[#This Row],[PriceAdj'#]])),-1*_xlfn.NUMBERVALUE(SUBSTITUTE(ItmPur2025[[#This Row],[PriceAdj'#]],"-","")),_xlfn.NUMBERVALUE(ItmPur2025[[#This Row],[PriceAdj'#]]))</f>
        <v>172.69</v>
      </c>
      <c r="O75" s="9">
        <f>IFERROR(ItmPur2025[[#This Row],[PriceFinal'#]]/ItmPur2025[[#This Row],[Qty]]*LOOKUP(ItmPur2025[[#This Row],[Qty_units]],#REF!,#REF!),0)</f>
        <v>0</v>
      </c>
      <c r="P75" s="7" t="s">
        <v>15</v>
      </c>
      <c r="Q75" s="7" t="s">
        <v>12</v>
      </c>
      <c r="S75" s="4"/>
      <c r="T75" s="11"/>
      <c r="U75" s="4">
        <f>IF(ItmPur2025[[#This Row],[OverrideMo]],ItmPur2025[[#This Row],[OverrideMo]]+ItmPur2025[[#This Row],[AdditMonths]],MONTH(ItmPur2025[[#This Row],[Date]])+ItmPur2025[[#This Row],[AdditMonths]])</f>
        <v>1</v>
      </c>
      <c r="V75" s="10" t="str">
        <f>IFERROR(IF(FIND("tax",LOWER(ItmPur2025[[#This Row],[Item]])),"TAX",""),"")</f>
        <v>TAX</v>
      </c>
      <c r="W75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172.69</v>
      </c>
      <c r="X75" s="8">
        <f>IF(ItmPur2025[[#This Row],[AdditMonths]]&gt;0,ItmPur2025[[#This Row],[PriceFinal'#]]/(ItmPur2025[[#This Row],[AdditMonths]]+1),ItmPur2025[[#This Row],[PriceFinal'#]])</f>
        <v>172.69</v>
      </c>
      <c r="Y75" s="11"/>
      <c r="Z75" s="4">
        <f>IF(ISBLANK(ItmPur2025[[#This Row],[OverrideMo]]), MONTH(ItmPur2025[[#This Row],[Date]]), ItmPur2025[[#This Row],[OverrideMo]])</f>
        <v>1</v>
      </c>
      <c r="AA75" s="7" t="str">
        <f>_xlfn.CONCAT(ItmPur2025[[#This Row],[Cat]],ItmPur2025[[#This Row],[SubCat]])</f>
        <v>StateTax</v>
      </c>
      <c r="AB75" s="7" t="e">
        <f>MATCH(ItmPur2025[[#This Row],[ValidationCat'#]],#REF!,0)</f>
        <v>#REF!</v>
      </c>
    </row>
    <row r="76" spans="1:28" s="7" customFormat="1" ht="15" customHeight="1" x14ac:dyDescent="0.2">
      <c r="A76" s="16">
        <v>46030</v>
      </c>
      <c r="B76" s="18">
        <v>0.29166666666666669</v>
      </c>
      <c r="C76" s="4" t="s">
        <v>55</v>
      </c>
      <c r="D76" s="4"/>
      <c r="E76" s="4"/>
      <c r="F76" s="4"/>
      <c r="G76" s="4"/>
      <c r="H76" s="5" t="s">
        <v>174</v>
      </c>
      <c r="I76" s="6"/>
      <c r="J76" s="12" t="s">
        <v>102</v>
      </c>
      <c r="K76" s="4"/>
      <c r="M76" s="4">
        <v>67.42</v>
      </c>
      <c r="N76" s="8">
        <f>IF(ISNUMBER(SEARCH("-",ItmPur2025[[#This Row],[PriceAdj'#]])),-1*_xlfn.NUMBERVALUE(SUBSTITUTE(ItmPur2025[[#This Row],[PriceAdj'#]],"-","")),_xlfn.NUMBERVALUE(ItmPur2025[[#This Row],[PriceAdj'#]]))</f>
        <v>67.42</v>
      </c>
      <c r="O76" s="9">
        <f>IFERROR(ItmPur2025[[#This Row],[PriceFinal'#]]/ItmPur2025[[#This Row],[Qty]]*LOOKUP(ItmPur2025[[#This Row],[Qty_units]],#REF!,#REF!),0)</f>
        <v>0</v>
      </c>
      <c r="P76" s="7" t="s">
        <v>13</v>
      </c>
      <c r="Q76" s="7" t="s">
        <v>12</v>
      </c>
      <c r="S76" s="4"/>
      <c r="T76" s="11"/>
      <c r="U76" s="4">
        <f>IF(ItmPur2025[[#This Row],[OverrideMo]],ItmPur2025[[#This Row],[OverrideMo]]+ItmPur2025[[#This Row],[AdditMonths]],MONTH(ItmPur2025[[#This Row],[Date]])+ItmPur2025[[#This Row],[AdditMonths]])</f>
        <v>1</v>
      </c>
      <c r="V76" s="10" t="str">
        <f>IFERROR(IF(FIND("tax",LOWER(ItmPur2025[[#This Row],[Item]])),"TAX",""),"")</f>
        <v>TAX</v>
      </c>
      <c r="W76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67.42</v>
      </c>
      <c r="X76" s="8">
        <f>IF(ItmPur2025[[#This Row],[AdditMonths]]&gt;0,ItmPur2025[[#This Row],[PriceFinal'#]]/(ItmPur2025[[#This Row],[AdditMonths]]+1),ItmPur2025[[#This Row],[PriceFinal'#]])</f>
        <v>67.42</v>
      </c>
      <c r="Y76" s="11"/>
      <c r="Z76" s="4">
        <f>IF(ISBLANK(ItmPur2025[[#This Row],[OverrideMo]]), MONTH(ItmPur2025[[#This Row],[Date]]), ItmPur2025[[#This Row],[OverrideMo]])</f>
        <v>1</v>
      </c>
      <c r="AA76" s="7" t="str">
        <f>_xlfn.CONCAT(ItmPur2025[[#This Row],[Cat]],ItmPur2025[[#This Row],[SubCat]])</f>
        <v>FederalTax</v>
      </c>
      <c r="AB76" s="7" t="e">
        <f>MATCH(ItmPur2025[[#This Row],[ValidationCat'#]],#REF!,0)</f>
        <v>#REF!</v>
      </c>
    </row>
    <row r="77" spans="1:28" s="7" customFormat="1" ht="15" customHeight="1" x14ac:dyDescent="0.2">
      <c r="A77" s="16">
        <v>46030</v>
      </c>
      <c r="B77" s="18">
        <v>0.29166666666666669</v>
      </c>
      <c r="C77" s="4" t="s">
        <v>43</v>
      </c>
      <c r="D77" s="4"/>
      <c r="E77" s="4"/>
      <c r="F77" s="4"/>
      <c r="G77" s="4"/>
      <c r="H77" s="5" t="s">
        <v>174</v>
      </c>
      <c r="I77" s="6"/>
      <c r="J77" s="12" t="s">
        <v>103</v>
      </c>
      <c r="K77" s="4"/>
      <c r="M77" s="4">
        <v>22</v>
      </c>
      <c r="N77" s="8">
        <f>IF(ISNUMBER(SEARCH("-",ItmPur2025[[#This Row],[PriceAdj'#]])),-1*_xlfn.NUMBERVALUE(SUBSTITUTE(ItmPur2025[[#This Row],[PriceAdj'#]],"-","")),_xlfn.NUMBERVALUE(ItmPur2025[[#This Row],[PriceAdj'#]]))</f>
        <v>22</v>
      </c>
      <c r="O77" s="9">
        <f>IFERROR(ItmPur2025[[#This Row],[PriceFinal'#]]/ItmPur2025[[#This Row],[Qty]]*LOOKUP(ItmPur2025[[#This Row],[Qty_units]],#REF!,#REF!),0)</f>
        <v>0</v>
      </c>
      <c r="P77" s="7" t="s">
        <v>15</v>
      </c>
      <c r="Q77" s="7" t="s">
        <v>12</v>
      </c>
      <c r="S77" s="4"/>
      <c r="T77" s="11"/>
      <c r="U77" s="4">
        <f>IF(ItmPur2025[[#This Row],[OverrideMo]],ItmPur2025[[#This Row],[OverrideMo]]+ItmPur2025[[#This Row],[AdditMonths]],MONTH(ItmPur2025[[#This Row],[Date]])+ItmPur2025[[#This Row],[AdditMonths]])</f>
        <v>1</v>
      </c>
      <c r="V77" s="10" t="str">
        <f>IFERROR(IF(FIND("tax",LOWER(ItmPur2025[[#This Row],[Item]])),"TAX",""),"")</f>
        <v/>
      </c>
      <c r="W77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22</v>
      </c>
      <c r="X77" s="8">
        <f>IF(ItmPur2025[[#This Row],[AdditMonths]]&gt;0,ItmPur2025[[#This Row],[PriceFinal'#]]/(ItmPur2025[[#This Row],[AdditMonths]]+1),ItmPur2025[[#This Row],[PriceFinal'#]])</f>
        <v>22</v>
      </c>
      <c r="Y77" s="11"/>
      <c r="Z77" s="4">
        <f>IF(ISBLANK(ItmPur2025[[#This Row],[OverrideMo]]), MONTH(ItmPur2025[[#This Row],[Date]]), ItmPur2025[[#This Row],[OverrideMo]])</f>
        <v>1</v>
      </c>
      <c r="AA77" s="7" t="str">
        <f>_xlfn.CONCAT(ItmPur2025[[#This Row],[Cat]],ItmPur2025[[#This Row],[SubCat]])</f>
        <v>StateTax</v>
      </c>
      <c r="AB77" s="7" t="e">
        <f>MATCH(ItmPur2025[[#This Row],[ValidationCat'#]],#REF!,0)</f>
        <v>#REF!</v>
      </c>
    </row>
    <row r="78" spans="1:28" s="7" customFormat="1" ht="15" customHeight="1" x14ac:dyDescent="0.2">
      <c r="A78" s="16">
        <v>46030</v>
      </c>
      <c r="B78" s="18">
        <v>0.29166666666666669</v>
      </c>
      <c r="C78" s="4" t="s">
        <v>52</v>
      </c>
      <c r="D78" s="4"/>
      <c r="E78" s="4"/>
      <c r="F78" s="4"/>
      <c r="G78" s="4"/>
      <c r="H78" s="5" t="s">
        <v>174</v>
      </c>
      <c r="I78" s="22" t="s">
        <v>104</v>
      </c>
      <c r="J78" s="12" t="s">
        <v>175</v>
      </c>
      <c r="K78" s="4"/>
      <c r="M78" s="4">
        <v>3561.77</v>
      </c>
      <c r="N78" s="8">
        <f>IF(ISNUMBER(SEARCH("-",ItmPur2025[[#This Row],[PriceAdj'#]])),-1*_xlfn.NUMBERVALUE(SUBSTITUTE(ItmPur2025[[#This Row],[PriceAdj'#]],"-","")),_xlfn.NUMBERVALUE(ItmPur2025[[#This Row],[PriceAdj'#]]))</f>
        <v>3561.77</v>
      </c>
      <c r="O78" s="9">
        <f>IFERROR(ItmPur2025[[#This Row],[PriceFinal'#]]/ItmPur2025[[#This Row],[Qty]]*LOOKUP(ItmPur2025[[#This Row],[Qty_units]],#REF!,#REF!),0)</f>
        <v>0</v>
      </c>
      <c r="P78" s="7" t="s">
        <v>14</v>
      </c>
      <c r="S78" s="4"/>
      <c r="T78" s="11"/>
      <c r="U78" s="4">
        <f>IF(ItmPur2025[[#This Row],[OverrideMo]],ItmPur2025[[#This Row],[OverrideMo]]+ItmPur2025[[#This Row],[AdditMonths]],MONTH(ItmPur2025[[#This Row],[Date]])+ItmPur2025[[#This Row],[AdditMonths]])</f>
        <v>1</v>
      </c>
      <c r="V78" s="10" t="str">
        <f>IFERROR(IF(FIND("tax",LOWER(ItmPur2025[[#This Row],[Item]])),"TAX",""),"")</f>
        <v/>
      </c>
      <c r="W78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3561.77</v>
      </c>
      <c r="X78" s="8">
        <f>IF(ItmPur2025[[#This Row],[AdditMonths]]&gt;0,ItmPur2025[[#This Row],[PriceFinal'#]]/(ItmPur2025[[#This Row],[AdditMonths]]+1),ItmPur2025[[#This Row],[PriceFinal'#]])</f>
        <v>3561.77</v>
      </c>
      <c r="Y78" s="11"/>
      <c r="Z78" s="4">
        <f>IF(ISBLANK(ItmPur2025[[#This Row],[OverrideMo]]), MONTH(ItmPur2025[[#This Row],[Date]]), ItmPur2025[[#This Row],[OverrideMo]])</f>
        <v>1</v>
      </c>
      <c r="AA78" s="7" t="str">
        <f>_xlfn.CONCAT(ItmPur2025[[#This Row],[Cat]],ItmPur2025[[#This Row],[SubCat]])</f>
        <v>Gross</v>
      </c>
      <c r="AB78" s="7" t="e">
        <f>MATCH(ItmPur2025[[#This Row],[ValidationCat'#]],#REF!,0)</f>
        <v>#REF!</v>
      </c>
    </row>
    <row r="79" spans="1:28" s="7" customFormat="1" ht="15" customHeight="1" x14ac:dyDescent="0.2">
      <c r="A79" s="16">
        <v>46030</v>
      </c>
      <c r="B79" s="18">
        <v>0.29166666666666669</v>
      </c>
      <c r="C79" s="4" t="s">
        <v>52</v>
      </c>
      <c r="D79" s="4"/>
      <c r="E79" s="4"/>
      <c r="F79" s="4"/>
      <c r="G79" s="4"/>
      <c r="H79" s="5" t="s">
        <v>174</v>
      </c>
      <c r="I79" s="14"/>
      <c r="J79" s="12" t="s">
        <v>105</v>
      </c>
      <c r="K79" s="4"/>
      <c r="M79" s="4">
        <v>-3561.78</v>
      </c>
      <c r="N79" s="8">
        <f>IF(ISNUMBER(SEARCH("-",ItmPur2025[[#This Row],[PriceAdj'#]])),-1*_xlfn.NUMBERVALUE(SUBSTITUTE(ItmPur2025[[#This Row],[PriceAdj'#]],"-","")),_xlfn.NUMBERVALUE(ItmPur2025[[#This Row],[PriceAdj'#]]))</f>
        <v>-3561.78</v>
      </c>
      <c r="O79" s="9">
        <f>IFERROR(ItmPur2025[[#This Row],[PriceFinal'#]]/ItmPur2025[[#This Row],[Qty]]*LOOKUP(ItmPur2025[[#This Row],[Qty_units]],#REF!,#REF!),0)</f>
        <v>0</v>
      </c>
      <c r="P79" s="7" t="s">
        <v>14</v>
      </c>
      <c r="S79" s="4"/>
      <c r="T79" s="11"/>
      <c r="U79" s="4">
        <f>IF(ItmPur2025[[#This Row],[OverrideMo]],ItmPur2025[[#This Row],[OverrideMo]]+ItmPur2025[[#This Row],[AdditMonths]],MONTH(ItmPur2025[[#This Row],[Date]])+ItmPur2025[[#This Row],[AdditMonths]])</f>
        <v>1</v>
      </c>
      <c r="V79" s="10" t="str">
        <f>IFERROR(IF(FIND("tax",LOWER(ItmPur2025[[#This Row],[Item]])),"TAX",""),"")</f>
        <v/>
      </c>
      <c r="W79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-3561.78</v>
      </c>
      <c r="X79" s="8">
        <f>IF(ItmPur2025[[#This Row],[AdditMonths]]&gt;0,ItmPur2025[[#This Row],[PriceFinal'#]]/(ItmPur2025[[#This Row],[AdditMonths]]+1),ItmPur2025[[#This Row],[PriceFinal'#]])</f>
        <v>-3561.78</v>
      </c>
      <c r="Y79" s="11"/>
      <c r="Z79" s="4">
        <f>IF(ISBLANK(ItmPur2025[[#This Row],[OverrideMo]]), MONTH(ItmPur2025[[#This Row],[Date]]), ItmPur2025[[#This Row],[OverrideMo]])</f>
        <v>1</v>
      </c>
      <c r="AA79" s="7" t="str">
        <f>_xlfn.CONCAT(ItmPur2025[[#This Row],[Cat]],ItmPur2025[[#This Row],[SubCat]])</f>
        <v>Gross</v>
      </c>
      <c r="AB79" s="7" t="e">
        <f>MATCH(ItmPur2025[[#This Row],[ValidationCat'#]],#REF!,0)</f>
        <v>#REF!</v>
      </c>
    </row>
    <row r="80" spans="1:28" s="7" customFormat="1" ht="15" customHeight="1" x14ac:dyDescent="0.2">
      <c r="A80" s="16">
        <v>46030</v>
      </c>
      <c r="B80" s="18">
        <v>0.29166666666666669</v>
      </c>
      <c r="C80" s="4" t="s">
        <v>52</v>
      </c>
      <c r="D80" s="4"/>
      <c r="E80" s="4"/>
      <c r="F80" s="4"/>
      <c r="G80" s="4"/>
      <c r="H80" s="5" t="s">
        <v>174</v>
      </c>
      <c r="I80" s="14"/>
      <c r="J80" s="12" t="s">
        <v>106</v>
      </c>
      <c r="K80" s="4"/>
      <c r="M80" s="4">
        <v>-5000</v>
      </c>
      <c r="N80" s="8">
        <f>IF(ISNUMBER(SEARCH("-",ItmPur2025[[#This Row],[PriceAdj'#]])),-1*_xlfn.NUMBERVALUE(SUBSTITUTE(ItmPur2025[[#This Row],[PriceAdj'#]],"-","")),_xlfn.NUMBERVALUE(ItmPur2025[[#This Row],[PriceAdj'#]]))</f>
        <v>-5000</v>
      </c>
      <c r="O80" s="9">
        <f>IFERROR(ItmPur2025[[#This Row],[PriceFinal'#]]/ItmPur2025[[#This Row],[Qty]]*LOOKUP(ItmPur2025[[#This Row],[Qty_units]],#REF!,#REF!),0)</f>
        <v>0</v>
      </c>
      <c r="P80" s="7" t="s">
        <v>14</v>
      </c>
      <c r="S80" s="4"/>
      <c r="T80" s="11"/>
      <c r="U80" s="4">
        <f>IF(ItmPur2025[[#This Row],[OverrideMo]],ItmPur2025[[#This Row],[OverrideMo]]+ItmPur2025[[#This Row],[AdditMonths]],MONTH(ItmPur2025[[#This Row],[Date]])+ItmPur2025[[#This Row],[AdditMonths]])</f>
        <v>1</v>
      </c>
      <c r="V80" s="10" t="str">
        <f>IFERROR(IF(FIND("tax",LOWER(ItmPur2025[[#This Row],[Item]])),"TAX",""),"")</f>
        <v/>
      </c>
      <c r="W80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-5000</v>
      </c>
      <c r="X80" s="8">
        <f>IF(ItmPur2025[[#This Row],[AdditMonths]]&gt;0,ItmPur2025[[#This Row],[PriceFinal'#]]/(ItmPur2025[[#This Row],[AdditMonths]]+1),ItmPur2025[[#This Row],[PriceFinal'#]])</f>
        <v>-5000</v>
      </c>
      <c r="Y80" s="11"/>
      <c r="Z80" s="4">
        <f>IF(ISBLANK(ItmPur2025[[#This Row],[OverrideMo]]), MONTH(ItmPur2025[[#This Row],[Date]]), ItmPur2025[[#This Row],[OverrideMo]])</f>
        <v>1</v>
      </c>
      <c r="AA80" s="7" t="str">
        <f>_xlfn.CONCAT(ItmPur2025[[#This Row],[Cat]],ItmPur2025[[#This Row],[SubCat]])</f>
        <v>Gross</v>
      </c>
      <c r="AB80" s="7" t="e">
        <f>MATCH(ItmPur2025[[#This Row],[ValidationCat'#]],#REF!,0)</f>
        <v>#REF!</v>
      </c>
    </row>
    <row r="81" spans="1:28" s="7" customFormat="1" ht="15" customHeight="1" x14ac:dyDescent="0.2">
      <c r="A81" s="16">
        <v>46030</v>
      </c>
      <c r="B81" s="18">
        <v>0.29166666666666669</v>
      </c>
      <c r="C81" s="4" t="s">
        <v>52</v>
      </c>
      <c r="D81" s="4"/>
      <c r="E81" s="4"/>
      <c r="F81" s="4"/>
      <c r="G81" s="4"/>
      <c r="H81" s="5" t="s">
        <v>174</v>
      </c>
      <c r="I81" s="14"/>
      <c r="J81" s="12" t="s">
        <v>107</v>
      </c>
      <c r="K81" s="4"/>
      <c r="M81" s="4">
        <v>0</v>
      </c>
      <c r="N81" s="8">
        <f>IF(ISNUMBER(SEARCH("-",ItmPur2025[[#This Row],[PriceAdj'#]])),-1*_xlfn.NUMBERVALUE(SUBSTITUTE(ItmPur2025[[#This Row],[PriceAdj'#]],"-","")),_xlfn.NUMBERVALUE(ItmPur2025[[#This Row],[PriceAdj'#]]))</f>
        <v>0</v>
      </c>
      <c r="O81" s="9">
        <f>IFERROR(ItmPur2025[[#This Row],[PriceFinal'#]]/ItmPur2025[[#This Row],[Qty]]*LOOKUP(ItmPur2025[[#This Row],[Qty_units]],#REF!,#REF!),0)</f>
        <v>0</v>
      </c>
      <c r="P81" s="7" t="s">
        <v>14</v>
      </c>
      <c r="S81" s="4"/>
      <c r="T81" s="11"/>
      <c r="U81" s="4">
        <f>IF(ItmPur2025[[#This Row],[OverrideMo]],ItmPur2025[[#This Row],[OverrideMo]]+ItmPur2025[[#This Row],[AdditMonths]],MONTH(ItmPur2025[[#This Row],[Date]])+ItmPur2025[[#This Row],[AdditMonths]])</f>
        <v>1</v>
      </c>
      <c r="V81" s="10" t="str">
        <f>IFERROR(IF(FIND("tax",LOWER(ItmPur2025[[#This Row],[Item]])),"TAX",""),"")</f>
        <v/>
      </c>
      <c r="W81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0</v>
      </c>
      <c r="X81" s="8">
        <f>IF(ItmPur2025[[#This Row],[AdditMonths]]&gt;0,ItmPur2025[[#This Row],[PriceFinal'#]]/(ItmPur2025[[#This Row],[AdditMonths]]+1),ItmPur2025[[#This Row],[PriceFinal'#]])</f>
        <v>0</v>
      </c>
      <c r="Y81" s="11"/>
      <c r="Z81" s="4">
        <f>IF(ISBLANK(ItmPur2025[[#This Row],[OverrideMo]]), MONTH(ItmPur2025[[#This Row],[Date]]), ItmPur2025[[#This Row],[OverrideMo]])</f>
        <v>1</v>
      </c>
      <c r="AA81" s="7" t="str">
        <f>_xlfn.CONCAT(ItmPur2025[[#This Row],[Cat]],ItmPur2025[[#This Row],[SubCat]])</f>
        <v>Gross</v>
      </c>
      <c r="AB81" s="7" t="e">
        <f>MATCH(ItmPur2025[[#This Row],[ValidationCat'#]],#REF!,0)</f>
        <v>#REF!</v>
      </c>
    </row>
    <row r="82" spans="1:28" s="7" customFormat="1" ht="15" customHeight="1" x14ac:dyDescent="0.2">
      <c r="A82" s="16">
        <v>46044</v>
      </c>
      <c r="B82" s="59">
        <v>0.29166666666666669</v>
      </c>
      <c r="C82" s="4" t="s">
        <v>56</v>
      </c>
      <c r="D82" s="4"/>
      <c r="E82" s="4"/>
      <c r="F82" s="4"/>
      <c r="G82" s="4"/>
      <c r="H82" s="5" t="s">
        <v>172</v>
      </c>
      <c r="I82" s="44"/>
      <c r="J82" s="12" t="s">
        <v>85</v>
      </c>
      <c r="K82" s="12"/>
      <c r="L82" s="15"/>
      <c r="M82" s="12">
        <f>2.12+1.07</f>
        <v>3.1900000000000004</v>
      </c>
      <c r="N82" s="8">
        <f>IF(ISNUMBER(SEARCH("-",ItmPur2025[[#This Row],[PriceAdj'#]])),-1*_xlfn.NUMBERVALUE(SUBSTITUTE(ItmPur2025[[#This Row],[PriceAdj'#]],"-","")),_xlfn.NUMBERVALUE(ItmPur2025[[#This Row],[PriceAdj'#]]))</f>
        <v>3.19</v>
      </c>
      <c r="O82" s="9">
        <f>IFERROR(ItmPur2025[[#This Row],[PriceFinal'#]]/ItmPur2025[[#This Row],[Qty]]*LOOKUP(ItmPur2025[[#This Row],[Qty_units]],#REF!,#REF!),0)</f>
        <v>0</v>
      </c>
      <c r="P82" s="7" t="s">
        <v>21</v>
      </c>
      <c r="Q82" s="7" t="s">
        <v>22</v>
      </c>
      <c r="S82" s="4" t="s">
        <v>77</v>
      </c>
      <c r="T82" s="11"/>
      <c r="U82" s="4">
        <f>IF(ItmPur2025[[#This Row],[OverrideMo]],ItmPur2025[[#This Row],[OverrideMo]]+ItmPur2025[[#This Row],[AdditMonths]],MONTH(ItmPur2025[[#This Row],[Date]])+ItmPur2025[[#This Row],[AdditMonths]])</f>
        <v>1</v>
      </c>
      <c r="V82" s="10" t="str">
        <f>IFERROR(IF(FIND("tax",LOWER(ItmPur2025[[#This Row],[Item]])),"TAX",""),"")</f>
        <v/>
      </c>
      <c r="W82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3.19</v>
      </c>
      <c r="X82" s="8">
        <f>IF(ItmPur2025[[#This Row],[AdditMonths]]&gt;0,ItmPur2025[[#This Row],[PriceFinal'#]]/(ItmPur2025[[#This Row],[AdditMonths]]+1),ItmPur2025[[#This Row],[PriceFinal'#]])</f>
        <v>3.19</v>
      </c>
      <c r="Y82" s="11"/>
      <c r="Z82" s="4">
        <f>IF(ISBLANK(ItmPur2025[[#This Row],[OverrideMo]]), MONTH(ItmPur2025[[#This Row],[Date]]), ItmPur2025[[#This Row],[OverrideMo]])</f>
        <v>1</v>
      </c>
      <c r="AA82" s="7" t="str">
        <f>_xlfn.CONCAT(ItmPur2025[[#This Row],[Cat]],ItmPur2025[[#This Row],[SubCat]])</f>
        <v>UtilitiesEnergy</v>
      </c>
      <c r="AB82" s="7" t="e">
        <f>MATCH(ItmPur2025[[#This Row],[ValidationCat'#]],#REF!,0)</f>
        <v>#REF!</v>
      </c>
    </row>
    <row r="83" spans="1:28" s="7" customFormat="1" ht="15" customHeight="1" x14ac:dyDescent="0.2">
      <c r="A83" s="16">
        <v>46044</v>
      </c>
      <c r="B83" s="59">
        <v>0.29166666666666669</v>
      </c>
      <c r="C83" s="4" t="s">
        <v>56</v>
      </c>
      <c r="D83" s="4"/>
      <c r="E83" s="4"/>
      <c r="F83" s="4"/>
      <c r="G83" s="4"/>
      <c r="H83" s="5" t="s">
        <v>172</v>
      </c>
      <c r="I83" s="44"/>
      <c r="J83" s="12" t="s">
        <v>170</v>
      </c>
      <c r="K83" s="12">
        <v>449</v>
      </c>
      <c r="L83" s="15" t="s">
        <v>36</v>
      </c>
      <c r="M83" s="12">
        <v>70.39</v>
      </c>
      <c r="N83" s="8">
        <f>IF(ISNUMBER(SEARCH("-",ItmPur2025[[#This Row],[PriceAdj'#]])),-1*_xlfn.NUMBERVALUE(SUBSTITUTE(ItmPur2025[[#This Row],[PriceAdj'#]],"-","")),_xlfn.NUMBERVALUE(ItmPur2025[[#This Row],[PriceAdj'#]]))</f>
        <v>70.39</v>
      </c>
      <c r="O83" s="9">
        <f>IFERROR(ItmPur2025[[#This Row],[PriceFinal'#]]/ItmPur2025[[#This Row],[Qty]]*LOOKUP(ItmPur2025[[#This Row],[Qty_units]],#REF!,#REF!),0)</f>
        <v>0</v>
      </c>
      <c r="P83" s="7" t="s">
        <v>21</v>
      </c>
      <c r="Q83" s="7" t="s">
        <v>22</v>
      </c>
      <c r="S83" s="4" t="s">
        <v>77</v>
      </c>
      <c r="T83" s="11"/>
      <c r="U83" s="4">
        <f>IF(ItmPur2025[[#This Row],[OverrideMo]],ItmPur2025[[#This Row],[OverrideMo]]+ItmPur2025[[#This Row],[AdditMonths]],MONTH(ItmPur2025[[#This Row],[Date]])+ItmPur2025[[#This Row],[AdditMonths]])</f>
        <v>1</v>
      </c>
      <c r="V83" s="10" t="str">
        <f>IFERROR(IF(FIND("tax",LOWER(ItmPur2025[[#This Row],[Item]])),"TAX",""),"")</f>
        <v/>
      </c>
      <c r="W83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70.39</v>
      </c>
      <c r="X83" s="8">
        <f>IF(ItmPur2025[[#This Row],[AdditMonths]]&gt;0,ItmPur2025[[#This Row],[PriceFinal'#]]/(ItmPur2025[[#This Row],[AdditMonths]]+1),ItmPur2025[[#This Row],[PriceFinal'#]])</f>
        <v>70.39</v>
      </c>
      <c r="Y83" s="11"/>
      <c r="Z83" s="4">
        <f>IF(ISBLANK(ItmPur2025[[#This Row],[OverrideMo]]), MONTH(ItmPur2025[[#This Row],[Date]]), ItmPur2025[[#This Row],[OverrideMo]])</f>
        <v>1</v>
      </c>
      <c r="AA83" s="7" t="str">
        <f>_xlfn.CONCAT(ItmPur2025[[#This Row],[Cat]],ItmPur2025[[#This Row],[SubCat]])</f>
        <v>UtilitiesEnergy</v>
      </c>
      <c r="AB83" s="7" t="e">
        <f>MATCH(ItmPur2025[[#This Row],[ValidationCat'#]],#REF!,0)</f>
        <v>#REF!</v>
      </c>
    </row>
    <row r="84" spans="1:28" s="7" customFormat="1" ht="15" customHeight="1" x14ac:dyDescent="0.2">
      <c r="A84" s="16">
        <v>46044</v>
      </c>
      <c r="B84" s="59">
        <v>0.29166666666666669</v>
      </c>
      <c r="C84" s="4" t="s">
        <v>56</v>
      </c>
      <c r="D84" s="4"/>
      <c r="E84" s="4"/>
      <c r="F84" s="4"/>
      <c r="G84" s="4"/>
      <c r="H84" s="5" t="s">
        <v>172</v>
      </c>
      <c r="I84" s="44"/>
      <c r="J84" s="12" t="s">
        <v>171</v>
      </c>
      <c r="K84" s="12">
        <v>27</v>
      </c>
      <c r="L84" s="15" t="s">
        <v>86</v>
      </c>
      <c r="M84" s="12">
        <v>35.590000000000003</v>
      </c>
      <c r="N84" s="8">
        <f>IF(ISNUMBER(SEARCH("-",ItmPur2025[[#This Row],[PriceAdj'#]])),-1*_xlfn.NUMBERVALUE(SUBSTITUTE(ItmPur2025[[#This Row],[PriceAdj'#]],"-","")),_xlfn.NUMBERVALUE(ItmPur2025[[#This Row],[PriceAdj'#]]))</f>
        <v>35.590000000000003</v>
      </c>
      <c r="O84" s="9">
        <f>IFERROR(ItmPur2025[[#This Row],[PriceFinal'#]]/ItmPur2025[[#This Row],[Qty]]*LOOKUP(ItmPur2025[[#This Row],[Qty_units]],#REF!,#REF!),0)</f>
        <v>0</v>
      </c>
      <c r="P84" s="7" t="s">
        <v>21</v>
      </c>
      <c r="Q84" s="7" t="s">
        <v>22</v>
      </c>
      <c r="S84" s="4" t="s">
        <v>77</v>
      </c>
      <c r="T84" s="11"/>
      <c r="U84" s="4">
        <f>IF(ItmPur2025[[#This Row],[OverrideMo]],ItmPur2025[[#This Row],[OverrideMo]]+ItmPur2025[[#This Row],[AdditMonths]],MONTH(ItmPur2025[[#This Row],[Date]])+ItmPur2025[[#This Row],[AdditMonths]])</f>
        <v>1</v>
      </c>
      <c r="V84" s="10" t="str">
        <f>IFERROR(IF(FIND("tax",LOWER(ItmPur2025[[#This Row],[Item]])),"TAX",""),"")</f>
        <v/>
      </c>
      <c r="W84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35.59</v>
      </c>
      <c r="X84" s="8">
        <f>IF(ItmPur2025[[#This Row],[AdditMonths]]&gt;0,ItmPur2025[[#This Row],[PriceFinal'#]]/(ItmPur2025[[#This Row],[AdditMonths]]+1),ItmPur2025[[#This Row],[PriceFinal'#]])</f>
        <v>35.590000000000003</v>
      </c>
      <c r="Y84" s="11"/>
      <c r="Z84" s="4">
        <f>IF(ISBLANK(ItmPur2025[[#This Row],[OverrideMo]]), MONTH(ItmPur2025[[#This Row],[Date]]), ItmPur2025[[#This Row],[OverrideMo]])</f>
        <v>1</v>
      </c>
      <c r="AA84" s="7" t="str">
        <f>_xlfn.CONCAT(ItmPur2025[[#This Row],[Cat]],ItmPur2025[[#This Row],[SubCat]])</f>
        <v>UtilitiesEnergy</v>
      </c>
      <c r="AB84" s="7" t="e">
        <f>MATCH(ItmPur2025[[#This Row],[ValidationCat'#]],#REF!,0)</f>
        <v>#REF!</v>
      </c>
    </row>
    <row r="85" spans="1:28" s="7" customFormat="1" ht="15" customHeight="1" x14ac:dyDescent="0.2">
      <c r="A85" s="16">
        <v>46044</v>
      </c>
      <c r="B85" s="59">
        <v>0.29166666666666669</v>
      </c>
      <c r="C85" s="4" t="s">
        <v>56</v>
      </c>
      <c r="D85" s="4"/>
      <c r="E85" s="4"/>
      <c r="F85" s="4"/>
      <c r="G85" s="4"/>
      <c r="H85" s="5" t="s">
        <v>172</v>
      </c>
      <c r="I85" s="44"/>
      <c r="J85" s="12" t="s">
        <v>87</v>
      </c>
      <c r="K85" s="12"/>
      <c r="L85" s="15"/>
      <c r="M85" s="12">
        <f>2.72+1.37</f>
        <v>4.09</v>
      </c>
      <c r="N85" s="8">
        <f>IF(ISNUMBER(SEARCH("-",ItmPur2025[[#This Row],[PriceAdj'#]])),-1*_xlfn.NUMBERVALUE(SUBSTITUTE(ItmPur2025[[#This Row],[PriceAdj'#]],"-","")),_xlfn.NUMBERVALUE(ItmPur2025[[#This Row],[PriceAdj'#]]))</f>
        <v>4.09</v>
      </c>
      <c r="O85" s="9">
        <f>IFERROR(ItmPur2025[[#This Row],[PriceFinal'#]]/ItmPur2025[[#This Row],[Qty]]*LOOKUP(ItmPur2025[[#This Row],[Qty_units]],#REF!,#REF!),0)</f>
        <v>0</v>
      </c>
      <c r="P85" s="7" t="s">
        <v>21</v>
      </c>
      <c r="Q85" s="7" t="s">
        <v>22</v>
      </c>
      <c r="S85" s="4" t="s">
        <v>77</v>
      </c>
      <c r="T85" s="11"/>
      <c r="U85" s="4">
        <f>IF(ItmPur2025[[#This Row],[OverrideMo]],ItmPur2025[[#This Row],[OverrideMo]]+ItmPur2025[[#This Row],[AdditMonths]],MONTH(ItmPur2025[[#This Row],[Date]])+ItmPur2025[[#This Row],[AdditMonths]])</f>
        <v>1</v>
      </c>
      <c r="V85" s="10" t="str">
        <f>IFERROR(IF(FIND("tax",LOWER(ItmPur2025[[#This Row],[Item]])),"TAX",""),"")</f>
        <v>TAX</v>
      </c>
      <c r="W85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4.09</v>
      </c>
      <c r="X85" s="8">
        <f>IF(ItmPur2025[[#This Row],[AdditMonths]]&gt;0,ItmPur2025[[#This Row],[PriceFinal'#]]/(ItmPur2025[[#This Row],[AdditMonths]]+1),ItmPur2025[[#This Row],[PriceFinal'#]])</f>
        <v>4.09</v>
      </c>
      <c r="Y85" s="11"/>
      <c r="Z85" s="4">
        <f>IF(ISBLANK(ItmPur2025[[#This Row],[OverrideMo]]), MONTH(ItmPur2025[[#This Row],[Date]]), ItmPur2025[[#This Row],[OverrideMo]])</f>
        <v>1</v>
      </c>
      <c r="AA85" s="7" t="str">
        <f>_xlfn.CONCAT(ItmPur2025[[#This Row],[Cat]],ItmPur2025[[#This Row],[SubCat]])</f>
        <v>UtilitiesEnergy</v>
      </c>
      <c r="AB85" s="7" t="e">
        <f>MATCH(ItmPur2025[[#This Row],[ValidationCat'#]],#REF!,0)</f>
        <v>#REF!</v>
      </c>
    </row>
    <row r="86" spans="1:28" s="7" customFormat="1" ht="15" customHeight="1" x14ac:dyDescent="0.2">
      <c r="A86" s="16">
        <v>46082</v>
      </c>
      <c r="B86" s="59"/>
      <c r="C86" s="4" t="s">
        <v>54</v>
      </c>
      <c r="D86" s="4"/>
      <c r="E86" s="4"/>
      <c r="F86" s="4"/>
      <c r="G86" s="4"/>
      <c r="H86" s="5"/>
      <c r="I86" s="43"/>
      <c r="J86" s="12" t="s">
        <v>164</v>
      </c>
      <c r="K86" s="12"/>
      <c r="L86" s="15"/>
      <c r="M86" s="12">
        <v>331.12</v>
      </c>
      <c r="N86" s="8">
        <f>IF(ISNUMBER(SEARCH("-",ItmPur2025[[#This Row],[PriceAdj'#]])),-1*_xlfn.NUMBERVALUE(SUBSTITUTE(ItmPur2025[[#This Row],[PriceAdj'#]],"-","")),_xlfn.NUMBERVALUE(ItmPur2025[[#This Row],[PriceAdj'#]]))</f>
        <v>331.12</v>
      </c>
      <c r="O86" s="9">
        <f>IFERROR(ItmPur2025[[#This Row],[PriceFinal'#]]/ItmPur2025[[#This Row],[Qty]]*LOOKUP(ItmPur2025[[#This Row],[Qty_units]],#REF!,#REF!),0)</f>
        <v>0</v>
      </c>
      <c r="P86" s="7" t="s">
        <v>21</v>
      </c>
      <c r="Q86" s="7" t="s">
        <v>23</v>
      </c>
      <c r="S86" s="4" t="s">
        <v>77</v>
      </c>
      <c r="T86" s="11"/>
      <c r="U86" s="4">
        <f>IF(ItmPur2025[[#This Row],[OverrideMo]],ItmPur2025[[#This Row],[OverrideMo]]+ItmPur2025[[#This Row],[AdditMonths]],MONTH(ItmPur2025[[#This Row],[Date]])+ItmPur2025[[#This Row],[AdditMonths]])</f>
        <v>3</v>
      </c>
      <c r="V86" s="10" t="str">
        <f>IFERROR(IF(FIND("tax",LOWER(ItmPur2025[[#This Row],[Item]])),"TAX",""),"")</f>
        <v/>
      </c>
      <c r="W86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331.12</v>
      </c>
      <c r="X86" s="8">
        <f>IF(ItmPur2025[[#This Row],[AdditMonths]]&gt;0,ItmPur2025[[#This Row],[PriceFinal'#]]/(ItmPur2025[[#This Row],[AdditMonths]]+1),ItmPur2025[[#This Row],[PriceFinal'#]])</f>
        <v>331.12</v>
      </c>
      <c r="Y86" s="11"/>
      <c r="Z86" s="4">
        <f>IF(ISBLANK(ItmPur2025[[#This Row],[OverrideMo]]), MONTH(ItmPur2025[[#This Row],[Date]]), ItmPur2025[[#This Row],[OverrideMo]])</f>
        <v>3</v>
      </c>
      <c r="AA86" s="7" t="str">
        <f>_xlfn.CONCAT(ItmPur2025[[#This Row],[Cat]],ItmPur2025[[#This Row],[SubCat]])</f>
        <v>UtilitiesHOA</v>
      </c>
      <c r="AB86" s="7" t="e">
        <f>MATCH(ItmPur2025[[#This Row],[ValidationCat'#]],#REF!,0)</f>
        <v>#REF!</v>
      </c>
    </row>
    <row r="87" spans="1:28" s="7" customFormat="1" ht="15" customHeight="1" x14ac:dyDescent="0.2">
      <c r="A87" s="16">
        <v>46113</v>
      </c>
      <c r="B87" s="59"/>
      <c r="C87" s="4" t="s">
        <v>54</v>
      </c>
      <c r="D87" s="4"/>
      <c r="E87" s="4"/>
      <c r="F87" s="4"/>
      <c r="G87" s="4"/>
      <c r="H87" s="5"/>
      <c r="I87" s="43"/>
      <c r="J87" s="12" t="s">
        <v>165</v>
      </c>
      <c r="K87" s="12"/>
      <c r="L87" s="15"/>
      <c r="M87" s="12">
        <v>331.12</v>
      </c>
      <c r="N87" s="8">
        <f>IF(ISNUMBER(SEARCH("-",ItmPur2025[[#This Row],[PriceAdj'#]])),-1*_xlfn.NUMBERVALUE(SUBSTITUTE(ItmPur2025[[#This Row],[PriceAdj'#]],"-","")),_xlfn.NUMBERVALUE(ItmPur2025[[#This Row],[PriceAdj'#]]))</f>
        <v>331.12</v>
      </c>
      <c r="O87" s="9">
        <f>IFERROR(ItmPur2025[[#This Row],[PriceFinal'#]]/ItmPur2025[[#This Row],[Qty]]*LOOKUP(ItmPur2025[[#This Row],[Qty_units]],#REF!,#REF!),0)</f>
        <v>0</v>
      </c>
      <c r="P87" s="7" t="s">
        <v>21</v>
      </c>
      <c r="Q87" s="7" t="s">
        <v>23</v>
      </c>
      <c r="S87" s="4" t="s">
        <v>77</v>
      </c>
      <c r="T87" s="11"/>
      <c r="U87" s="4">
        <f>IF(ItmPur2025[[#This Row],[OverrideMo]],ItmPur2025[[#This Row],[OverrideMo]]+ItmPur2025[[#This Row],[AdditMonths]],MONTH(ItmPur2025[[#This Row],[Date]])+ItmPur2025[[#This Row],[AdditMonths]])</f>
        <v>4</v>
      </c>
      <c r="V87" s="10" t="str">
        <f>IFERROR(IF(FIND("tax",LOWER(ItmPur2025[[#This Row],[Item]])),"TAX",""),"")</f>
        <v/>
      </c>
      <c r="W87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331.12</v>
      </c>
      <c r="X87" s="8">
        <f>IF(ItmPur2025[[#This Row],[AdditMonths]]&gt;0,ItmPur2025[[#This Row],[PriceFinal'#]]/(ItmPur2025[[#This Row],[AdditMonths]]+1),ItmPur2025[[#This Row],[PriceFinal'#]])</f>
        <v>331.12</v>
      </c>
      <c r="Y87" s="11"/>
      <c r="Z87" s="4">
        <f>IF(ISBLANK(ItmPur2025[[#This Row],[OverrideMo]]), MONTH(ItmPur2025[[#This Row],[Date]]), ItmPur2025[[#This Row],[OverrideMo]])</f>
        <v>4</v>
      </c>
      <c r="AA87" s="7" t="str">
        <f>_xlfn.CONCAT(ItmPur2025[[#This Row],[Cat]],ItmPur2025[[#This Row],[SubCat]])</f>
        <v>UtilitiesHOA</v>
      </c>
      <c r="AB87" s="7" t="e">
        <f>MATCH(ItmPur2025[[#This Row],[ValidationCat'#]],#REF!,0)</f>
        <v>#REF!</v>
      </c>
    </row>
    <row r="88" spans="1:28" s="7" customFormat="1" ht="15" customHeight="1" x14ac:dyDescent="0.2">
      <c r="A88" s="16">
        <v>46143</v>
      </c>
      <c r="B88" s="59"/>
      <c r="C88" s="4" t="s">
        <v>54</v>
      </c>
      <c r="D88" s="4"/>
      <c r="E88" s="4"/>
      <c r="F88" s="4"/>
      <c r="G88" s="4"/>
      <c r="H88" s="5"/>
      <c r="I88" s="43"/>
      <c r="J88" s="12" t="s">
        <v>166</v>
      </c>
      <c r="K88" s="12"/>
      <c r="L88" s="15"/>
      <c r="M88" s="12">
        <v>350</v>
      </c>
      <c r="N88" s="8">
        <f>IF(ISNUMBER(SEARCH("-",ItmPur2025[[#This Row],[PriceAdj'#]])),-1*_xlfn.NUMBERVALUE(SUBSTITUTE(ItmPur2025[[#This Row],[PriceAdj'#]],"-","")),_xlfn.NUMBERVALUE(ItmPur2025[[#This Row],[PriceAdj'#]]))</f>
        <v>350</v>
      </c>
      <c r="O88" s="9">
        <f>IFERROR(ItmPur2025[[#This Row],[PriceFinal'#]]/ItmPur2025[[#This Row],[Qty]]*LOOKUP(ItmPur2025[[#This Row],[Qty_units]],#REF!,#REF!),0)</f>
        <v>0</v>
      </c>
      <c r="P88" s="7" t="s">
        <v>21</v>
      </c>
      <c r="Q88" s="7" t="s">
        <v>23</v>
      </c>
      <c r="S88" s="4" t="s">
        <v>77</v>
      </c>
      <c r="T88" s="11"/>
      <c r="U88" s="4">
        <f>IF(ItmPur2025[[#This Row],[OverrideMo]],ItmPur2025[[#This Row],[OverrideMo]]+ItmPur2025[[#This Row],[AdditMonths]],MONTH(ItmPur2025[[#This Row],[Date]])+ItmPur2025[[#This Row],[AdditMonths]])</f>
        <v>5</v>
      </c>
      <c r="V88" s="10" t="str">
        <f>IFERROR(IF(FIND("tax",LOWER(ItmPur2025[[#This Row],[Item]])),"TAX",""),"")</f>
        <v/>
      </c>
      <c r="W88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350</v>
      </c>
      <c r="X88" s="8">
        <f>IF(ItmPur2025[[#This Row],[AdditMonths]]&gt;0,ItmPur2025[[#This Row],[PriceFinal'#]]/(ItmPur2025[[#This Row],[AdditMonths]]+1),ItmPur2025[[#This Row],[PriceFinal'#]])</f>
        <v>350</v>
      </c>
      <c r="Y88" s="11"/>
      <c r="Z88" s="4">
        <f>IF(ISBLANK(ItmPur2025[[#This Row],[OverrideMo]]), MONTH(ItmPur2025[[#This Row],[Date]]), ItmPur2025[[#This Row],[OverrideMo]])</f>
        <v>5</v>
      </c>
      <c r="AA88" s="7" t="str">
        <f>_xlfn.CONCAT(ItmPur2025[[#This Row],[Cat]],ItmPur2025[[#This Row],[SubCat]])</f>
        <v>UtilitiesHOA</v>
      </c>
      <c r="AB88" s="7" t="e">
        <f>MATCH(ItmPur2025[[#This Row],[ValidationCat'#]],#REF!,0)</f>
        <v>#REF!</v>
      </c>
    </row>
    <row r="89" spans="1:28" s="7" customFormat="1" ht="15" customHeight="1" x14ac:dyDescent="0.2">
      <c r="A89" s="16">
        <v>46174</v>
      </c>
      <c r="B89" s="59"/>
      <c r="C89" s="4" t="s">
        <v>54</v>
      </c>
      <c r="D89" s="4"/>
      <c r="E89" s="4"/>
      <c r="F89" s="4"/>
      <c r="G89" s="4"/>
      <c r="H89" s="5"/>
      <c r="I89" s="43"/>
      <c r="J89" s="12" t="s">
        <v>167</v>
      </c>
      <c r="K89" s="12"/>
      <c r="L89" s="15"/>
      <c r="M89" s="12">
        <v>350</v>
      </c>
      <c r="N89" s="8">
        <f>IF(ISNUMBER(SEARCH("-",ItmPur2025[[#This Row],[PriceAdj'#]])),-1*_xlfn.NUMBERVALUE(SUBSTITUTE(ItmPur2025[[#This Row],[PriceAdj'#]],"-","")),_xlfn.NUMBERVALUE(ItmPur2025[[#This Row],[PriceAdj'#]]))</f>
        <v>350</v>
      </c>
      <c r="O89" s="9">
        <f>IFERROR(ItmPur2025[[#This Row],[PriceFinal'#]]/ItmPur2025[[#This Row],[Qty]]*LOOKUP(ItmPur2025[[#This Row],[Qty_units]],#REF!,#REF!),0)</f>
        <v>0</v>
      </c>
      <c r="P89" s="7" t="s">
        <v>21</v>
      </c>
      <c r="Q89" s="7" t="s">
        <v>23</v>
      </c>
      <c r="S89" s="4" t="s">
        <v>77</v>
      </c>
      <c r="T89" s="11"/>
      <c r="U89" s="4">
        <f>IF(ItmPur2025[[#This Row],[OverrideMo]],ItmPur2025[[#This Row],[OverrideMo]]+ItmPur2025[[#This Row],[AdditMonths]],MONTH(ItmPur2025[[#This Row],[Date]])+ItmPur2025[[#This Row],[AdditMonths]])</f>
        <v>6</v>
      </c>
      <c r="V89" s="10" t="str">
        <f>IFERROR(IF(FIND("tax",LOWER(ItmPur2025[[#This Row],[Item]])),"TAX",""),"")</f>
        <v/>
      </c>
      <c r="W89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350</v>
      </c>
      <c r="X89" s="8">
        <f>IF(ItmPur2025[[#This Row],[AdditMonths]]&gt;0,ItmPur2025[[#This Row],[PriceFinal'#]]/(ItmPur2025[[#This Row],[AdditMonths]]+1),ItmPur2025[[#This Row],[PriceFinal'#]])</f>
        <v>350</v>
      </c>
      <c r="Y89" s="11"/>
      <c r="Z89" s="4">
        <f>IF(ISBLANK(ItmPur2025[[#This Row],[OverrideMo]]), MONTH(ItmPur2025[[#This Row],[Date]]), ItmPur2025[[#This Row],[OverrideMo]])</f>
        <v>6</v>
      </c>
      <c r="AA89" s="7" t="str">
        <f>_xlfn.CONCAT(ItmPur2025[[#This Row],[Cat]],ItmPur2025[[#This Row],[SubCat]])</f>
        <v>UtilitiesHOA</v>
      </c>
      <c r="AB89" s="7" t="e">
        <f>MATCH(ItmPur2025[[#This Row],[ValidationCat'#]],#REF!,0)</f>
        <v>#REF!</v>
      </c>
    </row>
    <row r="90" spans="1:28" s="7" customFormat="1" ht="15" customHeight="1" x14ac:dyDescent="0.2">
      <c r="A90" s="16">
        <v>46204</v>
      </c>
      <c r="B90" s="59"/>
      <c r="C90" s="4" t="s">
        <v>54</v>
      </c>
      <c r="D90" s="4"/>
      <c r="E90" s="4"/>
      <c r="F90" s="4"/>
      <c r="G90" s="4"/>
      <c r="H90" s="5"/>
      <c r="I90" s="43"/>
      <c r="J90" s="12" t="s">
        <v>168</v>
      </c>
      <c r="K90" s="12"/>
      <c r="L90" s="15"/>
      <c r="M90" s="12">
        <v>350</v>
      </c>
      <c r="N90" s="8">
        <f>IF(ISNUMBER(SEARCH("-",ItmPur2025[[#This Row],[PriceAdj'#]])),-1*_xlfn.NUMBERVALUE(SUBSTITUTE(ItmPur2025[[#This Row],[PriceAdj'#]],"-","")),_xlfn.NUMBERVALUE(ItmPur2025[[#This Row],[PriceAdj'#]]))</f>
        <v>350</v>
      </c>
      <c r="O90" s="9">
        <f>IFERROR(ItmPur2025[[#This Row],[PriceFinal'#]]/ItmPur2025[[#This Row],[Qty]]*LOOKUP(ItmPur2025[[#This Row],[Qty_units]],#REF!,#REF!),0)</f>
        <v>0</v>
      </c>
      <c r="P90" s="7" t="s">
        <v>21</v>
      </c>
      <c r="Q90" s="7" t="s">
        <v>23</v>
      </c>
      <c r="S90" s="4" t="s">
        <v>77</v>
      </c>
      <c r="T90" s="11"/>
      <c r="U90" s="4">
        <f>IF(ItmPur2025[[#This Row],[OverrideMo]],ItmPur2025[[#This Row],[OverrideMo]]+ItmPur2025[[#This Row],[AdditMonths]],MONTH(ItmPur2025[[#This Row],[Date]])+ItmPur2025[[#This Row],[AdditMonths]])</f>
        <v>7</v>
      </c>
      <c r="V90" s="10" t="str">
        <f>IFERROR(IF(FIND("tax",LOWER(ItmPur2025[[#This Row],[Item]])),"TAX",""),"")</f>
        <v/>
      </c>
      <c r="W90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350</v>
      </c>
      <c r="X90" s="8">
        <f>IF(ItmPur2025[[#This Row],[AdditMonths]]&gt;0,ItmPur2025[[#This Row],[PriceFinal'#]]/(ItmPur2025[[#This Row],[AdditMonths]]+1),ItmPur2025[[#This Row],[PriceFinal'#]])</f>
        <v>350</v>
      </c>
      <c r="Y90" s="11"/>
      <c r="Z90" s="4">
        <f>IF(ISBLANK(ItmPur2025[[#This Row],[OverrideMo]]), MONTH(ItmPur2025[[#This Row],[Date]]), ItmPur2025[[#This Row],[OverrideMo]])</f>
        <v>7</v>
      </c>
      <c r="AA90" s="7" t="str">
        <f>_xlfn.CONCAT(ItmPur2025[[#This Row],[Cat]],ItmPur2025[[#This Row],[SubCat]])</f>
        <v>UtilitiesHOA</v>
      </c>
      <c r="AB90" s="7" t="e">
        <f>MATCH(ItmPur2025[[#This Row],[ValidationCat'#]],#REF!,0)</f>
        <v>#REF!</v>
      </c>
    </row>
    <row r="91" spans="1:28" s="7" customFormat="1" ht="15" customHeight="1" x14ac:dyDescent="0.2">
      <c r="A91" s="16">
        <v>46235</v>
      </c>
      <c r="B91" s="59"/>
      <c r="C91" s="4" t="s">
        <v>54</v>
      </c>
      <c r="D91" s="4"/>
      <c r="E91" s="4"/>
      <c r="F91" s="4"/>
      <c r="G91" s="4"/>
      <c r="H91" s="5"/>
      <c r="I91" s="43"/>
      <c r="J91" s="12" t="s">
        <v>169</v>
      </c>
      <c r="K91" s="12"/>
      <c r="L91" s="15"/>
      <c r="M91" s="12">
        <v>350</v>
      </c>
      <c r="N91" s="8">
        <f>IF(ISNUMBER(SEARCH("-",ItmPur2025[[#This Row],[PriceAdj'#]])),-1*_xlfn.NUMBERVALUE(SUBSTITUTE(ItmPur2025[[#This Row],[PriceAdj'#]],"-","")),_xlfn.NUMBERVALUE(ItmPur2025[[#This Row],[PriceAdj'#]]))</f>
        <v>350</v>
      </c>
      <c r="O91" s="9">
        <f>IFERROR(ItmPur2025[[#This Row],[PriceFinal'#]]/ItmPur2025[[#This Row],[Qty]]*LOOKUP(ItmPur2025[[#This Row],[Qty_units]],#REF!,#REF!),0)</f>
        <v>0</v>
      </c>
      <c r="P91" s="7" t="s">
        <v>21</v>
      </c>
      <c r="Q91" s="7" t="s">
        <v>23</v>
      </c>
      <c r="S91" s="4" t="s">
        <v>77</v>
      </c>
      <c r="T91" s="11"/>
      <c r="U91" s="4">
        <f>IF(ItmPur2025[[#This Row],[OverrideMo]],ItmPur2025[[#This Row],[OverrideMo]]+ItmPur2025[[#This Row],[AdditMonths]],MONTH(ItmPur2025[[#This Row],[Date]])+ItmPur2025[[#This Row],[AdditMonths]])</f>
        <v>8</v>
      </c>
      <c r="V91" s="10" t="str">
        <f>IFERROR(IF(FIND("tax",LOWER(ItmPur2025[[#This Row],[Item]])),"TAX",""),"")</f>
        <v/>
      </c>
      <c r="W91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350</v>
      </c>
      <c r="X91" s="8">
        <f>IF(ItmPur2025[[#This Row],[AdditMonths]]&gt;0,ItmPur2025[[#This Row],[PriceFinal'#]]/(ItmPur2025[[#This Row],[AdditMonths]]+1),ItmPur2025[[#This Row],[PriceFinal'#]])</f>
        <v>350</v>
      </c>
      <c r="Y91" s="11"/>
      <c r="Z91" s="4">
        <f>IF(ISBLANK(ItmPur2025[[#This Row],[OverrideMo]]), MONTH(ItmPur2025[[#This Row],[Date]]), ItmPur2025[[#This Row],[OverrideMo]])</f>
        <v>8</v>
      </c>
      <c r="AA91" s="7" t="str">
        <f>_xlfn.CONCAT(ItmPur2025[[#This Row],[Cat]],ItmPur2025[[#This Row],[SubCat]])</f>
        <v>UtilitiesHOA</v>
      </c>
      <c r="AB91" s="7" t="e">
        <f>MATCH(ItmPur2025[[#This Row],[ValidationCat'#]],#REF!,0)</f>
        <v>#REF!</v>
      </c>
    </row>
    <row r="92" spans="1:28" s="7" customFormat="1" ht="15" customHeight="1" x14ac:dyDescent="0.2">
      <c r="A92" s="17">
        <v>46266</v>
      </c>
      <c r="B92" s="59"/>
      <c r="C92" s="4" t="s">
        <v>54</v>
      </c>
      <c r="D92" s="4"/>
      <c r="E92" s="4"/>
      <c r="F92" s="4"/>
      <c r="G92" s="4"/>
      <c r="H92" s="5"/>
      <c r="I92" s="43"/>
      <c r="J92" s="12" t="s">
        <v>108</v>
      </c>
      <c r="K92" s="12"/>
      <c r="L92" s="15"/>
      <c r="M92" s="12">
        <v>350</v>
      </c>
      <c r="N92" s="8">
        <f>IF(ISNUMBER(SEARCH("-",ItmPur2025[[#This Row],[PriceAdj'#]])),-1*_xlfn.NUMBERVALUE(SUBSTITUTE(ItmPur2025[[#This Row],[PriceAdj'#]],"-","")),_xlfn.NUMBERVALUE(ItmPur2025[[#This Row],[PriceAdj'#]]))</f>
        <v>350</v>
      </c>
      <c r="O92" s="9">
        <f>IFERROR(ItmPur2025[[#This Row],[PriceFinal'#]]/ItmPur2025[[#This Row],[Qty]]*LOOKUP(ItmPur2025[[#This Row],[Qty_units]],#REF!,#REF!),0)</f>
        <v>0</v>
      </c>
      <c r="P92" s="7" t="s">
        <v>21</v>
      </c>
      <c r="Q92" s="7" t="s">
        <v>23</v>
      </c>
      <c r="S92" s="4" t="s">
        <v>77</v>
      </c>
      <c r="T92" s="11"/>
      <c r="U92" s="4">
        <f>IF(ItmPur2025[[#This Row],[OverrideMo]],ItmPur2025[[#This Row],[OverrideMo]]+ItmPur2025[[#This Row],[AdditMonths]],MONTH(ItmPur2025[[#This Row],[Date]])+ItmPur2025[[#This Row],[AdditMonths]])</f>
        <v>9</v>
      </c>
      <c r="V92" s="10" t="str">
        <f>IFERROR(IF(FIND("tax",LOWER(ItmPur2025[[#This Row],[Item]])),"TAX",""),"")</f>
        <v/>
      </c>
      <c r="W92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350</v>
      </c>
      <c r="X92" s="8">
        <f>IF(ItmPur2025[[#This Row],[AdditMonths]]&gt;0,ItmPur2025[[#This Row],[PriceFinal'#]]/(ItmPur2025[[#This Row],[AdditMonths]]+1),ItmPur2025[[#This Row],[PriceFinal'#]])</f>
        <v>350</v>
      </c>
      <c r="Y92" s="11"/>
      <c r="Z92" s="4">
        <f>IF(ISBLANK(ItmPur2025[[#This Row],[OverrideMo]]), MONTH(ItmPur2025[[#This Row],[Date]]), ItmPur2025[[#This Row],[OverrideMo]])</f>
        <v>9</v>
      </c>
      <c r="AA92" s="7" t="str">
        <f>_xlfn.CONCAT(ItmPur2025[[#This Row],[Cat]],ItmPur2025[[#This Row],[SubCat]])</f>
        <v>UtilitiesHOA</v>
      </c>
      <c r="AB92" s="7" t="e">
        <f>MATCH(ItmPur2025[[#This Row],[ValidationCat'#]],#REF!,0)</f>
        <v>#REF!</v>
      </c>
    </row>
    <row r="93" spans="1:28" s="7" customFormat="1" ht="15" customHeight="1" x14ac:dyDescent="0.2">
      <c r="A93" s="17">
        <v>46296</v>
      </c>
      <c r="B93" s="59"/>
      <c r="C93" s="4" t="s">
        <v>54</v>
      </c>
      <c r="D93" s="4"/>
      <c r="E93" s="4"/>
      <c r="F93" s="4"/>
      <c r="G93" s="4"/>
      <c r="H93" s="5"/>
      <c r="I93" s="43"/>
      <c r="J93" s="12" t="s">
        <v>84</v>
      </c>
      <c r="K93" s="12"/>
      <c r="L93" s="15"/>
      <c r="M93" s="12">
        <v>350</v>
      </c>
      <c r="N93" s="8">
        <f>IF(ISNUMBER(SEARCH("-",ItmPur2025[[#This Row],[PriceAdj'#]])),-1*_xlfn.NUMBERVALUE(SUBSTITUTE(ItmPur2025[[#This Row],[PriceAdj'#]],"-","")),_xlfn.NUMBERVALUE(ItmPur2025[[#This Row],[PriceAdj'#]]))</f>
        <v>350</v>
      </c>
      <c r="O93" s="9">
        <f>IFERROR(ItmPur2025[[#This Row],[PriceFinal'#]]/ItmPur2025[[#This Row],[Qty]]*LOOKUP(ItmPur2025[[#This Row],[Qty_units]],#REF!,#REF!),0)</f>
        <v>0</v>
      </c>
      <c r="P93" s="7" t="s">
        <v>21</v>
      </c>
      <c r="Q93" s="7" t="s">
        <v>23</v>
      </c>
      <c r="S93" s="4" t="s">
        <v>77</v>
      </c>
      <c r="T93" s="11"/>
      <c r="U93" s="4">
        <f>IF(ItmPur2025[[#This Row],[OverrideMo]],ItmPur2025[[#This Row],[OverrideMo]]+ItmPur2025[[#This Row],[AdditMonths]],MONTH(ItmPur2025[[#This Row],[Date]])+ItmPur2025[[#This Row],[AdditMonths]])</f>
        <v>10</v>
      </c>
      <c r="V93" s="10" t="str">
        <f>IFERROR(IF(FIND("tax",LOWER(ItmPur2025[[#This Row],[Item]])),"TAX",""),"")</f>
        <v/>
      </c>
      <c r="W93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350</v>
      </c>
      <c r="X93" s="8">
        <f>IF(ItmPur2025[[#This Row],[AdditMonths]]&gt;0,ItmPur2025[[#This Row],[PriceFinal'#]]/(ItmPur2025[[#This Row],[AdditMonths]]+1),ItmPur2025[[#This Row],[PriceFinal'#]])</f>
        <v>350</v>
      </c>
      <c r="Y93" s="11"/>
      <c r="Z93" s="4">
        <f>IF(ISBLANK(ItmPur2025[[#This Row],[OverrideMo]]), MONTH(ItmPur2025[[#This Row],[Date]]), ItmPur2025[[#This Row],[OverrideMo]])</f>
        <v>10</v>
      </c>
      <c r="AA93" s="7" t="str">
        <f>_xlfn.CONCAT(ItmPur2025[[#This Row],[Cat]],ItmPur2025[[#This Row],[SubCat]])</f>
        <v>UtilitiesHOA</v>
      </c>
      <c r="AB93" s="7" t="e">
        <f>MATCH(ItmPur2025[[#This Row],[ValidationCat'#]],#REF!,0)</f>
        <v>#REF!</v>
      </c>
    </row>
    <row r="94" spans="1:28" s="7" customFormat="1" ht="15" customHeight="1" x14ac:dyDescent="0.2">
      <c r="A94" s="17">
        <v>46327</v>
      </c>
      <c r="B94" s="59"/>
      <c r="C94" s="4" t="s">
        <v>54</v>
      </c>
      <c r="D94" s="4"/>
      <c r="E94" s="4"/>
      <c r="F94" s="4"/>
      <c r="G94" s="4"/>
      <c r="H94" s="5"/>
      <c r="I94" s="43"/>
      <c r="J94" s="12" t="s">
        <v>80</v>
      </c>
      <c r="K94" s="12"/>
      <c r="L94" s="15"/>
      <c r="M94" s="12">
        <v>350</v>
      </c>
      <c r="N94" s="8">
        <f>IF(ISNUMBER(SEARCH("-",ItmPur2025[[#This Row],[PriceAdj'#]])),-1*_xlfn.NUMBERVALUE(SUBSTITUTE(ItmPur2025[[#This Row],[PriceAdj'#]],"-","")),_xlfn.NUMBERVALUE(ItmPur2025[[#This Row],[PriceAdj'#]]))</f>
        <v>350</v>
      </c>
      <c r="O94" s="9">
        <f>IFERROR(ItmPur2025[[#This Row],[PriceFinal'#]]/ItmPur2025[[#This Row],[Qty]]*LOOKUP(ItmPur2025[[#This Row],[Qty_units]],#REF!,#REF!),0)</f>
        <v>0</v>
      </c>
      <c r="P94" s="7" t="s">
        <v>21</v>
      </c>
      <c r="Q94" s="7" t="s">
        <v>23</v>
      </c>
      <c r="S94" s="4" t="s">
        <v>77</v>
      </c>
      <c r="T94" s="11"/>
      <c r="U94" s="4">
        <f>IF(ItmPur2025[[#This Row],[OverrideMo]],ItmPur2025[[#This Row],[OverrideMo]]+ItmPur2025[[#This Row],[AdditMonths]],MONTH(ItmPur2025[[#This Row],[Date]])+ItmPur2025[[#This Row],[AdditMonths]])</f>
        <v>11</v>
      </c>
      <c r="V94" s="10" t="str">
        <f>IFERROR(IF(FIND("tax",LOWER(ItmPur2025[[#This Row],[Item]])),"TAX",""),"")</f>
        <v/>
      </c>
      <c r="W94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350</v>
      </c>
      <c r="X94" s="8">
        <f>IF(ItmPur2025[[#This Row],[AdditMonths]]&gt;0,ItmPur2025[[#This Row],[PriceFinal'#]]/(ItmPur2025[[#This Row],[AdditMonths]]+1),ItmPur2025[[#This Row],[PriceFinal'#]])</f>
        <v>350</v>
      </c>
      <c r="Y94" s="11"/>
      <c r="Z94" s="4">
        <f>IF(ISBLANK(ItmPur2025[[#This Row],[OverrideMo]]), MONTH(ItmPur2025[[#This Row],[Date]]), ItmPur2025[[#This Row],[OverrideMo]])</f>
        <v>11</v>
      </c>
      <c r="AA94" s="7" t="str">
        <f>_xlfn.CONCAT(ItmPur2025[[#This Row],[Cat]],ItmPur2025[[#This Row],[SubCat]])</f>
        <v>UtilitiesHOA</v>
      </c>
      <c r="AB94" s="7" t="e">
        <f>MATCH(ItmPur2025[[#This Row],[ValidationCat'#]],#REF!,0)</f>
        <v>#REF!</v>
      </c>
    </row>
    <row r="95" spans="1:28" s="7" customFormat="1" ht="15" customHeight="1" x14ac:dyDescent="0.2">
      <c r="A95" s="17">
        <v>46357</v>
      </c>
      <c r="B95" s="59"/>
      <c r="C95" s="4" t="s">
        <v>54</v>
      </c>
      <c r="D95" s="4"/>
      <c r="E95" s="4"/>
      <c r="F95" s="4"/>
      <c r="G95" s="4"/>
      <c r="H95" s="5"/>
      <c r="I95" s="43"/>
      <c r="J95" s="12" t="s">
        <v>160</v>
      </c>
      <c r="K95" s="12"/>
      <c r="L95" s="15"/>
      <c r="M95" s="12">
        <v>350</v>
      </c>
      <c r="N95" s="8">
        <f>IF(ISNUMBER(SEARCH("-",ItmPur2025[[#This Row],[PriceAdj'#]])),-1*_xlfn.NUMBERVALUE(SUBSTITUTE(ItmPur2025[[#This Row],[PriceAdj'#]],"-","")),_xlfn.NUMBERVALUE(ItmPur2025[[#This Row],[PriceAdj'#]]))</f>
        <v>350</v>
      </c>
      <c r="O95" s="9">
        <f>IFERROR(ItmPur2025[[#This Row],[PriceFinal'#]]/ItmPur2025[[#This Row],[Qty]]*LOOKUP(ItmPur2025[[#This Row],[Qty_units]],#REF!,#REF!),0)</f>
        <v>0</v>
      </c>
      <c r="P95" s="7" t="s">
        <v>21</v>
      </c>
      <c r="Q95" s="7" t="s">
        <v>23</v>
      </c>
      <c r="S95" s="4" t="s">
        <v>77</v>
      </c>
      <c r="T95" s="11"/>
      <c r="U95" s="4">
        <f>IF(ItmPur2025[[#This Row],[OverrideMo]],ItmPur2025[[#This Row],[OverrideMo]]+ItmPur2025[[#This Row],[AdditMonths]],MONTH(ItmPur2025[[#This Row],[Date]])+ItmPur2025[[#This Row],[AdditMonths]])</f>
        <v>12</v>
      </c>
      <c r="V95" s="10" t="str">
        <f>IFERROR(IF(FIND("tax",LOWER(ItmPur2025[[#This Row],[Item]])),"TAX",""),"")</f>
        <v/>
      </c>
      <c r="W95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350</v>
      </c>
      <c r="X95" s="8">
        <f>IF(ItmPur2025[[#This Row],[AdditMonths]]&gt;0,ItmPur2025[[#This Row],[PriceFinal'#]]/(ItmPur2025[[#This Row],[AdditMonths]]+1),ItmPur2025[[#This Row],[PriceFinal'#]])</f>
        <v>350</v>
      </c>
      <c r="Y95" s="11"/>
      <c r="Z95" s="4">
        <f>IF(ISBLANK(ItmPur2025[[#This Row],[OverrideMo]]), MONTH(ItmPur2025[[#This Row],[Date]]), ItmPur2025[[#This Row],[OverrideMo]])</f>
        <v>12</v>
      </c>
      <c r="AA95" s="7" t="str">
        <f>_xlfn.CONCAT(ItmPur2025[[#This Row],[Cat]],ItmPur2025[[#This Row],[SubCat]])</f>
        <v>UtilitiesHOA</v>
      </c>
      <c r="AB95" s="7" t="e">
        <f>MATCH(ItmPur2025[[#This Row],[ValidationCat'#]],#REF!,0)</f>
        <v>#REF!</v>
      </c>
    </row>
    <row r="96" spans="1:28" s="7" customFormat="1" ht="15" customHeight="1" x14ac:dyDescent="0.2">
      <c r="A96" s="17">
        <v>46357</v>
      </c>
      <c r="B96" s="59"/>
      <c r="C96" s="4" t="s">
        <v>54</v>
      </c>
      <c r="D96" s="4"/>
      <c r="E96" s="4"/>
      <c r="F96" s="4"/>
      <c r="G96" s="4"/>
      <c r="H96" s="5"/>
      <c r="I96" s="43"/>
      <c r="J96" s="12" t="s">
        <v>162</v>
      </c>
      <c r="K96" s="12"/>
      <c r="L96" s="15"/>
      <c r="M96" s="12">
        <v>331.12</v>
      </c>
      <c r="N96" s="8">
        <f>IF(ISNUMBER(SEARCH("-",ItmPur2025[[#This Row],[PriceAdj'#]])),-1*_xlfn.NUMBERVALUE(SUBSTITUTE(ItmPur2025[[#This Row],[PriceAdj'#]],"-","")),_xlfn.NUMBERVALUE(ItmPur2025[[#This Row],[PriceAdj'#]]))</f>
        <v>331.12</v>
      </c>
      <c r="O96" s="9">
        <f>IFERROR(ItmPur2025[[#This Row],[PriceFinal'#]]/ItmPur2025[[#This Row],[Qty]]*LOOKUP(ItmPur2025[[#This Row],[Qty_units]],#REF!,#REF!),0)</f>
        <v>0</v>
      </c>
      <c r="P96" s="7" t="s">
        <v>21</v>
      </c>
      <c r="Q96" s="7" t="s">
        <v>23</v>
      </c>
      <c r="S96" s="4" t="s">
        <v>77</v>
      </c>
      <c r="T96" s="11"/>
      <c r="U96" s="4">
        <f>IF(ItmPur2025[[#This Row],[OverrideMo]],ItmPur2025[[#This Row],[OverrideMo]]+ItmPur2025[[#This Row],[AdditMonths]],MONTH(ItmPur2025[[#This Row],[Date]])+ItmPur2025[[#This Row],[AdditMonths]])</f>
        <v>12</v>
      </c>
      <c r="V96" s="10" t="str">
        <f>IFERROR(IF(FIND("tax",LOWER(ItmPur2025[[#This Row],[Item]])),"TAX",""),"")</f>
        <v/>
      </c>
      <c r="W96" s="4" t="str">
        <f>SUBSTITUTE(SUBSTITUTE(SUBSTITUTE(SUBSTITUTE(SUBSTITUTE(SUBSTITUTE(SUBSTITUTE(SUBSTITUTE(SUBSTITUTE(SUBSTITUTE(SUBSTITUTE(SUBSTITUTE(SUBSTITUTE(ItmPur2025[[#This Row],[PriceRaw]],"Y",""),"S",""),"R",""),"E",""),"D",""),"F",""),"T",""),"x",""),"B",""),"A",""),"N",""),"X",""),"O", "")</f>
        <v>331.12</v>
      </c>
      <c r="X96" s="8">
        <f>IF(ItmPur2025[[#This Row],[AdditMonths]]&gt;0,ItmPur2025[[#This Row],[PriceFinal'#]]/(ItmPur2025[[#This Row],[AdditMonths]]+1),ItmPur2025[[#This Row],[PriceFinal'#]])</f>
        <v>331.12</v>
      </c>
      <c r="Y96" s="11"/>
      <c r="Z96" s="4">
        <f>IF(ISBLANK(ItmPur2025[[#This Row],[OverrideMo]]), MONTH(ItmPur2025[[#This Row],[Date]]), ItmPur2025[[#This Row],[OverrideMo]])</f>
        <v>12</v>
      </c>
      <c r="AA96" s="7" t="str">
        <f>_xlfn.CONCAT(ItmPur2025[[#This Row],[Cat]],ItmPur2025[[#This Row],[SubCat]])</f>
        <v>UtilitiesHOA</v>
      </c>
      <c r="AB96" s="7" t="e">
        <f>MATCH(ItmPur2025[[#This Row],[ValidationCat'#]],#REF!,0)</f>
        <v>#REF!</v>
      </c>
    </row>
    <row r="97" spans="1:27" s="27" customFormat="1" ht="15" customHeight="1" x14ac:dyDescent="0.2">
      <c r="A97" s="37"/>
      <c r="B97" s="29"/>
      <c r="O97" s="38"/>
      <c r="P97" s="24"/>
      <c r="T97" s="39"/>
      <c r="U97" s="7"/>
      <c r="V97" s="13"/>
      <c r="W97" s="7"/>
      <c r="X97" s="7"/>
      <c r="Z97" s="7"/>
      <c r="AA97" s="7"/>
    </row>
    <row r="98" spans="1:27" s="27" customFormat="1" ht="15" customHeight="1" x14ac:dyDescent="0.2">
      <c r="A98" s="37"/>
      <c r="B98" s="29"/>
      <c r="O98" s="38"/>
      <c r="P98" s="24"/>
      <c r="T98" s="39"/>
      <c r="U98" s="7"/>
      <c r="V98" s="13"/>
      <c r="W98" s="7"/>
      <c r="X98" s="7"/>
      <c r="Z98" s="7"/>
      <c r="AA98" s="7"/>
    </row>
    <row r="99" spans="1:27" s="27" customFormat="1" ht="15" customHeight="1" x14ac:dyDescent="0.2">
      <c r="A99" s="37"/>
      <c r="B99" s="29"/>
      <c r="O99" s="38"/>
      <c r="P99" s="24"/>
      <c r="T99" s="39"/>
      <c r="U99" s="7"/>
      <c r="V99" s="13"/>
      <c r="W99" s="7"/>
      <c r="X99" s="7"/>
      <c r="Z99" s="7"/>
      <c r="AA99" s="7"/>
    </row>
    <row r="100" spans="1:27" s="27" customFormat="1" ht="15" customHeight="1" x14ac:dyDescent="0.2">
      <c r="A100" s="37"/>
      <c r="B100" s="29"/>
      <c r="O100" s="38"/>
      <c r="P100" s="24"/>
      <c r="T100" s="39"/>
      <c r="U100" s="7"/>
      <c r="V100" s="13"/>
      <c r="W100" s="7"/>
      <c r="X100" s="7"/>
      <c r="Z100" s="7"/>
      <c r="AA100" s="7"/>
    </row>
    <row r="101" spans="1:27" s="27" customFormat="1" ht="15" customHeight="1" x14ac:dyDescent="0.2">
      <c r="A101" s="37"/>
      <c r="B101" s="29"/>
      <c r="O101" s="38"/>
      <c r="P101" s="24"/>
      <c r="T101" s="39"/>
      <c r="U101" s="7"/>
      <c r="V101" s="13"/>
      <c r="W101" s="7"/>
      <c r="X101" s="7"/>
      <c r="Z101" s="7"/>
      <c r="AA101" s="7"/>
    </row>
    <row r="102" spans="1:27" s="27" customFormat="1" ht="15" customHeight="1" x14ac:dyDescent="0.2">
      <c r="A102" s="37"/>
      <c r="B102" s="29"/>
      <c r="O102" s="38"/>
      <c r="P102" s="24"/>
      <c r="T102" s="39"/>
      <c r="U102" s="7"/>
      <c r="V102" s="13"/>
      <c r="W102" s="7"/>
      <c r="X102" s="7"/>
      <c r="Z102" s="7"/>
      <c r="AA102" s="7"/>
    </row>
    <row r="103" spans="1:27" s="27" customFormat="1" ht="15" customHeight="1" x14ac:dyDescent="0.2">
      <c r="A103" s="37"/>
      <c r="B103" s="29"/>
      <c r="O103" s="38"/>
      <c r="P103" s="24"/>
      <c r="T103" s="39"/>
      <c r="U103" s="7"/>
      <c r="V103" s="13"/>
      <c r="W103" s="7"/>
      <c r="X103" s="7"/>
      <c r="Z103" s="7"/>
      <c r="AA103" s="7"/>
    </row>
    <row r="104" spans="1:27" s="27" customFormat="1" ht="15" customHeight="1" x14ac:dyDescent="0.2">
      <c r="A104" s="37"/>
      <c r="B104" s="29"/>
      <c r="O104" s="38"/>
      <c r="P104" s="24"/>
      <c r="T104" s="39"/>
      <c r="U104" s="7"/>
      <c r="V104" s="13"/>
      <c r="W104" s="7"/>
      <c r="X104" s="7"/>
      <c r="Z104" s="7"/>
      <c r="AA104" s="7"/>
    </row>
    <row r="105" spans="1:27" s="27" customFormat="1" ht="15" customHeight="1" x14ac:dyDescent="0.2">
      <c r="A105" s="37"/>
      <c r="B105" s="29"/>
      <c r="O105" s="38"/>
      <c r="P105" s="24"/>
      <c r="T105" s="39"/>
      <c r="U105" s="7"/>
      <c r="V105" s="13"/>
      <c r="W105" s="7"/>
      <c r="X105" s="7"/>
      <c r="Z105" s="7"/>
      <c r="AA105" s="7"/>
    </row>
    <row r="106" spans="1:27" s="27" customFormat="1" ht="15" customHeight="1" x14ac:dyDescent="0.2">
      <c r="A106" s="37"/>
      <c r="B106" s="29"/>
      <c r="O106" s="38"/>
      <c r="P106" s="24"/>
      <c r="T106" s="39"/>
      <c r="U106" s="7"/>
      <c r="V106" s="13"/>
      <c r="W106" s="7"/>
      <c r="X106" s="7"/>
      <c r="Z106" s="7"/>
      <c r="AA106" s="7"/>
    </row>
    <row r="107" spans="1:27" s="27" customFormat="1" ht="15" customHeight="1" x14ac:dyDescent="0.2">
      <c r="A107" s="37"/>
      <c r="B107" s="29"/>
      <c r="O107" s="38"/>
      <c r="P107" s="24"/>
      <c r="T107" s="39"/>
      <c r="U107" s="7"/>
      <c r="V107" s="13"/>
      <c r="W107" s="7"/>
      <c r="X107" s="7"/>
      <c r="Z107" s="7"/>
      <c r="AA107" s="7"/>
    </row>
    <row r="108" spans="1:27" s="27" customFormat="1" ht="15" customHeight="1" x14ac:dyDescent="0.2">
      <c r="A108" s="37"/>
      <c r="B108" s="29"/>
      <c r="O108" s="38"/>
      <c r="P108" s="24"/>
      <c r="T108" s="39"/>
      <c r="U108" s="7"/>
      <c r="V108" s="13"/>
      <c r="W108" s="7"/>
      <c r="X108" s="7"/>
      <c r="Z108" s="7"/>
      <c r="AA108" s="7"/>
    </row>
    <row r="109" spans="1:27" s="27" customFormat="1" ht="15" customHeight="1" x14ac:dyDescent="0.2">
      <c r="A109" s="37"/>
      <c r="B109" s="29"/>
      <c r="O109" s="38"/>
      <c r="P109" s="24"/>
      <c r="T109" s="39"/>
      <c r="U109" s="7"/>
      <c r="V109" s="13"/>
      <c r="W109" s="7"/>
      <c r="X109" s="7"/>
      <c r="Z109" s="7"/>
      <c r="AA109" s="7"/>
    </row>
    <row r="110" spans="1:27" s="27" customFormat="1" ht="15" customHeight="1" x14ac:dyDescent="0.2">
      <c r="A110" s="37"/>
      <c r="B110" s="29"/>
      <c r="O110" s="38"/>
      <c r="P110" s="24"/>
      <c r="T110" s="39"/>
      <c r="U110" s="7"/>
      <c r="V110" s="13"/>
      <c r="W110" s="7"/>
      <c r="X110" s="7"/>
      <c r="Z110" s="7"/>
      <c r="AA110" s="7"/>
    </row>
    <row r="111" spans="1:27" s="27" customFormat="1" ht="15" customHeight="1" x14ac:dyDescent="0.2">
      <c r="A111" s="37"/>
      <c r="B111" s="29"/>
      <c r="O111" s="38"/>
      <c r="P111" s="24"/>
      <c r="T111" s="39"/>
      <c r="U111" s="7"/>
      <c r="V111" s="13"/>
      <c r="W111" s="7"/>
      <c r="X111" s="7"/>
      <c r="Z111" s="7"/>
      <c r="AA111" s="7"/>
    </row>
    <row r="112" spans="1:27" s="27" customFormat="1" ht="15" customHeight="1" x14ac:dyDescent="0.2">
      <c r="A112" s="37"/>
      <c r="B112" s="29"/>
      <c r="O112" s="38"/>
      <c r="P112" s="24"/>
      <c r="T112" s="39"/>
      <c r="U112" s="7"/>
      <c r="V112" s="13"/>
      <c r="W112" s="7"/>
      <c r="X112" s="7"/>
      <c r="Z112" s="7"/>
      <c r="AA112" s="7"/>
    </row>
    <row r="113" spans="1:27" s="27" customFormat="1" ht="15" customHeight="1" x14ac:dyDescent="0.2">
      <c r="A113" s="37"/>
      <c r="B113" s="29"/>
      <c r="O113" s="38"/>
      <c r="P113" s="24"/>
      <c r="T113" s="39"/>
      <c r="U113" s="7"/>
      <c r="V113" s="13"/>
      <c r="W113" s="7"/>
      <c r="X113" s="7"/>
      <c r="Z113" s="7"/>
      <c r="AA113" s="7"/>
    </row>
    <row r="114" spans="1:27" s="27" customFormat="1" ht="15" customHeight="1" x14ac:dyDescent="0.2">
      <c r="A114" s="37"/>
      <c r="B114" s="29"/>
      <c r="O114" s="38"/>
      <c r="P114" s="24"/>
      <c r="T114" s="39"/>
      <c r="U114" s="7"/>
      <c r="V114" s="13"/>
      <c r="W114" s="7"/>
      <c r="X114" s="7"/>
      <c r="Z114" s="7"/>
      <c r="AA114" s="7"/>
    </row>
    <row r="115" spans="1:27" s="27" customFormat="1" ht="15" customHeight="1" x14ac:dyDescent="0.2">
      <c r="A115" s="37"/>
      <c r="B115" s="29"/>
      <c r="O115" s="38"/>
      <c r="P115" s="24"/>
      <c r="T115" s="39"/>
      <c r="U115" s="7"/>
      <c r="V115" s="13"/>
      <c r="W115" s="7"/>
      <c r="X115" s="7"/>
      <c r="Z115" s="7"/>
      <c r="AA115" s="7"/>
    </row>
    <row r="116" spans="1:27" s="27" customFormat="1" ht="15" customHeight="1" x14ac:dyDescent="0.2">
      <c r="A116" s="37"/>
      <c r="B116" s="29"/>
      <c r="O116" s="38"/>
      <c r="P116" s="24"/>
      <c r="T116" s="39"/>
      <c r="U116" s="7"/>
      <c r="V116" s="13"/>
      <c r="W116" s="7"/>
      <c r="X116" s="7"/>
      <c r="Z116" s="7"/>
      <c r="AA116" s="7"/>
    </row>
    <row r="117" spans="1:27" s="27" customFormat="1" ht="15" customHeight="1" x14ac:dyDescent="0.2">
      <c r="A117" s="37"/>
      <c r="B117" s="29"/>
      <c r="O117" s="38"/>
      <c r="P117" s="24"/>
      <c r="T117" s="39"/>
      <c r="U117" s="7"/>
      <c r="V117" s="13"/>
      <c r="W117" s="7"/>
      <c r="X117" s="7"/>
      <c r="Z117" s="7"/>
      <c r="AA117" s="7"/>
    </row>
    <row r="118" spans="1:27" s="27" customFormat="1" ht="15" customHeight="1" x14ac:dyDescent="0.2">
      <c r="A118" s="37"/>
      <c r="B118" s="29"/>
      <c r="O118" s="38"/>
      <c r="P118" s="24"/>
      <c r="T118" s="39"/>
      <c r="U118" s="7"/>
      <c r="V118" s="13"/>
      <c r="W118" s="7"/>
      <c r="X118" s="7"/>
      <c r="Z118" s="7"/>
      <c r="AA118" s="7"/>
    </row>
    <row r="119" spans="1:27" s="27" customFormat="1" ht="15" customHeight="1" x14ac:dyDescent="0.2">
      <c r="A119" s="37"/>
      <c r="B119" s="29"/>
      <c r="O119" s="38"/>
      <c r="P119" s="24"/>
      <c r="T119" s="39"/>
      <c r="U119" s="7"/>
      <c r="V119" s="13"/>
      <c r="W119" s="7"/>
      <c r="X119" s="7"/>
      <c r="Z119" s="7"/>
      <c r="AA119" s="7"/>
    </row>
    <row r="120" spans="1:27" s="27" customFormat="1" ht="15" customHeight="1" x14ac:dyDescent="0.2">
      <c r="A120" s="37"/>
      <c r="B120" s="29"/>
      <c r="O120" s="38"/>
      <c r="P120" s="24"/>
      <c r="T120" s="39"/>
      <c r="U120" s="7"/>
      <c r="V120" s="13"/>
      <c r="W120" s="7"/>
      <c r="X120" s="7"/>
      <c r="Z120" s="7"/>
      <c r="AA120" s="7"/>
    </row>
    <row r="121" spans="1:27" s="27" customFormat="1" ht="15" customHeight="1" x14ac:dyDescent="0.2">
      <c r="A121" s="37"/>
      <c r="B121" s="29"/>
      <c r="O121" s="38"/>
      <c r="P121" s="24"/>
      <c r="T121" s="39"/>
      <c r="U121" s="7"/>
      <c r="V121" s="13"/>
      <c r="W121" s="7"/>
      <c r="X121" s="7"/>
      <c r="Z121" s="7"/>
      <c r="AA121" s="7"/>
    </row>
    <row r="122" spans="1:27" s="27" customFormat="1" ht="15" customHeight="1" x14ac:dyDescent="0.2">
      <c r="A122" s="37"/>
      <c r="B122" s="29"/>
      <c r="O122" s="38"/>
      <c r="P122" s="24"/>
      <c r="T122" s="39"/>
      <c r="U122" s="7"/>
      <c r="V122" s="13"/>
      <c r="W122" s="7"/>
      <c r="X122" s="7"/>
      <c r="Z122" s="7"/>
      <c r="AA122" s="7"/>
    </row>
    <row r="123" spans="1:27" s="27" customFormat="1" ht="15" customHeight="1" x14ac:dyDescent="0.2">
      <c r="A123" s="37"/>
      <c r="B123" s="29"/>
      <c r="O123" s="38"/>
      <c r="P123" s="24"/>
      <c r="T123" s="39"/>
      <c r="U123" s="7"/>
      <c r="V123" s="13"/>
      <c r="W123" s="7"/>
      <c r="X123" s="7"/>
      <c r="Z123" s="7"/>
      <c r="AA123" s="7"/>
    </row>
    <row r="124" spans="1:27" s="27" customFormat="1" ht="15" customHeight="1" x14ac:dyDescent="0.2">
      <c r="A124" s="37"/>
      <c r="B124" s="29"/>
      <c r="O124" s="38"/>
      <c r="P124" s="24"/>
      <c r="T124" s="39"/>
      <c r="U124" s="7"/>
      <c r="V124" s="13"/>
      <c r="W124" s="7"/>
      <c r="X124" s="7"/>
      <c r="Z124" s="7"/>
      <c r="AA124" s="7"/>
    </row>
    <row r="125" spans="1:27" s="27" customFormat="1" ht="15" customHeight="1" x14ac:dyDescent="0.2">
      <c r="A125" s="37"/>
      <c r="B125" s="29"/>
      <c r="O125" s="38"/>
      <c r="P125" s="24"/>
      <c r="T125" s="39"/>
      <c r="U125" s="7"/>
      <c r="V125" s="13"/>
      <c r="W125" s="7"/>
      <c r="X125" s="7"/>
      <c r="Z125" s="7"/>
      <c r="AA125" s="7"/>
    </row>
    <row r="126" spans="1:27" s="27" customFormat="1" ht="15" customHeight="1" x14ac:dyDescent="0.2">
      <c r="A126" s="37"/>
      <c r="B126" s="29"/>
      <c r="O126" s="38"/>
      <c r="P126" s="24"/>
      <c r="T126" s="39"/>
      <c r="U126" s="7"/>
      <c r="V126" s="13"/>
      <c r="W126" s="7"/>
      <c r="X126" s="7"/>
      <c r="Z126" s="7"/>
      <c r="AA126" s="7"/>
    </row>
    <row r="127" spans="1:27" s="27" customFormat="1" ht="15" customHeight="1" x14ac:dyDescent="0.2">
      <c r="A127" s="37"/>
      <c r="B127" s="29"/>
      <c r="O127" s="38"/>
      <c r="P127" s="24"/>
      <c r="T127" s="39"/>
      <c r="U127" s="7"/>
      <c r="V127" s="13"/>
      <c r="W127" s="7"/>
      <c r="X127" s="7"/>
      <c r="Z127" s="7"/>
      <c r="AA127" s="7"/>
    </row>
    <row r="128" spans="1:27" s="27" customFormat="1" ht="15" customHeight="1" x14ac:dyDescent="0.2">
      <c r="A128" s="37"/>
      <c r="B128" s="29"/>
      <c r="O128" s="38"/>
      <c r="P128" s="24"/>
      <c r="T128" s="39"/>
      <c r="U128" s="7"/>
      <c r="V128" s="13"/>
      <c r="W128" s="7"/>
      <c r="X128" s="7"/>
      <c r="Z128" s="7"/>
      <c r="AA128" s="7"/>
    </row>
    <row r="129" spans="1:27" s="27" customFormat="1" ht="15" customHeight="1" x14ac:dyDescent="0.2">
      <c r="A129" s="37"/>
      <c r="B129" s="29"/>
      <c r="O129" s="38"/>
      <c r="P129" s="24"/>
      <c r="T129" s="39"/>
      <c r="U129" s="7"/>
      <c r="V129" s="13"/>
      <c r="W129" s="7"/>
      <c r="X129" s="7"/>
      <c r="Z129" s="7"/>
      <c r="AA129" s="7"/>
    </row>
    <row r="130" spans="1:27" s="27" customFormat="1" ht="15" customHeight="1" x14ac:dyDescent="0.2">
      <c r="A130" s="37"/>
      <c r="B130" s="29"/>
      <c r="O130" s="38"/>
      <c r="P130" s="24"/>
      <c r="T130" s="39"/>
      <c r="U130" s="7"/>
      <c r="V130" s="13"/>
      <c r="W130" s="7"/>
      <c r="X130" s="7"/>
      <c r="Z130" s="7"/>
      <c r="AA130" s="7"/>
    </row>
    <row r="131" spans="1:27" s="27" customFormat="1" ht="15" customHeight="1" x14ac:dyDescent="0.2">
      <c r="A131" s="37"/>
      <c r="B131" s="29"/>
      <c r="O131" s="38"/>
      <c r="P131" s="24"/>
      <c r="T131" s="39"/>
      <c r="U131" s="7"/>
      <c r="V131" s="13"/>
      <c r="W131" s="7"/>
      <c r="X131" s="7"/>
      <c r="Z131" s="7"/>
      <c r="AA131" s="7"/>
    </row>
    <row r="132" spans="1:27" s="27" customFormat="1" ht="15" customHeight="1" x14ac:dyDescent="0.2">
      <c r="A132" s="37"/>
      <c r="B132" s="29"/>
      <c r="O132" s="38"/>
      <c r="P132" s="24"/>
      <c r="T132" s="39"/>
      <c r="U132" s="7"/>
      <c r="V132" s="13"/>
      <c r="W132" s="7"/>
      <c r="X132" s="7"/>
      <c r="Z132" s="7"/>
      <c r="AA132" s="7"/>
    </row>
    <row r="133" spans="1:27" s="27" customFormat="1" ht="15" customHeight="1" x14ac:dyDescent="0.2">
      <c r="A133" s="37"/>
      <c r="B133" s="29"/>
      <c r="O133" s="38"/>
      <c r="P133" s="24"/>
      <c r="T133" s="39"/>
      <c r="U133" s="7"/>
      <c r="V133" s="13"/>
      <c r="W133" s="7"/>
      <c r="X133" s="7"/>
      <c r="Z133" s="7"/>
      <c r="AA133" s="7"/>
    </row>
    <row r="134" spans="1:27" s="27" customFormat="1" ht="15" customHeight="1" x14ac:dyDescent="0.2">
      <c r="A134" s="37"/>
      <c r="B134" s="29"/>
      <c r="O134" s="38"/>
      <c r="P134" s="24"/>
      <c r="T134" s="39"/>
      <c r="U134" s="7"/>
      <c r="V134" s="13"/>
      <c r="W134" s="7"/>
      <c r="X134" s="7"/>
      <c r="Z134" s="7"/>
      <c r="AA134" s="7"/>
    </row>
    <row r="135" spans="1:27" s="27" customFormat="1" ht="15" customHeight="1" x14ac:dyDescent="0.2">
      <c r="A135" s="37"/>
      <c r="B135" s="29"/>
      <c r="O135" s="38"/>
      <c r="P135" s="24"/>
      <c r="T135" s="39"/>
      <c r="U135" s="7"/>
      <c r="V135" s="13"/>
      <c r="W135" s="7"/>
      <c r="X135" s="7"/>
      <c r="Z135" s="7"/>
      <c r="AA135" s="7"/>
    </row>
    <row r="136" spans="1:27" s="27" customFormat="1" ht="15" customHeight="1" x14ac:dyDescent="0.2">
      <c r="A136" s="37"/>
      <c r="B136" s="29"/>
      <c r="O136" s="38"/>
      <c r="P136" s="24"/>
      <c r="T136" s="39"/>
      <c r="U136" s="7"/>
      <c r="V136" s="13"/>
      <c r="W136" s="7"/>
      <c r="X136" s="7"/>
      <c r="Z136" s="7"/>
      <c r="AA136" s="7"/>
    </row>
    <row r="137" spans="1:27" s="27" customFormat="1" ht="15" customHeight="1" x14ac:dyDescent="0.2">
      <c r="A137" s="37"/>
      <c r="B137" s="29"/>
      <c r="O137" s="38"/>
      <c r="P137" s="24"/>
      <c r="T137" s="39"/>
      <c r="U137" s="7"/>
      <c r="V137" s="13"/>
      <c r="W137" s="7"/>
      <c r="X137" s="7"/>
      <c r="Z137" s="7"/>
      <c r="AA137" s="7"/>
    </row>
    <row r="138" spans="1:27" s="27" customFormat="1" ht="15" customHeight="1" x14ac:dyDescent="0.2">
      <c r="A138" s="37"/>
      <c r="B138" s="29"/>
      <c r="O138" s="38"/>
      <c r="P138" s="24"/>
      <c r="T138" s="39"/>
      <c r="U138" s="7"/>
      <c r="V138" s="13"/>
      <c r="W138" s="7"/>
      <c r="X138" s="7"/>
      <c r="Z138" s="7"/>
      <c r="AA138" s="7"/>
    </row>
    <row r="139" spans="1:27" s="27" customFormat="1" ht="15" customHeight="1" x14ac:dyDescent="0.2">
      <c r="A139" s="37"/>
      <c r="B139" s="29"/>
      <c r="O139" s="38"/>
      <c r="P139" s="24"/>
      <c r="T139" s="39"/>
      <c r="U139" s="7"/>
      <c r="V139" s="13"/>
      <c r="W139" s="7"/>
      <c r="X139" s="7"/>
      <c r="Z139" s="7"/>
      <c r="AA139" s="7"/>
    </row>
    <row r="140" spans="1:27" s="27" customFormat="1" ht="15" customHeight="1" x14ac:dyDescent="0.2">
      <c r="A140" s="37"/>
      <c r="B140" s="29"/>
      <c r="O140" s="38"/>
      <c r="P140" s="24"/>
      <c r="T140" s="39"/>
      <c r="U140" s="7"/>
      <c r="V140" s="13"/>
      <c r="W140" s="7"/>
      <c r="X140" s="7"/>
      <c r="Z140" s="7"/>
      <c r="AA140" s="7"/>
    </row>
    <row r="141" spans="1:27" s="27" customFormat="1" ht="15" customHeight="1" x14ac:dyDescent="0.2">
      <c r="A141" s="37"/>
      <c r="B141" s="29"/>
      <c r="O141" s="38"/>
      <c r="P141" s="24"/>
      <c r="T141" s="39"/>
      <c r="U141" s="7"/>
      <c r="V141" s="13"/>
      <c r="W141" s="7"/>
      <c r="X141" s="7"/>
      <c r="Z141" s="7"/>
      <c r="AA141" s="7"/>
    </row>
    <row r="142" spans="1:27" s="27" customFormat="1" ht="15" customHeight="1" x14ac:dyDescent="0.2">
      <c r="A142" s="37"/>
      <c r="B142" s="29"/>
      <c r="O142" s="38"/>
      <c r="P142" s="24"/>
      <c r="T142" s="39"/>
      <c r="U142" s="7"/>
      <c r="V142" s="13"/>
      <c r="W142" s="7"/>
      <c r="X142" s="7"/>
      <c r="Z142" s="7"/>
      <c r="AA142" s="7"/>
    </row>
    <row r="143" spans="1:27" s="27" customFormat="1" ht="15" customHeight="1" x14ac:dyDescent="0.2">
      <c r="A143" s="37"/>
      <c r="B143" s="29"/>
      <c r="O143" s="38"/>
      <c r="P143" s="24"/>
      <c r="T143" s="39"/>
      <c r="U143" s="7"/>
      <c r="V143" s="13"/>
      <c r="W143" s="7"/>
      <c r="X143" s="7"/>
      <c r="Z143" s="7"/>
      <c r="AA143" s="7"/>
    </row>
    <row r="144" spans="1:27" s="27" customFormat="1" ht="15" customHeight="1" x14ac:dyDescent="0.2">
      <c r="A144" s="37"/>
      <c r="B144" s="29"/>
      <c r="O144" s="38"/>
      <c r="P144" s="24"/>
      <c r="T144" s="39"/>
      <c r="U144" s="7"/>
      <c r="V144" s="13"/>
      <c r="W144" s="7"/>
      <c r="X144" s="7"/>
      <c r="Z144" s="7"/>
      <c r="AA144" s="7"/>
    </row>
    <row r="145" spans="1:27" s="27" customFormat="1" ht="15" customHeight="1" x14ac:dyDescent="0.2">
      <c r="A145" s="37"/>
      <c r="B145" s="29"/>
      <c r="O145" s="38"/>
      <c r="P145" s="24"/>
      <c r="T145" s="39"/>
      <c r="U145" s="7"/>
      <c r="V145" s="13"/>
      <c r="W145" s="7"/>
      <c r="X145" s="7"/>
      <c r="Z145" s="7"/>
      <c r="AA145" s="7"/>
    </row>
    <row r="146" spans="1:27" s="27" customFormat="1" ht="15" customHeight="1" x14ac:dyDescent="0.2">
      <c r="A146" s="37"/>
      <c r="B146" s="29"/>
      <c r="O146" s="38"/>
      <c r="P146" s="24"/>
      <c r="T146" s="39"/>
      <c r="U146" s="7"/>
      <c r="V146" s="13"/>
      <c r="W146" s="7"/>
      <c r="X146" s="7"/>
      <c r="Z146" s="7"/>
      <c r="AA146" s="7"/>
    </row>
    <row r="147" spans="1:27" s="27" customFormat="1" ht="15" customHeight="1" x14ac:dyDescent="0.2">
      <c r="A147" s="37"/>
      <c r="B147" s="29"/>
      <c r="O147" s="38"/>
      <c r="P147" s="24"/>
      <c r="T147" s="39"/>
      <c r="U147" s="7"/>
      <c r="V147" s="13"/>
      <c r="W147" s="7"/>
      <c r="X147" s="7"/>
      <c r="Z147" s="7"/>
      <c r="AA147" s="7"/>
    </row>
    <row r="148" spans="1:27" s="27" customFormat="1" ht="15" customHeight="1" x14ac:dyDescent="0.2">
      <c r="A148" s="37"/>
      <c r="B148" s="29"/>
      <c r="O148" s="38"/>
      <c r="P148" s="24"/>
      <c r="T148" s="39"/>
      <c r="U148" s="7"/>
      <c r="V148" s="13"/>
      <c r="W148" s="7"/>
      <c r="X148" s="7"/>
      <c r="Z148" s="7"/>
      <c r="AA148" s="7"/>
    </row>
    <row r="149" spans="1:27" s="27" customFormat="1" ht="15" customHeight="1" x14ac:dyDescent="0.2">
      <c r="A149" s="37"/>
      <c r="B149" s="29"/>
      <c r="O149" s="38"/>
      <c r="P149" s="24"/>
      <c r="T149" s="39"/>
      <c r="U149" s="7"/>
      <c r="V149" s="13"/>
      <c r="W149" s="7"/>
      <c r="X149" s="7"/>
      <c r="Z149" s="7"/>
      <c r="AA149" s="7"/>
    </row>
    <row r="150" spans="1:27" s="27" customFormat="1" ht="15" customHeight="1" x14ac:dyDescent="0.2">
      <c r="A150" s="37"/>
      <c r="B150" s="29"/>
      <c r="O150" s="38"/>
      <c r="P150" s="24"/>
      <c r="T150" s="39"/>
      <c r="U150" s="7"/>
      <c r="V150" s="13"/>
      <c r="W150" s="7"/>
      <c r="X150" s="7"/>
      <c r="Z150" s="7"/>
      <c r="AA150" s="7"/>
    </row>
    <row r="151" spans="1:27" s="27" customFormat="1" ht="15" customHeight="1" x14ac:dyDescent="0.2">
      <c r="A151" s="37"/>
      <c r="B151" s="29"/>
      <c r="O151" s="38"/>
      <c r="P151" s="24"/>
      <c r="T151" s="39"/>
      <c r="U151" s="7"/>
      <c r="V151" s="13"/>
      <c r="W151" s="7"/>
      <c r="X151" s="7"/>
      <c r="Z151" s="7"/>
      <c r="AA151" s="7"/>
    </row>
    <row r="152" spans="1:27" s="27" customFormat="1" ht="15" customHeight="1" x14ac:dyDescent="0.2">
      <c r="A152" s="37"/>
      <c r="B152" s="29"/>
      <c r="O152" s="38"/>
      <c r="P152" s="24"/>
      <c r="T152" s="39"/>
      <c r="U152" s="7"/>
      <c r="V152" s="13"/>
      <c r="W152" s="7"/>
      <c r="X152" s="7"/>
      <c r="Z152" s="7"/>
      <c r="AA152" s="7"/>
    </row>
    <row r="153" spans="1:27" s="27" customFormat="1" ht="15" customHeight="1" x14ac:dyDescent="0.2">
      <c r="A153" s="37"/>
      <c r="B153" s="29"/>
      <c r="O153" s="38"/>
      <c r="P153" s="24"/>
      <c r="T153" s="39"/>
      <c r="U153" s="7"/>
      <c r="V153" s="13"/>
      <c r="W153" s="7"/>
      <c r="X153" s="7"/>
      <c r="Z153" s="7"/>
      <c r="AA153" s="7"/>
    </row>
    <row r="154" spans="1:27" s="27" customFormat="1" ht="15" customHeight="1" x14ac:dyDescent="0.2">
      <c r="A154" s="37"/>
      <c r="B154" s="29"/>
      <c r="O154" s="38"/>
      <c r="P154" s="24"/>
      <c r="T154" s="39"/>
      <c r="U154" s="7"/>
      <c r="V154" s="13"/>
      <c r="W154" s="7"/>
      <c r="X154" s="7"/>
      <c r="Z154" s="7"/>
      <c r="AA154" s="7"/>
    </row>
    <row r="155" spans="1:27" s="27" customFormat="1" ht="15" customHeight="1" x14ac:dyDescent="0.2">
      <c r="A155" s="37"/>
      <c r="B155" s="29"/>
      <c r="O155" s="38"/>
      <c r="P155" s="24"/>
      <c r="T155" s="39"/>
      <c r="U155" s="7"/>
      <c r="V155" s="13"/>
      <c r="W155" s="7"/>
      <c r="X155" s="7"/>
      <c r="Z155" s="7"/>
      <c r="AA155" s="7"/>
    </row>
    <row r="156" spans="1:27" s="27" customFormat="1" ht="15" customHeight="1" x14ac:dyDescent="0.2">
      <c r="A156" s="37"/>
      <c r="B156" s="29"/>
      <c r="O156" s="38"/>
      <c r="P156" s="24"/>
      <c r="T156" s="39"/>
      <c r="U156" s="7"/>
      <c r="V156" s="13"/>
      <c r="W156" s="7"/>
      <c r="X156" s="7"/>
      <c r="Z156" s="7"/>
      <c r="AA156" s="7"/>
    </row>
    <row r="157" spans="1:27" s="27" customFormat="1" ht="15" customHeight="1" x14ac:dyDescent="0.2">
      <c r="A157" s="37"/>
      <c r="B157" s="29"/>
      <c r="O157" s="38"/>
      <c r="P157" s="24"/>
      <c r="T157" s="39"/>
      <c r="U157" s="7"/>
      <c r="V157" s="13"/>
      <c r="W157" s="7"/>
      <c r="X157" s="7"/>
      <c r="Z157" s="7"/>
      <c r="AA157" s="7"/>
    </row>
    <row r="158" spans="1:27" s="27" customFormat="1" ht="15" customHeight="1" x14ac:dyDescent="0.2">
      <c r="A158" s="37"/>
      <c r="B158" s="29"/>
      <c r="O158" s="38"/>
      <c r="P158" s="24"/>
      <c r="T158" s="39"/>
      <c r="U158" s="7"/>
      <c r="V158" s="13"/>
      <c r="W158" s="7"/>
      <c r="X158" s="7"/>
      <c r="Z158" s="7"/>
      <c r="AA158" s="7"/>
    </row>
    <row r="159" spans="1:27" s="27" customFormat="1" ht="15" customHeight="1" x14ac:dyDescent="0.2">
      <c r="A159" s="37"/>
      <c r="B159" s="29"/>
      <c r="O159" s="38"/>
      <c r="P159" s="24"/>
      <c r="T159" s="39"/>
      <c r="U159" s="7"/>
      <c r="V159" s="13"/>
      <c r="W159" s="7"/>
      <c r="X159" s="7"/>
      <c r="Z159" s="7"/>
      <c r="AA159" s="7"/>
    </row>
    <row r="160" spans="1:27" s="27" customFormat="1" ht="15" customHeight="1" x14ac:dyDescent="0.2">
      <c r="A160" s="37"/>
      <c r="B160" s="29"/>
      <c r="O160" s="38"/>
      <c r="P160" s="24"/>
      <c r="T160" s="39"/>
      <c r="U160" s="7"/>
      <c r="V160" s="13"/>
      <c r="W160" s="7"/>
      <c r="X160" s="7"/>
      <c r="Z160" s="7"/>
      <c r="AA160" s="7"/>
    </row>
    <row r="161" spans="1:27" s="27" customFormat="1" ht="15" customHeight="1" x14ac:dyDescent="0.2">
      <c r="A161" s="37"/>
      <c r="B161" s="29"/>
      <c r="O161" s="38"/>
      <c r="P161" s="24"/>
      <c r="T161" s="39"/>
      <c r="U161" s="7"/>
      <c r="V161" s="13"/>
      <c r="W161" s="7"/>
      <c r="X161" s="7"/>
      <c r="Z161" s="7"/>
      <c r="AA161" s="7"/>
    </row>
    <row r="162" spans="1:27" s="27" customFormat="1" ht="15" customHeight="1" x14ac:dyDescent="0.2">
      <c r="A162" s="37"/>
      <c r="B162" s="29"/>
      <c r="O162" s="38"/>
      <c r="P162" s="24"/>
      <c r="T162" s="39"/>
      <c r="U162" s="7"/>
      <c r="V162" s="13"/>
      <c r="W162" s="7"/>
      <c r="X162" s="7"/>
      <c r="Z162" s="7"/>
      <c r="AA162" s="7"/>
    </row>
    <row r="163" spans="1:27" s="27" customFormat="1" ht="15" customHeight="1" x14ac:dyDescent="0.2">
      <c r="A163" s="37"/>
      <c r="B163" s="29"/>
      <c r="O163" s="38"/>
      <c r="P163" s="24"/>
      <c r="T163" s="39"/>
      <c r="U163" s="7"/>
      <c r="V163" s="13"/>
      <c r="W163" s="7"/>
      <c r="X163" s="7"/>
      <c r="Z163" s="7"/>
      <c r="AA163" s="7"/>
    </row>
    <row r="164" spans="1:27" s="27" customFormat="1" ht="15" customHeight="1" x14ac:dyDescent="0.2">
      <c r="A164" s="37"/>
      <c r="B164" s="29"/>
      <c r="O164" s="38"/>
      <c r="P164" s="24"/>
      <c r="T164" s="39"/>
      <c r="U164" s="7"/>
      <c r="V164" s="13"/>
      <c r="W164" s="7"/>
      <c r="X164" s="7"/>
      <c r="Z164" s="7"/>
      <c r="AA164" s="7"/>
    </row>
    <row r="165" spans="1:27" s="27" customFormat="1" ht="15" customHeight="1" x14ac:dyDescent="0.2">
      <c r="A165" s="37"/>
      <c r="B165" s="29"/>
      <c r="O165" s="38"/>
      <c r="P165" s="24"/>
      <c r="T165" s="39"/>
      <c r="U165" s="7"/>
      <c r="V165" s="13"/>
      <c r="W165" s="7"/>
      <c r="X165" s="7"/>
      <c r="Z165" s="7"/>
      <c r="AA165" s="7"/>
    </row>
    <row r="166" spans="1:27" s="27" customFormat="1" ht="15" customHeight="1" x14ac:dyDescent="0.2">
      <c r="A166" s="37"/>
      <c r="B166" s="29"/>
      <c r="O166" s="38"/>
      <c r="P166" s="24"/>
      <c r="T166" s="39"/>
      <c r="U166" s="7"/>
      <c r="V166" s="13"/>
      <c r="W166" s="7"/>
      <c r="X166" s="7"/>
      <c r="Z166" s="7"/>
      <c r="AA166" s="7"/>
    </row>
    <row r="167" spans="1:27" s="27" customFormat="1" ht="15" customHeight="1" x14ac:dyDescent="0.2">
      <c r="A167" s="37"/>
      <c r="B167" s="29"/>
      <c r="O167" s="38"/>
      <c r="P167" s="24"/>
      <c r="T167" s="39"/>
      <c r="U167" s="7"/>
      <c r="V167" s="13"/>
      <c r="W167" s="7"/>
      <c r="X167" s="7"/>
      <c r="Z167" s="7"/>
      <c r="AA167" s="7"/>
    </row>
    <row r="168" spans="1:27" s="27" customFormat="1" ht="15" customHeight="1" x14ac:dyDescent="0.2">
      <c r="A168" s="37"/>
      <c r="B168" s="29"/>
      <c r="O168" s="38"/>
      <c r="P168" s="24"/>
      <c r="T168" s="39"/>
      <c r="U168" s="7"/>
      <c r="V168" s="13"/>
      <c r="W168" s="7"/>
      <c r="X168" s="7"/>
      <c r="Z168" s="7"/>
      <c r="AA168" s="7"/>
    </row>
    <row r="169" spans="1:27" s="27" customFormat="1" ht="15" customHeight="1" x14ac:dyDescent="0.2">
      <c r="A169" s="37"/>
      <c r="B169" s="29"/>
      <c r="O169" s="38"/>
      <c r="P169" s="24"/>
      <c r="T169" s="39"/>
      <c r="U169" s="7"/>
      <c r="V169" s="13"/>
      <c r="W169" s="7"/>
      <c r="X169" s="7"/>
      <c r="Z169" s="7"/>
      <c r="AA169" s="7"/>
    </row>
    <row r="170" spans="1:27" s="27" customFormat="1" ht="15" customHeight="1" x14ac:dyDescent="0.2">
      <c r="A170" s="37"/>
      <c r="B170" s="29"/>
      <c r="O170" s="38"/>
      <c r="P170" s="24"/>
      <c r="T170" s="39"/>
      <c r="U170" s="7"/>
      <c r="V170" s="13"/>
      <c r="W170" s="7"/>
      <c r="X170" s="7"/>
      <c r="Z170" s="7"/>
      <c r="AA170" s="7"/>
    </row>
    <row r="171" spans="1:27" s="27" customFormat="1" ht="15" customHeight="1" x14ac:dyDescent="0.2">
      <c r="A171" s="37"/>
      <c r="B171" s="29"/>
      <c r="O171" s="38"/>
      <c r="P171" s="24"/>
      <c r="T171" s="39"/>
      <c r="U171" s="7"/>
      <c r="V171" s="13"/>
      <c r="W171" s="7"/>
      <c r="X171" s="7"/>
      <c r="Z171" s="7"/>
      <c r="AA171" s="7"/>
    </row>
    <row r="172" spans="1:27" s="27" customFormat="1" ht="15" customHeight="1" x14ac:dyDescent="0.2">
      <c r="A172" s="37"/>
      <c r="B172" s="29"/>
      <c r="O172" s="38"/>
      <c r="P172" s="24"/>
      <c r="T172" s="39"/>
      <c r="U172" s="7"/>
      <c r="V172" s="13"/>
      <c r="W172" s="7"/>
      <c r="X172" s="7"/>
      <c r="Z172" s="7"/>
      <c r="AA172" s="7"/>
    </row>
    <row r="173" spans="1:27" s="27" customFormat="1" ht="15" customHeight="1" x14ac:dyDescent="0.2">
      <c r="A173" s="37"/>
      <c r="B173" s="29"/>
      <c r="O173" s="38"/>
      <c r="P173" s="24"/>
      <c r="T173" s="39"/>
      <c r="U173" s="7"/>
      <c r="V173" s="13"/>
      <c r="W173" s="7"/>
      <c r="X173" s="7"/>
      <c r="Z173" s="7"/>
      <c r="AA173" s="7"/>
    </row>
    <row r="174" spans="1:27" s="27" customFormat="1" ht="15" customHeight="1" x14ac:dyDescent="0.2">
      <c r="A174" s="37"/>
      <c r="B174" s="29"/>
      <c r="O174" s="38"/>
      <c r="P174" s="24"/>
      <c r="T174" s="39"/>
      <c r="U174" s="7"/>
      <c r="V174" s="13"/>
      <c r="W174" s="7"/>
      <c r="X174" s="7"/>
      <c r="Z174" s="7"/>
      <c r="AA174" s="7"/>
    </row>
    <row r="175" spans="1:27" s="27" customFormat="1" ht="15" customHeight="1" x14ac:dyDescent="0.2">
      <c r="A175" s="37"/>
      <c r="B175" s="29"/>
      <c r="O175" s="38"/>
      <c r="P175" s="24"/>
      <c r="T175" s="39"/>
      <c r="U175" s="7"/>
      <c r="V175" s="13"/>
      <c r="W175" s="7"/>
      <c r="X175" s="7"/>
      <c r="Z175" s="7"/>
      <c r="AA175" s="7"/>
    </row>
    <row r="176" spans="1:27" s="27" customFormat="1" ht="15" customHeight="1" x14ac:dyDescent="0.2">
      <c r="A176" s="37"/>
      <c r="B176" s="29"/>
      <c r="O176" s="38"/>
      <c r="P176" s="24"/>
      <c r="T176" s="39"/>
      <c r="U176" s="7"/>
      <c r="V176" s="13"/>
      <c r="W176" s="7"/>
      <c r="X176" s="7"/>
      <c r="Z176" s="7"/>
      <c r="AA176" s="7"/>
    </row>
    <row r="177" spans="1:27" s="27" customFormat="1" ht="15" customHeight="1" x14ac:dyDescent="0.2">
      <c r="A177" s="37"/>
      <c r="B177" s="29"/>
      <c r="O177" s="38"/>
      <c r="P177" s="24"/>
      <c r="T177" s="39"/>
      <c r="U177" s="7"/>
      <c r="V177" s="13"/>
      <c r="W177" s="7"/>
      <c r="X177" s="7"/>
      <c r="Z177" s="7"/>
      <c r="AA177" s="7"/>
    </row>
    <row r="178" spans="1:27" s="27" customFormat="1" ht="15" customHeight="1" x14ac:dyDescent="0.2">
      <c r="A178" s="37"/>
      <c r="B178" s="29"/>
      <c r="O178" s="38"/>
      <c r="P178" s="24"/>
      <c r="T178" s="39"/>
      <c r="U178" s="7"/>
      <c r="V178" s="13"/>
      <c r="W178" s="7"/>
      <c r="X178" s="7"/>
      <c r="Z178" s="7"/>
      <c r="AA178" s="7"/>
    </row>
    <row r="179" spans="1:27" s="27" customFormat="1" ht="15" customHeight="1" x14ac:dyDescent="0.2">
      <c r="A179" s="37"/>
      <c r="B179" s="29"/>
      <c r="O179" s="38"/>
      <c r="P179" s="24"/>
      <c r="T179" s="39"/>
      <c r="U179" s="7"/>
      <c r="V179" s="13"/>
      <c r="W179" s="7"/>
      <c r="X179" s="7"/>
      <c r="Z179" s="7"/>
      <c r="AA179" s="7"/>
    </row>
    <row r="180" spans="1:27" s="27" customFormat="1" ht="15" customHeight="1" x14ac:dyDescent="0.2">
      <c r="A180" s="37"/>
      <c r="B180" s="29"/>
      <c r="O180" s="38"/>
      <c r="P180" s="24"/>
      <c r="T180" s="39"/>
      <c r="U180" s="7"/>
      <c r="V180" s="13"/>
      <c r="W180" s="7"/>
      <c r="X180" s="7"/>
      <c r="Z180" s="7"/>
      <c r="AA180" s="7"/>
    </row>
    <row r="181" spans="1:27" s="27" customFormat="1" ht="15" customHeight="1" x14ac:dyDescent="0.2">
      <c r="A181" s="37"/>
      <c r="B181" s="29"/>
      <c r="O181" s="38"/>
      <c r="P181" s="24"/>
      <c r="T181" s="39"/>
      <c r="U181" s="7"/>
      <c r="V181" s="13"/>
      <c r="W181" s="7"/>
      <c r="X181" s="7"/>
      <c r="Z181" s="7"/>
      <c r="AA181" s="7"/>
    </row>
    <row r="182" spans="1:27" s="27" customFormat="1" ht="15" customHeight="1" x14ac:dyDescent="0.2">
      <c r="A182" s="37"/>
      <c r="B182" s="29"/>
      <c r="O182" s="38"/>
      <c r="P182" s="24"/>
      <c r="T182" s="39"/>
      <c r="U182" s="7"/>
      <c r="V182" s="13"/>
      <c r="W182" s="7"/>
      <c r="X182" s="7"/>
      <c r="Z182" s="7"/>
      <c r="AA182" s="7"/>
    </row>
    <row r="183" spans="1:27" s="27" customFormat="1" ht="15" customHeight="1" x14ac:dyDescent="0.2">
      <c r="A183" s="37"/>
      <c r="B183" s="29"/>
      <c r="O183" s="38"/>
      <c r="P183" s="24"/>
      <c r="T183" s="39"/>
      <c r="U183" s="7"/>
      <c r="V183" s="13"/>
      <c r="W183" s="7"/>
      <c r="X183" s="7"/>
      <c r="Z183" s="7"/>
      <c r="AA183" s="7"/>
    </row>
    <row r="184" spans="1:27" s="27" customFormat="1" ht="15" customHeight="1" x14ac:dyDescent="0.2">
      <c r="A184" s="37"/>
      <c r="B184" s="29"/>
      <c r="O184" s="38"/>
      <c r="P184" s="24"/>
      <c r="T184" s="39"/>
      <c r="U184" s="7"/>
      <c r="V184" s="13"/>
      <c r="W184" s="7"/>
      <c r="X184" s="7"/>
      <c r="Z184" s="7"/>
      <c r="AA184" s="7"/>
    </row>
    <row r="185" spans="1:27" s="27" customFormat="1" ht="15" customHeight="1" x14ac:dyDescent="0.2">
      <c r="A185" s="37"/>
      <c r="B185" s="29"/>
      <c r="O185" s="38"/>
      <c r="P185" s="24"/>
      <c r="T185" s="39"/>
      <c r="U185" s="7"/>
      <c r="V185" s="13"/>
      <c r="W185" s="7"/>
      <c r="X185" s="7"/>
      <c r="Z185" s="7"/>
      <c r="AA185" s="7"/>
    </row>
    <row r="186" spans="1:27" s="27" customFormat="1" ht="15" customHeight="1" x14ac:dyDescent="0.2">
      <c r="A186" s="37"/>
      <c r="B186" s="29"/>
      <c r="O186" s="38"/>
      <c r="P186" s="24"/>
      <c r="T186" s="39"/>
      <c r="U186" s="7"/>
      <c r="V186" s="13"/>
      <c r="W186" s="7"/>
      <c r="X186" s="7"/>
      <c r="Z186" s="7"/>
      <c r="AA186" s="7"/>
    </row>
    <row r="187" spans="1:27" s="27" customFormat="1" ht="15" customHeight="1" x14ac:dyDescent="0.2">
      <c r="A187" s="37"/>
      <c r="B187" s="29"/>
      <c r="O187" s="38"/>
      <c r="P187" s="24"/>
      <c r="T187" s="39"/>
      <c r="U187" s="7"/>
      <c r="V187" s="13"/>
      <c r="W187" s="7"/>
      <c r="X187" s="7"/>
      <c r="Z187" s="7"/>
      <c r="AA187" s="7"/>
    </row>
    <row r="188" spans="1:27" s="27" customFormat="1" ht="15" customHeight="1" x14ac:dyDescent="0.2">
      <c r="A188" s="37"/>
      <c r="B188" s="29"/>
      <c r="O188" s="38"/>
      <c r="P188" s="24"/>
      <c r="T188" s="39"/>
      <c r="U188" s="7"/>
      <c r="V188" s="13"/>
      <c r="W188" s="7"/>
      <c r="X188" s="7"/>
      <c r="Z188" s="7"/>
      <c r="AA188" s="7"/>
    </row>
    <row r="189" spans="1:27" s="27" customFormat="1" ht="15" customHeight="1" x14ac:dyDescent="0.2">
      <c r="A189" s="37"/>
      <c r="B189" s="29"/>
      <c r="O189" s="38"/>
      <c r="P189" s="24"/>
      <c r="T189" s="39"/>
      <c r="U189" s="7"/>
      <c r="V189" s="13"/>
      <c r="W189" s="7"/>
      <c r="X189" s="7"/>
      <c r="Z189" s="7"/>
      <c r="AA189" s="7"/>
    </row>
    <row r="190" spans="1:27" s="27" customFormat="1" ht="15" customHeight="1" x14ac:dyDescent="0.2">
      <c r="A190" s="37"/>
      <c r="B190" s="29"/>
      <c r="O190" s="38"/>
      <c r="P190" s="24"/>
      <c r="T190" s="39"/>
      <c r="U190" s="7"/>
      <c r="V190" s="13"/>
      <c r="W190" s="7"/>
      <c r="X190" s="7"/>
      <c r="Z190" s="7"/>
      <c r="AA190" s="7"/>
    </row>
    <row r="191" spans="1:27" s="27" customFormat="1" ht="15" customHeight="1" x14ac:dyDescent="0.2">
      <c r="A191" s="37"/>
      <c r="B191" s="29"/>
      <c r="O191" s="38"/>
      <c r="P191" s="24"/>
      <c r="T191" s="39"/>
      <c r="U191" s="7"/>
      <c r="V191" s="13"/>
      <c r="W191" s="7"/>
      <c r="X191" s="7"/>
      <c r="Z191" s="7"/>
      <c r="AA191" s="7"/>
    </row>
    <row r="192" spans="1:27" s="27" customFormat="1" ht="15" customHeight="1" x14ac:dyDescent="0.2">
      <c r="A192" s="37"/>
      <c r="B192" s="29"/>
      <c r="O192" s="38"/>
      <c r="P192" s="24"/>
      <c r="T192" s="39"/>
      <c r="U192" s="7"/>
      <c r="V192" s="13"/>
      <c r="W192" s="7"/>
      <c r="X192" s="7"/>
      <c r="Z192" s="7"/>
      <c r="AA192" s="7"/>
    </row>
    <row r="193" spans="1:27" s="27" customFormat="1" ht="15" customHeight="1" x14ac:dyDescent="0.2">
      <c r="A193" s="37"/>
      <c r="B193" s="29"/>
      <c r="O193" s="38"/>
      <c r="P193" s="24"/>
      <c r="T193" s="39"/>
      <c r="U193" s="7"/>
      <c r="V193" s="13"/>
      <c r="W193" s="7"/>
      <c r="X193" s="7"/>
      <c r="Z193" s="7"/>
      <c r="AA193" s="7"/>
    </row>
    <row r="194" spans="1:27" s="27" customFormat="1" ht="15" customHeight="1" x14ac:dyDescent="0.2">
      <c r="A194" s="37"/>
      <c r="B194" s="29"/>
      <c r="O194" s="38"/>
      <c r="P194" s="24"/>
      <c r="T194" s="39"/>
      <c r="U194" s="7"/>
      <c r="V194" s="13"/>
      <c r="W194" s="7"/>
      <c r="X194" s="7"/>
      <c r="Z194" s="7"/>
      <c r="AA194" s="7"/>
    </row>
    <row r="195" spans="1:27" s="27" customFormat="1" ht="15" customHeight="1" x14ac:dyDescent="0.2">
      <c r="A195" s="37"/>
      <c r="B195" s="29"/>
      <c r="O195" s="38"/>
      <c r="P195" s="24"/>
      <c r="T195" s="39"/>
      <c r="U195" s="7"/>
      <c r="V195" s="13"/>
      <c r="W195" s="7"/>
      <c r="X195" s="7"/>
      <c r="Z195" s="7"/>
      <c r="AA195" s="7"/>
    </row>
    <row r="196" spans="1:27" s="27" customFormat="1" ht="15" customHeight="1" x14ac:dyDescent="0.2">
      <c r="A196" s="37"/>
      <c r="B196" s="29"/>
      <c r="O196" s="38"/>
      <c r="P196" s="24"/>
      <c r="T196" s="39"/>
      <c r="U196" s="7"/>
      <c r="V196" s="13"/>
      <c r="W196" s="7"/>
      <c r="X196" s="7"/>
      <c r="Z196" s="7"/>
      <c r="AA196" s="7"/>
    </row>
    <row r="197" spans="1:27" s="27" customFormat="1" ht="15" customHeight="1" x14ac:dyDescent="0.2">
      <c r="A197" s="37"/>
      <c r="B197" s="29"/>
      <c r="O197" s="38"/>
      <c r="P197" s="24"/>
      <c r="T197" s="39"/>
      <c r="U197" s="7"/>
      <c r="V197" s="13"/>
      <c r="W197" s="7"/>
      <c r="X197" s="7"/>
      <c r="Z197" s="7"/>
      <c r="AA197" s="7"/>
    </row>
    <row r="198" spans="1:27" s="27" customFormat="1" ht="15" customHeight="1" x14ac:dyDescent="0.2">
      <c r="A198" s="37"/>
      <c r="B198" s="29"/>
      <c r="O198" s="38"/>
      <c r="P198" s="24"/>
      <c r="T198" s="39"/>
      <c r="U198" s="7"/>
      <c r="V198" s="13"/>
      <c r="W198" s="7"/>
      <c r="X198" s="7"/>
      <c r="Z198" s="7"/>
      <c r="AA198" s="7"/>
    </row>
    <row r="199" spans="1:27" s="27" customFormat="1" ht="15" customHeight="1" x14ac:dyDescent="0.2">
      <c r="A199" s="37"/>
      <c r="B199" s="29"/>
      <c r="O199" s="38"/>
      <c r="P199" s="24"/>
      <c r="T199" s="39"/>
      <c r="U199" s="7"/>
      <c r="V199" s="13"/>
      <c r="W199" s="7"/>
      <c r="X199" s="7"/>
      <c r="Z199" s="7"/>
      <c r="AA199" s="7"/>
    </row>
    <row r="200" spans="1:27" s="27" customFormat="1" ht="15" customHeight="1" x14ac:dyDescent="0.2">
      <c r="A200" s="37"/>
      <c r="B200" s="29"/>
      <c r="O200" s="38"/>
      <c r="P200" s="24"/>
      <c r="T200" s="39"/>
      <c r="U200" s="7"/>
      <c r="V200" s="13"/>
      <c r="W200" s="7"/>
      <c r="X200" s="7"/>
      <c r="Z200" s="7"/>
      <c r="AA200" s="7"/>
    </row>
    <row r="201" spans="1:27" s="27" customFormat="1" ht="15" customHeight="1" x14ac:dyDescent="0.2">
      <c r="A201" s="37"/>
      <c r="B201" s="29"/>
      <c r="O201" s="38"/>
      <c r="P201" s="24"/>
      <c r="T201" s="39"/>
      <c r="U201" s="7"/>
      <c r="V201" s="13"/>
      <c r="W201" s="7"/>
      <c r="X201" s="7"/>
      <c r="Z201" s="7"/>
      <c r="AA201" s="7"/>
    </row>
    <row r="202" spans="1:27" s="27" customFormat="1" ht="15" customHeight="1" x14ac:dyDescent="0.2">
      <c r="A202" s="37"/>
      <c r="B202" s="29"/>
      <c r="O202" s="38"/>
      <c r="P202" s="24"/>
      <c r="T202" s="39"/>
      <c r="U202" s="7"/>
      <c r="V202" s="13"/>
      <c r="W202" s="7"/>
      <c r="X202" s="7"/>
      <c r="Z202" s="7"/>
      <c r="AA202" s="7"/>
    </row>
    <row r="203" spans="1:27" s="27" customFormat="1" ht="15" customHeight="1" x14ac:dyDescent="0.2">
      <c r="A203" s="37"/>
      <c r="B203" s="29"/>
      <c r="O203" s="38"/>
      <c r="P203" s="24"/>
      <c r="T203" s="39"/>
      <c r="U203" s="7"/>
      <c r="V203" s="13"/>
      <c r="W203" s="7"/>
      <c r="X203" s="7"/>
      <c r="Z203" s="7"/>
      <c r="AA203" s="7"/>
    </row>
    <row r="204" spans="1:27" s="27" customFormat="1" ht="15" customHeight="1" x14ac:dyDescent="0.2">
      <c r="A204" s="37"/>
      <c r="B204" s="29"/>
      <c r="O204" s="38"/>
      <c r="P204" s="24"/>
      <c r="T204" s="39"/>
      <c r="U204" s="7"/>
      <c r="V204" s="13"/>
      <c r="W204" s="7"/>
      <c r="X204" s="7"/>
      <c r="Z204" s="7"/>
      <c r="AA204" s="7"/>
    </row>
    <row r="205" spans="1:27" s="27" customFormat="1" ht="15" customHeight="1" x14ac:dyDescent="0.2">
      <c r="A205" s="37"/>
      <c r="B205" s="29"/>
      <c r="O205" s="38"/>
      <c r="P205" s="24"/>
      <c r="T205" s="39"/>
      <c r="U205" s="7"/>
      <c r="V205" s="13"/>
      <c r="W205" s="7"/>
      <c r="X205" s="7"/>
      <c r="Z205" s="7"/>
      <c r="AA205" s="7"/>
    </row>
    <row r="206" spans="1:27" s="27" customFormat="1" ht="15" customHeight="1" x14ac:dyDescent="0.2">
      <c r="A206" s="37"/>
      <c r="B206" s="29"/>
      <c r="O206" s="38"/>
      <c r="P206" s="24"/>
      <c r="T206" s="39"/>
      <c r="U206" s="7"/>
      <c r="V206" s="13"/>
      <c r="W206" s="7"/>
      <c r="X206" s="7"/>
      <c r="Z206" s="7"/>
      <c r="AA206" s="7"/>
    </row>
    <row r="207" spans="1:27" s="27" customFormat="1" ht="15" customHeight="1" x14ac:dyDescent="0.2">
      <c r="A207" s="37"/>
      <c r="B207" s="29"/>
      <c r="O207" s="38"/>
      <c r="P207" s="24"/>
      <c r="T207" s="39"/>
      <c r="U207" s="7"/>
      <c r="V207" s="13"/>
      <c r="W207" s="7"/>
      <c r="X207" s="7"/>
      <c r="Z207" s="7"/>
      <c r="AA207" s="7"/>
    </row>
    <row r="208" spans="1:27" s="27" customFormat="1" ht="15" customHeight="1" x14ac:dyDescent="0.2">
      <c r="A208" s="37"/>
      <c r="B208" s="29"/>
      <c r="O208" s="38"/>
      <c r="P208" s="24"/>
      <c r="T208" s="39"/>
      <c r="U208" s="7"/>
      <c r="V208" s="13"/>
      <c r="W208" s="7"/>
      <c r="X208" s="7"/>
      <c r="Z208" s="7"/>
      <c r="AA208" s="7"/>
    </row>
    <row r="209" spans="1:27" s="27" customFormat="1" ht="15" customHeight="1" x14ac:dyDescent="0.2">
      <c r="A209" s="37"/>
      <c r="B209" s="29"/>
      <c r="O209" s="38"/>
      <c r="P209" s="24"/>
      <c r="T209" s="39"/>
      <c r="U209" s="7"/>
      <c r="V209" s="13"/>
      <c r="W209" s="7"/>
      <c r="X209" s="7"/>
      <c r="Z209" s="7"/>
      <c r="AA209" s="7"/>
    </row>
    <row r="210" spans="1:27" s="27" customFormat="1" ht="15" customHeight="1" x14ac:dyDescent="0.2">
      <c r="A210" s="37"/>
      <c r="B210" s="29"/>
      <c r="O210" s="38"/>
      <c r="P210" s="24"/>
      <c r="T210" s="39"/>
      <c r="U210" s="7"/>
      <c r="V210" s="13"/>
      <c r="W210" s="7"/>
      <c r="X210" s="7"/>
      <c r="Z210" s="7"/>
      <c r="AA210" s="7"/>
    </row>
    <row r="211" spans="1:27" s="27" customFormat="1" ht="15" customHeight="1" x14ac:dyDescent="0.2">
      <c r="A211" s="37"/>
      <c r="B211" s="29"/>
      <c r="O211" s="38"/>
      <c r="P211" s="24"/>
      <c r="T211" s="39"/>
      <c r="U211" s="7"/>
      <c r="V211" s="13"/>
      <c r="W211" s="7"/>
      <c r="X211" s="7"/>
      <c r="Z211" s="7"/>
      <c r="AA211" s="7"/>
    </row>
    <row r="212" spans="1:27" s="27" customFormat="1" ht="15" customHeight="1" x14ac:dyDescent="0.2">
      <c r="A212" s="37"/>
      <c r="B212" s="29"/>
      <c r="O212" s="38"/>
      <c r="P212" s="24"/>
      <c r="T212" s="39"/>
      <c r="U212" s="7"/>
      <c r="V212" s="13"/>
      <c r="W212" s="7"/>
      <c r="X212" s="7"/>
      <c r="Z212" s="7"/>
      <c r="AA212" s="7"/>
    </row>
    <row r="213" spans="1:27" s="27" customFormat="1" ht="15" customHeight="1" x14ac:dyDescent="0.2">
      <c r="A213" s="37"/>
      <c r="B213" s="29"/>
      <c r="O213" s="38"/>
      <c r="P213" s="24"/>
      <c r="T213" s="39"/>
      <c r="U213" s="7"/>
      <c r="V213" s="13"/>
      <c r="W213" s="7"/>
      <c r="X213" s="7"/>
      <c r="Z213" s="7"/>
      <c r="AA213" s="7"/>
    </row>
    <row r="214" spans="1:27" s="27" customFormat="1" ht="15" customHeight="1" x14ac:dyDescent="0.2">
      <c r="A214" s="37"/>
      <c r="B214" s="29"/>
      <c r="O214" s="38"/>
      <c r="P214" s="24"/>
      <c r="T214" s="39"/>
      <c r="U214" s="7"/>
      <c r="V214" s="13"/>
      <c r="W214" s="7"/>
      <c r="X214" s="7"/>
      <c r="Z214" s="7"/>
      <c r="AA214" s="7"/>
    </row>
    <row r="215" spans="1:27" s="27" customFormat="1" ht="15" customHeight="1" x14ac:dyDescent="0.2">
      <c r="A215" s="37"/>
      <c r="B215" s="29"/>
      <c r="O215" s="38"/>
      <c r="P215" s="24"/>
      <c r="T215" s="39"/>
      <c r="U215" s="7"/>
      <c r="V215" s="13"/>
      <c r="W215" s="7"/>
      <c r="X215" s="7"/>
      <c r="Z215" s="7"/>
      <c r="AA215" s="7"/>
    </row>
    <row r="216" spans="1:27" s="27" customFormat="1" ht="15" customHeight="1" x14ac:dyDescent="0.2">
      <c r="A216" s="37"/>
      <c r="B216" s="29"/>
      <c r="O216" s="38"/>
      <c r="P216" s="24"/>
      <c r="T216" s="39"/>
      <c r="U216" s="7"/>
      <c r="V216" s="13"/>
      <c r="W216" s="7"/>
      <c r="X216" s="7"/>
      <c r="Z216" s="7"/>
      <c r="AA216" s="7"/>
    </row>
    <row r="217" spans="1:27" s="27" customFormat="1" ht="15" customHeight="1" x14ac:dyDescent="0.2">
      <c r="A217" s="37"/>
      <c r="B217" s="29"/>
      <c r="O217" s="38"/>
      <c r="P217" s="24"/>
      <c r="T217" s="39"/>
      <c r="U217" s="7"/>
      <c r="V217" s="13"/>
      <c r="W217" s="7"/>
      <c r="X217" s="7"/>
      <c r="Z217" s="7"/>
      <c r="AA217" s="7"/>
    </row>
    <row r="218" spans="1:27" s="27" customFormat="1" ht="15" customHeight="1" x14ac:dyDescent="0.2">
      <c r="A218" s="37"/>
      <c r="B218" s="29"/>
      <c r="O218" s="38"/>
      <c r="P218" s="24"/>
      <c r="T218" s="39"/>
      <c r="U218" s="7"/>
      <c r="V218" s="13"/>
      <c r="W218" s="7"/>
      <c r="X218" s="7"/>
      <c r="Z218" s="7"/>
      <c r="AA218" s="7"/>
    </row>
    <row r="219" spans="1:27" s="27" customFormat="1" ht="15" customHeight="1" x14ac:dyDescent="0.2">
      <c r="A219" s="37"/>
      <c r="B219" s="29"/>
      <c r="O219" s="38"/>
      <c r="P219" s="24"/>
      <c r="T219" s="39"/>
      <c r="U219" s="7"/>
      <c r="V219" s="13"/>
      <c r="W219" s="7"/>
      <c r="X219" s="7"/>
      <c r="Z219" s="7"/>
      <c r="AA219" s="7"/>
    </row>
    <row r="220" spans="1:27" s="27" customFormat="1" ht="15" customHeight="1" x14ac:dyDescent="0.2">
      <c r="A220" s="37"/>
      <c r="B220" s="29"/>
      <c r="O220" s="38"/>
      <c r="P220" s="24"/>
      <c r="T220" s="39"/>
      <c r="U220" s="7"/>
      <c r="V220" s="13"/>
      <c r="W220" s="7"/>
      <c r="X220" s="7"/>
      <c r="Z220" s="7"/>
      <c r="AA220" s="7"/>
    </row>
    <row r="221" spans="1:27" s="27" customFormat="1" ht="15" customHeight="1" x14ac:dyDescent="0.2">
      <c r="A221" s="37"/>
      <c r="B221" s="29"/>
      <c r="O221" s="38"/>
      <c r="P221" s="24"/>
      <c r="T221" s="39"/>
      <c r="U221" s="7"/>
      <c r="V221" s="13"/>
      <c r="W221" s="7"/>
      <c r="X221" s="7"/>
      <c r="Z221" s="7"/>
      <c r="AA221" s="7"/>
    </row>
    <row r="222" spans="1:27" s="27" customFormat="1" ht="15" customHeight="1" x14ac:dyDescent="0.2">
      <c r="A222" s="37"/>
      <c r="B222" s="29"/>
      <c r="O222" s="38"/>
      <c r="P222" s="24"/>
      <c r="T222" s="39"/>
      <c r="U222" s="7"/>
      <c r="V222" s="13"/>
      <c r="W222" s="7"/>
      <c r="X222" s="7"/>
      <c r="Z222" s="7"/>
      <c r="AA222" s="7"/>
    </row>
    <row r="223" spans="1:27" s="27" customFormat="1" ht="15" customHeight="1" x14ac:dyDescent="0.2">
      <c r="A223" s="37"/>
      <c r="B223" s="29"/>
      <c r="O223" s="38"/>
      <c r="P223" s="24"/>
      <c r="T223" s="39"/>
      <c r="U223" s="7"/>
      <c r="V223" s="13"/>
      <c r="W223" s="7"/>
      <c r="X223" s="7"/>
      <c r="Z223" s="7"/>
      <c r="AA223" s="7"/>
    </row>
    <row r="224" spans="1:27" s="27" customFormat="1" ht="15" customHeight="1" x14ac:dyDescent="0.2">
      <c r="A224" s="37"/>
      <c r="B224" s="29"/>
      <c r="O224" s="38"/>
      <c r="P224" s="24"/>
      <c r="T224" s="39"/>
      <c r="U224" s="7"/>
      <c r="V224" s="13"/>
      <c r="W224" s="7"/>
      <c r="X224" s="7"/>
      <c r="Z224" s="7"/>
      <c r="AA224" s="7"/>
    </row>
    <row r="225" spans="1:27" s="27" customFormat="1" ht="15" customHeight="1" x14ac:dyDescent="0.2">
      <c r="A225" s="37"/>
      <c r="B225" s="29"/>
      <c r="O225" s="38"/>
      <c r="P225" s="24"/>
      <c r="T225" s="39"/>
      <c r="U225" s="7"/>
      <c r="V225" s="13"/>
      <c r="W225" s="7"/>
      <c r="X225" s="7"/>
      <c r="Z225" s="7"/>
      <c r="AA225" s="7"/>
    </row>
    <row r="226" spans="1:27" s="27" customFormat="1" ht="15" customHeight="1" x14ac:dyDescent="0.2">
      <c r="A226" s="37"/>
      <c r="B226" s="29"/>
      <c r="O226" s="38"/>
      <c r="P226" s="24"/>
      <c r="T226" s="39"/>
      <c r="U226" s="7"/>
      <c r="V226" s="13"/>
      <c r="W226" s="7"/>
      <c r="X226" s="7"/>
      <c r="Z226" s="7"/>
      <c r="AA226" s="7"/>
    </row>
    <row r="227" spans="1:27" s="27" customFormat="1" ht="15" customHeight="1" x14ac:dyDescent="0.2">
      <c r="A227" s="37"/>
      <c r="B227" s="29"/>
      <c r="O227" s="38"/>
      <c r="P227" s="24"/>
      <c r="T227" s="39"/>
      <c r="U227" s="7"/>
      <c r="V227" s="13"/>
      <c r="W227" s="7"/>
      <c r="X227" s="7"/>
      <c r="Z227" s="7"/>
      <c r="AA227" s="7"/>
    </row>
    <row r="228" spans="1:27" s="27" customFormat="1" ht="15" customHeight="1" x14ac:dyDescent="0.2">
      <c r="A228" s="37"/>
      <c r="B228" s="29"/>
      <c r="O228" s="38"/>
      <c r="P228" s="24"/>
      <c r="T228" s="39"/>
      <c r="U228" s="7"/>
      <c r="V228" s="13"/>
      <c r="W228" s="7"/>
      <c r="X228" s="7"/>
      <c r="Z228" s="7"/>
      <c r="AA228" s="7"/>
    </row>
    <row r="229" spans="1:27" s="27" customFormat="1" ht="15" customHeight="1" x14ac:dyDescent="0.2">
      <c r="A229" s="37"/>
      <c r="B229" s="29"/>
      <c r="O229" s="38"/>
      <c r="P229" s="24"/>
      <c r="T229" s="39"/>
      <c r="U229" s="7"/>
      <c r="V229" s="13"/>
      <c r="W229" s="7"/>
      <c r="X229" s="7"/>
      <c r="Z229" s="7"/>
      <c r="AA229" s="7"/>
    </row>
    <row r="230" spans="1:27" s="27" customFormat="1" ht="15" customHeight="1" x14ac:dyDescent="0.2">
      <c r="A230" s="37"/>
      <c r="B230" s="29"/>
      <c r="O230" s="38"/>
      <c r="P230" s="24"/>
      <c r="T230" s="39"/>
      <c r="U230" s="7"/>
      <c r="V230" s="13"/>
      <c r="W230" s="7"/>
      <c r="X230" s="7"/>
      <c r="Z230" s="7"/>
      <c r="AA230" s="7"/>
    </row>
    <row r="231" spans="1:27" s="27" customFormat="1" ht="15" customHeight="1" x14ac:dyDescent="0.2">
      <c r="A231" s="37"/>
      <c r="B231" s="29"/>
      <c r="O231" s="38"/>
      <c r="P231" s="24"/>
      <c r="T231" s="39"/>
      <c r="U231" s="7"/>
      <c r="V231" s="13"/>
      <c r="W231" s="7"/>
      <c r="X231" s="7"/>
      <c r="Z231" s="7"/>
      <c r="AA231" s="7"/>
    </row>
    <row r="232" spans="1:27" s="27" customFormat="1" ht="15" customHeight="1" x14ac:dyDescent="0.2">
      <c r="A232" s="37"/>
      <c r="B232" s="29"/>
      <c r="O232" s="38"/>
      <c r="P232" s="24"/>
      <c r="T232" s="39"/>
      <c r="U232" s="7"/>
      <c r="V232" s="13"/>
      <c r="W232" s="7"/>
      <c r="X232" s="7"/>
      <c r="Z232" s="7"/>
      <c r="AA232" s="7"/>
    </row>
    <row r="233" spans="1:27" s="27" customFormat="1" ht="15" customHeight="1" x14ac:dyDescent="0.2">
      <c r="A233" s="37"/>
      <c r="B233" s="29"/>
      <c r="O233" s="38"/>
      <c r="P233" s="24"/>
      <c r="T233" s="39"/>
      <c r="U233" s="7"/>
      <c r="V233" s="13"/>
      <c r="W233" s="7"/>
      <c r="X233" s="7"/>
      <c r="Z233" s="7"/>
      <c r="AA233" s="7"/>
    </row>
    <row r="234" spans="1:27" s="27" customFormat="1" ht="15" customHeight="1" x14ac:dyDescent="0.2">
      <c r="A234" s="37"/>
      <c r="B234" s="29"/>
      <c r="O234" s="38"/>
      <c r="P234" s="24"/>
      <c r="T234" s="39"/>
      <c r="U234" s="7"/>
      <c r="V234" s="13"/>
      <c r="W234" s="7"/>
      <c r="X234" s="7"/>
      <c r="Z234" s="7"/>
      <c r="AA234" s="7"/>
    </row>
    <row r="235" spans="1:27" s="27" customFormat="1" ht="15" customHeight="1" x14ac:dyDescent="0.2">
      <c r="A235" s="37"/>
      <c r="B235" s="29"/>
      <c r="O235" s="38"/>
      <c r="P235" s="24"/>
      <c r="T235" s="39"/>
      <c r="U235" s="7"/>
      <c r="V235" s="13"/>
      <c r="W235" s="7"/>
      <c r="X235" s="7"/>
      <c r="Z235" s="7"/>
      <c r="AA235" s="7"/>
    </row>
    <row r="236" spans="1:27" s="27" customFormat="1" ht="15" customHeight="1" x14ac:dyDescent="0.2">
      <c r="A236" s="37"/>
      <c r="B236" s="29"/>
      <c r="O236" s="38"/>
      <c r="P236" s="24"/>
      <c r="T236" s="39"/>
      <c r="U236" s="7"/>
      <c r="V236" s="13"/>
      <c r="W236" s="7"/>
      <c r="X236" s="7"/>
      <c r="Z236" s="7"/>
      <c r="AA236" s="7"/>
    </row>
    <row r="237" spans="1:27" s="27" customFormat="1" ht="15" customHeight="1" x14ac:dyDescent="0.2">
      <c r="A237" s="37"/>
      <c r="B237" s="29"/>
      <c r="O237" s="38"/>
      <c r="P237" s="24"/>
      <c r="T237" s="39"/>
      <c r="U237" s="7"/>
      <c r="V237" s="13"/>
      <c r="W237" s="7"/>
      <c r="X237" s="7"/>
      <c r="Z237" s="7"/>
      <c r="AA237" s="7"/>
    </row>
    <row r="238" spans="1:27" s="27" customFormat="1" ht="15" customHeight="1" x14ac:dyDescent="0.2">
      <c r="A238" s="37"/>
      <c r="B238" s="29"/>
      <c r="O238" s="38"/>
      <c r="P238" s="24"/>
      <c r="T238" s="39"/>
      <c r="U238" s="7"/>
      <c r="V238" s="13"/>
      <c r="W238" s="7"/>
      <c r="X238" s="7"/>
      <c r="Z238" s="7"/>
      <c r="AA238" s="7"/>
    </row>
    <row r="239" spans="1:27" s="27" customFormat="1" ht="15" customHeight="1" x14ac:dyDescent="0.2">
      <c r="A239" s="37"/>
      <c r="B239" s="29"/>
      <c r="O239" s="38"/>
      <c r="P239" s="24"/>
      <c r="T239" s="39"/>
      <c r="U239" s="7"/>
      <c r="V239" s="13"/>
      <c r="W239" s="7"/>
      <c r="X239" s="7"/>
      <c r="Z239" s="7"/>
      <c r="AA239" s="7"/>
    </row>
    <row r="240" spans="1:27" s="27" customFormat="1" ht="15" customHeight="1" x14ac:dyDescent="0.2">
      <c r="A240" s="37"/>
      <c r="B240" s="29"/>
      <c r="O240" s="38"/>
      <c r="P240" s="24"/>
      <c r="T240" s="39"/>
      <c r="U240" s="7"/>
      <c r="V240" s="13"/>
      <c r="W240" s="7"/>
      <c r="X240" s="7"/>
      <c r="Z240" s="7"/>
      <c r="AA240" s="7"/>
    </row>
    <row r="241" spans="1:27" s="27" customFormat="1" ht="15" customHeight="1" x14ac:dyDescent="0.2">
      <c r="A241" s="37"/>
      <c r="B241" s="29"/>
      <c r="O241" s="38"/>
      <c r="P241" s="24"/>
      <c r="T241" s="39"/>
      <c r="U241" s="7"/>
      <c r="V241" s="13"/>
      <c r="W241" s="7"/>
      <c r="X241" s="7"/>
      <c r="Z241" s="7"/>
      <c r="AA241" s="7"/>
    </row>
    <row r="242" spans="1:27" s="27" customFormat="1" ht="15" customHeight="1" x14ac:dyDescent="0.2">
      <c r="A242" s="37"/>
      <c r="B242" s="29"/>
      <c r="O242" s="38"/>
      <c r="P242" s="24"/>
      <c r="T242" s="39"/>
      <c r="U242" s="7"/>
      <c r="V242" s="13"/>
      <c r="W242" s="7"/>
      <c r="X242" s="7"/>
      <c r="Z242" s="7"/>
      <c r="AA242" s="7"/>
    </row>
    <row r="243" spans="1:27" s="27" customFormat="1" ht="15" customHeight="1" x14ac:dyDescent="0.2">
      <c r="A243" s="37"/>
      <c r="B243" s="29"/>
      <c r="O243" s="38"/>
      <c r="P243" s="24"/>
      <c r="T243" s="39"/>
      <c r="U243" s="7"/>
      <c r="V243" s="13"/>
      <c r="W243" s="7"/>
      <c r="X243" s="7"/>
      <c r="Z243" s="7"/>
      <c r="AA243" s="7"/>
    </row>
    <row r="244" spans="1:27" s="27" customFormat="1" ht="15" customHeight="1" x14ac:dyDescent="0.2">
      <c r="A244" s="37"/>
      <c r="B244" s="29"/>
      <c r="O244" s="38"/>
      <c r="P244" s="24"/>
      <c r="T244" s="39"/>
      <c r="U244" s="7"/>
      <c r="V244" s="13"/>
      <c r="W244" s="7"/>
      <c r="X244" s="7"/>
      <c r="Z244" s="7"/>
      <c r="AA244" s="7"/>
    </row>
    <row r="245" spans="1:27" s="27" customFormat="1" ht="15" customHeight="1" x14ac:dyDescent="0.2">
      <c r="A245" s="37"/>
      <c r="B245" s="29"/>
      <c r="O245" s="38"/>
      <c r="P245" s="24"/>
      <c r="T245" s="39"/>
      <c r="U245" s="7"/>
      <c r="V245" s="13"/>
      <c r="W245" s="7"/>
      <c r="X245" s="7"/>
      <c r="Z245" s="7"/>
      <c r="AA245" s="7"/>
    </row>
    <row r="246" spans="1:27" s="27" customFormat="1" ht="15" customHeight="1" x14ac:dyDescent="0.2">
      <c r="A246" s="37"/>
      <c r="B246" s="29"/>
      <c r="O246" s="38"/>
      <c r="P246" s="24"/>
      <c r="T246" s="39"/>
      <c r="U246" s="7"/>
      <c r="V246" s="13"/>
      <c r="W246" s="7"/>
      <c r="X246" s="7"/>
      <c r="Z246" s="7"/>
      <c r="AA246" s="7"/>
    </row>
    <row r="247" spans="1:27" s="27" customFormat="1" ht="15" customHeight="1" x14ac:dyDescent="0.2">
      <c r="A247" s="37"/>
      <c r="B247" s="29"/>
      <c r="O247" s="38"/>
      <c r="P247" s="24"/>
      <c r="T247" s="39"/>
      <c r="U247" s="7"/>
      <c r="V247" s="13"/>
      <c r="W247" s="7"/>
      <c r="X247" s="7"/>
      <c r="Z247" s="7"/>
      <c r="AA247" s="7"/>
    </row>
    <row r="248" spans="1:27" s="27" customFormat="1" ht="15" customHeight="1" x14ac:dyDescent="0.2">
      <c r="A248" s="37"/>
      <c r="B248" s="29"/>
      <c r="O248" s="38"/>
      <c r="P248" s="24"/>
      <c r="T248" s="39"/>
      <c r="U248" s="7"/>
      <c r="V248" s="13"/>
      <c r="W248" s="7"/>
      <c r="X248" s="7"/>
      <c r="Z248" s="7"/>
      <c r="AA248" s="7"/>
    </row>
    <row r="249" spans="1:27" s="27" customFormat="1" ht="15" customHeight="1" x14ac:dyDescent="0.2">
      <c r="A249" s="37"/>
      <c r="B249" s="29"/>
      <c r="O249" s="38"/>
      <c r="P249" s="24"/>
      <c r="T249" s="39"/>
      <c r="U249" s="7"/>
      <c r="V249" s="13"/>
      <c r="W249" s="7"/>
      <c r="X249" s="7"/>
      <c r="Z249" s="7"/>
      <c r="AA249" s="7"/>
    </row>
    <row r="250" spans="1:27" s="27" customFormat="1" ht="15" customHeight="1" x14ac:dyDescent="0.2">
      <c r="A250" s="37"/>
      <c r="B250" s="29"/>
      <c r="O250" s="38"/>
      <c r="P250" s="24"/>
      <c r="T250" s="39"/>
      <c r="U250" s="7"/>
      <c r="V250" s="13"/>
      <c r="W250" s="7"/>
      <c r="X250" s="7"/>
      <c r="Z250" s="7"/>
      <c r="AA250" s="7"/>
    </row>
    <row r="251" spans="1:27" s="27" customFormat="1" ht="15" customHeight="1" x14ac:dyDescent="0.2">
      <c r="A251" s="37"/>
      <c r="B251" s="29"/>
      <c r="O251" s="38"/>
      <c r="P251" s="24"/>
      <c r="T251" s="39"/>
      <c r="U251" s="7"/>
      <c r="V251" s="13"/>
      <c r="W251" s="7"/>
      <c r="X251" s="7"/>
      <c r="Z251" s="7"/>
      <c r="AA251" s="7"/>
    </row>
    <row r="252" spans="1:27" s="27" customFormat="1" ht="15" customHeight="1" x14ac:dyDescent="0.2">
      <c r="A252" s="37"/>
      <c r="B252" s="29"/>
      <c r="O252" s="38"/>
      <c r="P252" s="24"/>
      <c r="T252" s="39"/>
      <c r="U252" s="7"/>
      <c r="V252" s="13"/>
      <c r="W252" s="7"/>
      <c r="X252" s="7"/>
      <c r="Z252" s="7"/>
      <c r="AA252" s="7"/>
    </row>
    <row r="253" spans="1:27" s="27" customFormat="1" ht="15" customHeight="1" x14ac:dyDescent="0.2">
      <c r="A253" s="37"/>
      <c r="B253" s="29"/>
      <c r="O253" s="38"/>
      <c r="P253" s="24"/>
      <c r="T253" s="39"/>
      <c r="U253" s="7"/>
      <c r="V253" s="13"/>
      <c r="W253" s="7"/>
      <c r="X253" s="7"/>
      <c r="Z253" s="7"/>
      <c r="AA253" s="7"/>
    </row>
    <row r="254" spans="1:27" s="27" customFormat="1" ht="15" customHeight="1" x14ac:dyDescent="0.2">
      <c r="A254" s="37"/>
      <c r="B254" s="29"/>
      <c r="O254" s="38"/>
      <c r="P254" s="24"/>
      <c r="T254" s="39"/>
      <c r="U254" s="7"/>
      <c r="V254" s="13"/>
      <c r="W254" s="7"/>
      <c r="X254" s="7"/>
      <c r="Z254" s="7"/>
      <c r="AA254" s="7"/>
    </row>
    <row r="255" spans="1:27" s="27" customFormat="1" ht="15" customHeight="1" x14ac:dyDescent="0.2">
      <c r="A255" s="37"/>
      <c r="B255" s="29"/>
      <c r="O255" s="38"/>
      <c r="P255" s="24"/>
      <c r="T255" s="39"/>
      <c r="U255" s="7"/>
      <c r="V255" s="13"/>
      <c r="W255" s="7"/>
      <c r="X255" s="7"/>
      <c r="Z255" s="7"/>
      <c r="AA255" s="7"/>
    </row>
    <row r="256" spans="1:27" s="27" customFormat="1" ht="15" customHeight="1" x14ac:dyDescent="0.2">
      <c r="A256" s="37"/>
      <c r="B256" s="29"/>
      <c r="O256" s="38"/>
      <c r="P256" s="24"/>
      <c r="T256" s="39"/>
      <c r="U256" s="7"/>
      <c r="V256" s="13"/>
      <c r="W256" s="7"/>
      <c r="X256" s="7"/>
      <c r="Z256" s="7"/>
      <c r="AA256" s="7"/>
    </row>
    <row r="257" spans="1:27" s="27" customFormat="1" ht="15" customHeight="1" x14ac:dyDescent="0.2">
      <c r="A257" s="37"/>
      <c r="B257" s="29"/>
      <c r="O257" s="38"/>
      <c r="P257" s="24"/>
      <c r="T257" s="39"/>
      <c r="U257" s="7"/>
      <c r="V257" s="13"/>
      <c r="W257" s="7"/>
      <c r="X257" s="7"/>
      <c r="Z257" s="7"/>
      <c r="AA257" s="7"/>
    </row>
    <row r="258" spans="1:27" s="27" customFormat="1" ht="15" customHeight="1" x14ac:dyDescent="0.2">
      <c r="A258" s="37"/>
      <c r="B258" s="29"/>
      <c r="O258" s="38"/>
      <c r="P258" s="24"/>
      <c r="T258" s="39"/>
      <c r="U258" s="7"/>
      <c r="V258" s="13"/>
      <c r="W258" s="7"/>
      <c r="X258" s="7"/>
      <c r="Z258" s="7"/>
      <c r="AA258" s="7"/>
    </row>
    <row r="259" spans="1:27" s="27" customFormat="1" ht="15" customHeight="1" x14ac:dyDescent="0.2">
      <c r="A259" s="37"/>
      <c r="B259" s="29"/>
      <c r="O259" s="38"/>
      <c r="P259" s="24"/>
      <c r="T259" s="39"/>
      <c r="U259" s="7"/>
      <c r="V259" s="13"/>
      <c r="W259" s="7"/>
      <c r="X259" s="7"/>
      <c r="Z259" s="7"/>
      <c r="AA259" s="7"/>
    </row>
    <row r="260" spans="1:27" s="27" customFormat="1" ht="15" customHeight="1" x14ac:dyDescent="0.2">
      <c r="A260" s="37"/>
      <c r="B260" s="29"/>
      <c r="O260" s="38"/>
      <c r="P260" s="24"/>
      <c r="T260" s="39"/>
      <c r="U260" s="7"/>
      <c r="V260" s="13"/>
      <c r="W260" s="7"/>
      <c r="X260" s="7"/>
      <c r="Z260" s="7"/>
      <c r="AA260" s="7"/>
    </row>
    <row r="261" spans="1:27" s="27" customFormat="1" ht="15" customHeight="1" x14ac:dyDescent="0.2">
      <c r="A261" s="37"/>
      <c r="B261" s="29"/>
      <c r="O261" s="38"/>
      <c r="P261" s="24"/>
      <c r="T261" s="39"/>
      <c r="U261" s="7"/>
      <c r="V261" s="13"/>
      <c r="W261" s="7"/>
      <c r="X261" s="7"/>
      <c r="Z261" s="7"/>
      <c r="AA261" s="7"/>
    </row>
    <row r="262" spans="1:27" s="27" customFormat="1" ht="15" customHeight="1" x14ac:dyDescent="0.2">
      <c r="A262" s="37"/>
      <c r="B262" s="29"/>
      <c r="O262" s="38"/>
      <c r="P262" s="24"/>
      <c r="T262" s="39"/>
      <c r="U262" s="7"/>
      <c r="V262" s="13"/>
      <c r="W262" s="7"/>
      <c r="X262" s="7"/>
      <c r="Z262" s="7"/>
      <c r="AA262" s="7"/>
    </row>
    <row r="263" spans="1:27" s="27" customFormat="1" ht="15" customHeight="1" x14ac:dyDescent="0.2">
      <c r="A263" s="37"/>
      <c r="B263" s="29"/>
      <c r="O263" s="38"/>
      <c r="P263" s="24"/>
      <c r="T263" s="39"/>
      <c r="U263" s="7"/>
      <c r="V263" s="13"/>
      <c r="W263" s="7"/>
      <c r="X263" s="7"/>
      <c r="Z263" s="7"/>
      <c r="AA263" s="7"/>
    </row>
    <row r="264" spans="1:27" s="27" customFormat="1" ht="15" customHeight="1" x14ac:dyDescent="0.2">
      <c r="A264" s="37"/>
      <c r="B264" s="29"/>
      <c r="O264" s="38"/>
      <c r="P264" s="24"/>
      <c r="T264" s="39"/>
      <c r="U264" s="7"/>
      <c r="V264" s="13"/>
      <c r="W264" s="7"/>
      <c r="X264" s="7"/>
      <c r="Z264" s="7"/>
      <c r="AA264" s="7"/>
    </row>
    <row r="265" spans="1:27" s="27" customFormat="1" ht="15" customHeight="1" x14ac:dyDescent="0.2">
      <c r="A265" s="37"/>
      <c r="B265" s="29"/>
      <c r="O265" s="38"/>
      <c r="P265" s="24"/>
      <c r="T265" s="39"/>
      <c r="U265" s="7"/>
      <c r="V265" s="13"/>
      <c r="W265" s="7"/>
      <c r="X265" s="7"/>
      <c r="Z265" s="7"/>
      <c r="AA265" s="7"/>
    </row>
    <row r="266" spans="1:27" s="27" customFormat="1" ht="15" customHeight="1" x14ac:dyDescent="0.2">
      <c r="A266" s="37"/>
      <c r="B266" s="29"/>
      <c r="O266" s="38"/>
      <c r="P266" s="24"/>
      <c r="T266" s="39"/>
      <c r="U266" s="7"/>
      <c r="V266" s="13"/>
      <c r="W266" s="7"/>
      <c r="X266" s="7"/>
      <c r="Z266" s="7"/>
      <c r="AA266" s="7"/>
    </row>
    <row r="267" spans="1:27" s="27" customFormat="1" ht="15" customHeight="1" x14ac:dyDescent="0.2">
      <c r="A267" s="37"/>
      <c r="B267" s="29"/>
      <c r="O267" s="38"/>
      <c r="P267" s="24"/>
      <c r="T267" s="39"/>
      <c r="U267" s="7"/>
      <c r="V267" s="13"/>
      <c r="W267" s="7"/>
      <c r="X267" s="7"/>
      <c r="Z267" s="7"/>
      <c r="AA267" s="7"/>
    </row>
    <row r="268" spans="1:27" s="27" customFormat="1" ht="15" customHeight="1" x14ac:dyDescent="0.2">
      <c r="A268" s="37"/>
      <c r="B268" s="29"/>
      <c r="O268" s="38"/>
      <c r="P268" s="24"/>
      <c r="T268" s="39"/>
      <c r="U268" s="7"/>
      <c r="V268" s="13"/>
      <c r="W268" s="7"/>
      <c r="X268" s="7"/>
      <c r="Z268" s="7"/>
      <c r="AA268" s="7"/>
    </row>
    <row r="269" spans="1:27" s="27" customFormat="1" ht="15" customHeight="1" x14ac:dyDescent="0.2">
      <c r="A269" s="37"/>
      <c r="B269" s="29"/>
      <c r="O269" s="38"/>
      <c r="P269" s="24"/>
      <c r="T269" s="39"/>
      <c r="U269" s="7"/>
      <c r="V269" s="13"/>
      <c r="W269" s="7"/>
      <c r="X269" s="7"/>
      <c r="Z269" s="7"/>
      <c r="AA269" s="7"/>
    </row>
    <row r="270" spans="1:27" s="27" customFormat="1" ht="15" customHeight="1" x14ac:dyDescent="0.2">
      <c r="A270" s="37"/>
      <c r="B270" s="29"/>
      <c r="O270" s="38"/>
      <c r="P270" s="24"/>
      <c r="T270" s="39"/>
      <c r="U270" s="7"/>
      <c r="V270" s="13"/>
      <c r="W270" s="7"/>
      <c r="X270" s="7"/>
      <c r="Z270" s="7"/>
      <c r="AA270" s="7"/>
    </row>
  </sheetData>
  <phoneticPr fontId="1" type="noConversion"/>
  <conditionalFormatting sqref="A1:AB270">
    <cfRule type="expression" dxfId="13" priority="774">
      <formula>#REF!="X"</formula>
    </cfRule>
    <cfRule type="expression" dxfId="12" priority="775">
      <formula>#REF!="L"</formula>
    </cfRule>
    <cfRule type="expression" dxfId="11" priority="776" stopIfTrue="1">
      <formula>#REF!="E"</formula>
    </cfRule>
    <cfRule type="expression" dxfId="10" priority="777">
      <formula>$S1="PENDING"</formula>
    </cfRule>
    <cfRule type="expression" dxfId="9" priority="778">
      <formula>#REF!="NEED PAYMENT INFO"</formula>
    </cfRule>
    <cfRule type="expression" dxfId="8" priority="779">
      <formula>$N1&lt;0</formula>
    </cfRule>
    <cfRule type="expression" dxfId="7" priority="780" stopIfTrue="1">
      <formula>$V1="TAX"</formula>
    </cfRule>
    <cfRule type="expression" dxfId="6" priority="781">
      <formula>$R1="BABY_NEED_TO_THANK"</formula>
    </cfRule>
    <cfRule type="expression" dxfId="5" priority="782" stopIfTrue="1">
      <formula>$R1="BABY_WRITTEN"</formula>
    </cfRule>
    <cfRule type="expression" dxfId="4" priority="783">
      <formula>$R1="NEED_TO_THANK"</formula>
    </cfRule>
    <cfRule type="expression" dxfId="3" priority="784">
      <formula>$R1="TQ_WRITTEN"</formula>
    </cfRule>
    <cfRule type="expression" dxfId="2" priority="785">
      <formula>$R1="CONFIRMED"</formula>
    </cfRule>
  </conditionalFormatting>
  <conditionalFormatting sqref="A2:AB270">
    <cfRule type="expression" dxfId="1" priority="5">
      <formula>FIND("#",A$1)</formula>
    </cfRule>
  </conditionalFormatting>
  <dataValidations count="5">
    <dataValidation allowBlank="1" showInputMessage="1" showErrorMessage="1" sqref="I48:I90 I97:J270 L1:O270 I1:I46 J1:J90 R1:XFD270" xr:uid="{E7CBDFCA-7ABD-44DC-85F6-F33B8787C1AA}"/>
    <dataValidation type="decimal" allowBlank="1" showInputMessage="1" showErrorMessage="1" sqref="K1:K270" xr:uid="{D8FF2A4D-C27F-4C8C-BA7C-0834E6ABAFFA}">
      <formula1>-100000</formula1>
      <formula2>100000</formula2>
    </dataValidation>
    <dataValidation type="whole" allowBlank="1" showInputMessage="1" showErrorMessage="1" sqref="D1:E270" xr:uid="{58DFB74F-845C-48E0-8ACA-1F44932E4D7A}">
      <formula1>0</formula1>
      <formula2>1</formula2>
    </dataValidation>
    <dataValidation type="date" allowBlank="1" showInputMessage="1" showErrorMessage="1" sqref="A1:A270" xr:uid="{0C59B721-8FDC-42EE-912F-5C7389264916}">
      <formula1>46023</formula1>
      <formula2>46387</formula2>
    </dataValidation>
    <dataValidation type="time" allowBlank="1" showInputMessage="1" showErrorMessage="1" sqref="B1:B270" xr:uid="{B6999489-AC26-4DEA-B9D7-F7CC5C323F52}">
      <formula1>0</formula1>
      <formula2>0.999988425925926</formula2>
    </dataValidation>
  </dataValidations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EF62D012-A762-4188-93B6-B30C80B99C9F}">
            <xm:f>MATCH(AA1,#REF!,0)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AA1:AA270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ADEC9B77-34A4-41F8-897F-3DEC34698584}">
          <x14:formula1>
            <xm:f>#REF!</xm:f>
          </x14:formula1>
          <xm:sqref>P97:P270 P1:P90</xm:sqref>
        </x14:dataValidation>
        <x14:dataValidation type="list" allowBlank="1" showInputMessage="1" showErrorMessage="1" xr:uid="{62DFB90B-09E1-4209-A668-3249B14B0CEC}">
          <x14:formula1>
            <xm:f>#REF!</xm:f>
          </x14:formula1>
          <xm:sqref>Q97:Q270 Q1:Q90</xm:sqref>
        </x14:dataValidation>
        <x14:dataValidation type="list" allowBlank="1" showInputMessage="1" showErrorMessage="1" xr:uid="{08392E93-4772-4F4A-9C98-C676E50E74A0}">
          <x14:formula1>
            <xm:f>#REF!</xm:f>
          </x14:formula1>
          <xm:sqref>C1:C270</xm:sqref>
        </x14:dataValidation>
        <x14:dataValidation type="list" allowBlank="1" showInputMessage="1" showErrorMessage="1" xr:uid="{BA7D6ACF-D5D2-45D1-87C3-8038D1A0802F}">
          <x14:formula1>
            <xm:f>#REF!</xm:f>
          </x14:formula1>
          <xm:sqref>G1:G270</xm:sqref>
        </x14:dataValidation>
        <x14:dataValidation type="list" allowBlank="1" showInputMessage="1" showErrorMessage="1" xr:uid="{2A08E5BB-3103-48C2-8C0D-2B12501F5DF5}">
          <x14:formula1>
            <xm:f>#REF!</xm:f>
          </x14:formula1>
          <xm:sqref>F1:F270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0c1b6b9-125e-48de-973d-7e54c02f56a4">
      <Terms xmlns="http://schemas.microsoft.com/office/infopath/2007/PartnerControls"/>
    </lcf76f155ced4ddcb4097134ff3c332f>
    <TaxCatchAll xmlns="64f0971a-f299-4c05-86cc-27d0ccbb440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0967C9B73CE1E43A3D0DA1EEE1384F6" ma:contentTypeVersion="18" ma:contentTypeDescription="Create a new document." ma:contentTypeScope="" ma:versionID="72c5701de473ac9a74485b0e3b8cfd2e">
  <xsd:schema xmlns:xsd="http://www.w3.org/2001/XMLSchema" xmlns:xs="http://www.w3.org/2001/XMLSchema" xmlns:p="http://schemas.microsoft.com/office/2006/metadata/properties" xmlns:ns2="c0c1b6b9-125e-48de-973d-7e54c02f56a4" xmlns:ns3="64f0971a-f299-4c05-86cc-27d0ccbb4402" targetNamespace="http://schemas.microsoft.com/office/2006/metadata/properties" ma:root="true" ma:fieldsID="ac50277188a30a12a96cc0efbce0976f" ns2:_="" ns3:_="">
    <xsd:import namespace="c0c1b6b9-125e-48de-973d-7e54c02f56a4"/>
    <xsd:import namespace="64f0971a-f299-4c05-86cc-27d0ccbb440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CR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SearchProperties" minOccurs="0"/>
                <xsd:element ref="ns2:MediaLengthInSecond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c1b6b9-125e-48de-973d-7e54c02f56a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1" nillable="true" ma:displayName="MediaServiceDateTaken" ma:hidden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384d4cd7-a39b-4460-b33b-417b4461d63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4f0971a-f299-4c05-86cc-27d0ccbb4402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ca48edea-86b2-495f-88ca-09ae759463e3}" ma:internalName="TaxCatchAll" ma:showField="CatchAllData" ma:web="64f0971a-f299-4c05-86cc-27d0ccbb440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95B7615-975E-4CBE-95BE-C02BA3AA7D1C}">
  <ds:schemaRefs>
    <ds:schemaRef ds:uri="http://schemas.microsoft.com/office/2006/metadata/properties"/>
    <ds:schemaRef ds:uri="http://schemas.microsoft.com/office/infopath/2007/PartnerControls"/>
    <ds:schemaRef ds:uri="c0c1b6b9-125e-48de-973d-7e54c02f56a4"/>
    <ds:schemaRef ds:uri="64f0971a-f299-4c05-86cc-27d0ccbb4402"/>
  </ds:schemaRefs>
</ds:datastoreItem>
</file>

<file path=customXml/itemProps2.xml><?xml version="1.0" encoding="utf-8"?>
<ds:datastoreItem xmlns:ds="http://schemas.openxmlformats.org/officeDocument/2006/customXml" ds:itemID="{D68E28E1-5097-4265-A666-044E2487C4A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B940E97-DABA-4339-B2BC-24730A2DC3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c1b6b9-125e-48de-973d-7e54c02f56a4"/>
    <ds:schemaRef ds:uri="64f0971a-f299-4c05-86cc-27d0ccbb440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baf8218e-b302-4465-a993-4a39c97251b2}" enabled="0" method="" siteId="{baf8218e-b302-4465-a993-4a39c97251b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2026_Itemized_Pur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 Best</dc:creator>
  <cp:keywords/>
  <dc:description/>
  <cp:lastModifiedBy>Lydia Wu</cp:lastModifiedBy>
  <cp:revision/>
  <dcterms:created xsi:type="dcterms:W3CDTF">2022-06-30T00:40:07Z</dcterms:created>
  <dcterms:modified xsi:type="dcterms:W3CDTF">2026-01-09T17:50:00Z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0x01010000967C9B73CE1E43A3D0DA1EEE1384F6</vt:lpwstr>
  </property>
</Properties>
</file>