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600" yWindow="4440" windowWidth="21920" windowHeight="17760" tabRatio="600" firstSheet="0" activeTab="1" autoFilterDateGrouping="1"/>
  </bookViews>
  <sheets>
    <sheet name="ItemizedPurchase" sheetId="1" state="visible" r:id="rId1"/>
    <sheet name="ingredients" sheetId="2" state="visible" r:id="rId2"/>
    <sheet name="totalMealCost" sheetId="3" state="visible" r:id="rId3"/>
  </sheets>
  <definedNames/>
  <calcPr calcId="191029" fullCalcOnLoad="1"/>
</workbook>
</file>

<file path=xl/styles.xml><?xml version="1.0" encoding="utf-8"?>
<styleSheet xmlns="http://schemas.openxmlformats.org/spreadsheetml/2006/main">
  <numFmts count="5">
    <numFmt numFmtId="164" formatCode="_(&quot;$&quot;* #,##0.00_);_(&quot;$&quot;* \(#,##0.00\);_(&quot;$&quot;* &quot;-&quot;??_);_(@_)"/>
    <numFmt numFmtId="165" formatCode="_([$$-409]* #,##0.00_);_([$$-409]* \(#,##0.00\);_([$$-409]* &quot;-&quot;??_);_(@_)"/>
    <numFmt numFmtId="166" formatCode="[$-409]d\-mmm;@"/>
    <numFmt numFmtId="167" formatCode="[$-409]h:mm\ AM/PM;@"/>
    <numFmt numFmtId="168" formatCode="&quot;$&quot;#,##0_);[Red]\(&quot;$&quot;#,##0\)"/>
  </numFmts>
  <fonts count="12">
    <font>
      <name val="Calibri"/>
      <family val="2"/>
      <color theme="1"/>
      <sz val="11"/>
      <scheme val="minor"/>
    </font>
    <font>
      <name val="Calibri"/>
      <family val="2"/>
      <color theme="1"/>
      <sz val="11"/>
      <scheme val="minor"/>
    </font>
    <font>
      <name val="Calibri"/>
      <family val="2"/>
      <color rgb="FF000000"/>
      <sz val="11"/>
      <scheme val="minor"/>
    </font>
    <font>
      <name val="Calibri"/>
      <family val="2"/>
      <b val="1"/>
      <color rgb="FF000000"/>
      <sz val="11"/>
      <scheme val="minor"/>
    </font>
    <font>
      <name val="Calibri"/>
      <family val="2"/>
      <b val="1"/>
      <color theme="1"/>
      <sz val="11"/>
      <scheme val="minor"/>
    </font>
    <font>
      <name val="Calibri"/>
      <family val="2"/>
      <color theme="10"/>
      <sz val="11"/>
      <u val="single"/>
      <scheme val="minor"/>
    </font>
    <font>
      <name val="Calibri"/>
      <family val="2"/>
      <color rgb="FF000000"/>
      <sz val="11"/>
    </font>
    <font>
      <name val="Calibri"/>
      <family val="2"/>
      <i val="1"/>
      <color rgb="FF70AD47"/>
      <sz val="11"/>
    </font>
    <font>
      <name val="Calibri"/>
      <family val="2"/>
      <i val="1"/>
      <color rgb="FF757171"/>
      <sz val="11"/>
    </font>
    <font>
      <name val="Calibri"/>
      <family val="2"/>
      <sz val="11"/>
    </font>
    <font>
      <name val="Calibri"/>
      <family val="2"/>
      <sz val="11"/>
      <scheme val="minor"/>
    </font>
    <font>
      <name val="Calibri"/>
      <family val="2"/>
      <b val="1"/>
      <sz val="11"/>
      <scheme val="minor"/>
    </font>
  </fonts>
  <fills count="7">
    <fill>
      <patternFill/>
    </fill>
    <fill>
      <patternFill patternType="gray125"/>
    </fill>
    <fill>
      <patternFill patternType="solid">
        <fgColor rgb="FFFFFF00"/>
        <bgColor indexed="64"/>
      </patternFill>
    </fill>
    <fill>
      <patternFill patternType="solid">
        <fgColor rgb="FFD9E1F2"/>
        <bgColor rgb="FF000000"/>
      </patternFill>
    </fill>
    <fill>
      <patternFill patternType="solid">
        <fgColor rgb="FFF2F2F2"/>
        <bgColor rgb="FF000000"/>
      </patternFill>
    </fill>
    <fill>
      <patternFill patternType="solid">
        <fgColor rgb="FF81D8F7"/>
        <bgColor indexed="64"/>
      </patternFill>
    </fill>
    <fill>
      <patternFill patternType="lightHorizontal">
        <fgColor theme="7" tint="0.3999450666829432"/>
        <bgColor theme="7" tint="0.79989013336588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diagonal/>
    </border>
    <border>
      <left style="medium">
        <color indexed="64"/>
      </left>
      <right/>
      <top/>
      <bottom/>
      <diagonal/>
    </border>
  </borders>
  <cellStyleXfs count="4">
    <xf numFmtId="0" fontId="1" fillId="0" borderId="0"/>
    <xf numFmtId="0" fontId="5" fillId="0" borderId="0"/>
    <xf numFmtId="44" fontId="1" fillId="0" borderId="0"/>
    <xf numFmtId="5" fontId="4" fillId="6" borderId="3"/>
  </cellStyleXfs>
  <cellXfs count="99">
    <xf numFmtId="0" fontId="0" fillId="0" borderId="0" pivotButton="0" quotePrefix="0" xfId="0"/>
    <xf numFmtId="0" fontId="0" fillId="0" borderId="1" pivotButton="0" quotePrefix="0" xfId="0"/>
    <xf numFmtId="2" fontId="0" fillId="0" borderId="0" pivotButton="0" quotePrefix="0" xfId="0"/>
    <xf numFmtId="164" fontId="0" fillId="0" borderId="0" pivotButton="0" quotePrefix="0" xfId="2"/>
    <xf numFmtId="0" fontId="3" fillId="0" borderId="1" pivotButton="0" quotePrefix="0" xfId="0"/>
    <xf numFmtId="0" fontId="2" fillId="0" borderId="1" pivotButton="0" quotePrefix="0" xfId="0"/>
    <xf numFmtId="0" fontId="2" fillId="0" borderId="1" applyAlignment="1" pivotButton="0" quotePrefix="1" xfId="0">
      <alignment horizontal="left"/>
    </xf>
    <xf numFmtId="14" fontId="2" fillId="0" borderId="1" pivotButton="0" quotePrefix="0" xfId="0"/>
    <xf numFmtId="165" fontId="2" fillId="0" borderId="1" pivotButton="0" quotePrefix="0" xfId="0"/>
    <xf numFmtId="0" fontId="2" fillId="0" borderId="1" applyAlignment="1" pivotButton="0" quotePrefix="0" xfId="0">
      <alignment vertical="center"/>
    </xf>
    <xf numFmtId="14" fontId="2" fillId="0" borderId="1" applyAlignment="1" pivotButton="0" quotePrefix="0" xfId="0">
      <alignment vertical="center"/>
    </xf>
    <xf numFmtId="166" fontId="2" fillId="0" borderId="1" applyAlignment="1" pivotButton="0" quotePrefix="0" xfId="0">
      <alignment vertical="top"/>
    </xf>
    <xf numFmtId="167" fontId="2" fillId="0" borderId="1" pivotButton="0" quotePrefix="0" xfId="0"/>
    <xf numFmtId="0" fontId="5" fillId="0" borderId="1" applyAlignment="1" pivotButton="0" quotePrefix="0" xfId="1">
      <alignment vertical="center"/>
    </xf>
    <xf numFmtId="164" fontId="2" fillId="0" borderId="1" applyAlignment="1" pivotButton="0" quotePrefix="0" xfId="0">
      <alignment vertical="center"/>
    </xf>
    <xf numFmtId="14" fontId="2" fillId="0" borderId="1" applyAlignment="1" pivotButton="0" quotePrefix="1" xfId="0">
      <alignment vertical="center"/>
    </xf>
    <xf numFmtId="0" fontId="2" fillId="0" borderId="1" applyAlignment="1" pivotButton="0" quotePrefix="0" xfId="0">
      <alignment horizontal="left"/>
    </xf>
    <xf numFmtId="14" fontId="2" fillId="0" borderId="1" pivotButton="0" quotePrefix="1" xfId="0"/>
    <xf numFmtId="0" fontId="2" fillId="0" borderId="1" applyAlignment="1" pivotButton="0" quotePrefix="1" xfId="0">
      <alignment vertical="center"/>
    </xf>
    <xf numFmtId="0" fontId="2" fillId="0" borderId="1" applyAlignment="1" pivotButton="0" quotePrefix="1" xfId="0">
      <alignment horizontal="left" wrapText="1"/>
    </xf>
    <xf numFmtId="168" fontId="2" fillId="0" borderId="1" pivotButton="0" quotePrefix="0" xfId="0"/>
    <xf numFmtId="165" fontId="2" fillId="0" borderId="1" applyAlignment="1" pivotButton="0" quotePrefix="0" xfId="0">
      <alignment vertical="center"/>
    </xf>
    <xf numFmtId="0" fontId="2" fillId="0" borderId="1" applyAlignment="1" pivotButton="0" quotePrefix="0" xfId="0">
      <alignment wrapText="1"/>
    </xf>
    <xf numFmtId="166" fontId="2" fillId="0" borderId="1" pivotButton="0" quotePrefix="0" xfId="0"/>
    <xf numFmtId="18" fontId="2" fillId="0" borderId="1" applyAlignment="1" pivotButton="0" quotePrefix="1" xfId="0">
      <alignment horizontal="left"/>
    </xf>
    <xf numFmtId="14" fontId="2" fillId="0" borderId="1" applyAlignment="1" pivotButton="0" quotePrefix="1" xfId="0">
      <alignment horizontal="left"/>
    </xf>
    <xf numFmtId="0" fontId="6" fillId="0" borderId="1" pivotButton="0" quotePrefix="0" xfId="0"/>
    <xf numFmtId="16" fontId="6" fillId="0" borderId="1" pivotButton="0" quotePrefix="0" xfId="0"/>
    <xf numFmtId="0" fontId="7" fillId="3" borderId="1" pivotButton="0" quotePrefix="0" xfId="0"/>
    <xf numFmtId="16" fontId="7" fillId="3" borderId="1" pivotButton="0" quotePrefix="0" xfId="0"/>
    <xf numFmtId="0" fontId="8" fillId="4" borderId="1" pivotButton="0" quotePrefix="0" xfId="0"/>
    <xf numFmtId="16" fontId="8" fillId="4" borderId="1" pivotButton="0" quotePrefix="0" xfId="0"/>
    <xf numFmtId="16" fontId="9" fillId="0" borderId="1" pivotButton="0" quotePrefix="0" xfId="0"/>
    <xf numFmtId="0" fontId="9" fillId="0" borderId="1" pivotButton="0" quotePrefix="0" xfId="0"/>
    <xf numFmtId="14" fontId="10" fillId="0" borderId="1" pivotButton="0" quotePrefix="0" xfId="0"/>
    <xf numFmtId="0" fontId="10" fillId="0" borderId="1" pivotButton="0" quotePrefix="0" xfId="0"/>
    <xf numFmtId="0" fontId="2" fillId="2" borderId="1" applyAlignment="1" pivotButton="0" quotePrefix="0" xfId="0">
      <alignment vertical="center"/>
    </xf>
    <xf numFmtId="166" fontId="2" fillId="2" borderId="1" applyAlignment="1" pivotButton="0" quotePrefix="0" xfId="0">
      <alignment vertical="top"/>
    </xf>
    <xf numFmtId="0" fontId="2" fillId="2" borderId="1" pivotButton="0" quotePrefix="0" xfId="0"/>
    <xf numFmtId="0" fontId="2" fillId="2" borderId="1" applyAlignment="1" pivotButton="0" quotePrefix="1" xfId="0">
      <alignment horizontal="left"/>
    </xf>
    <xf numFmtId="14" fontId="2" fillId="2" borderId="1" applyAlignment="1" pivotButton="0" quotePrefix="0" xfId="0">
      <alignment vertical="center"/>
    </xf>
    <xf numFmtId="166" fontId="2" fillId="5" borderId="1" applyAlignment="1" pivotButton="0" quotePrefix="0" xfId="0">
      <alignment vertical="top"/>
    </xf>
    <xf numFmtId="0" fontId="2" fillId="5" borderId="1" pivotButton="0" quotePrefix="0" xfId="0"/>
    <xf numFmtId="14" fontId="2" fillId="5" borderId="1" applyAlignment="1" pivotButton="0" quotePrefix="0" xfId="0">
      <alignment vertical="center"/>
    </xf>
    <xf numFmtId="0" fontId="2" fillId="5" borderId="1" applyAlignment="1" pivotButton="0" quotePrefix="0" xfId="0">
      <alignment vertical="center"/>
    </xf>
    <xf numFmtId="14" fontId="2" fillId="0" borderId="1" applyAlignment="1" pivotButton="0" quotePrefix="0" xfId="0">
      <alignment vertical="center" wrapText="1"/>
    </xf>
    <xf numFmtId="166" fontId="10" fillId="0" borderId="1" applyAlignment="1" pivotButton="0" quotePrefix="0" xfId="0">
      <alignment vertical="top"/>
    </xf>
    <xf numFmtId="0" fontId="10" fillId="0" borderId="1" applyAlignment="1" pivotButton="0" quotePrefix="1" xfId="0">
      <alignment horizontal="left"/>
    </xf>
    <xf numFmtId="14" fontId="10" fillId="0" borderId="1" applyAlignment="1" pivotButton="0" quotePrefix="0" xfId="0">
      <alignment vertical="center"/>
    </xf>
    <xf numFmtId="0" fontId="10" fillId="0" borderId="1" applyAlignment="1" pivotButton="0" quotePrefix="0" xfId="0">
      <alignment vertical="center"/>
    </xf>
    <xf numFmtId="0" fontId="0" fillId="0" borderId="4" pivotButton="0" quotePrefix="0" xfId="0"/>
    <xf numFmtId="0" fontId="2" fillId="0" borderId="1" applyAlignment="1" pivotButton="0" quotePrefix="0" xfId="0">
      <alignment horizontal="left" vertical="center"/>
    </xf>
    <xf numFmtId="20" fontId="2" fillId="0" borderId="1" applyAlignment="1" pivotButton="0" quotePrefix="0" xfId="0">
      <alignment vertical="center"/>
    </xf>
    <xf numFmtId="14" fontId="10" fillId="0" borderId="1" applyAlignment="1" pivotButton="0" quotePrefix="1" xfId="0">
      <alignment vertical="center"/>
    </xf>
    <xf numFmtId="0" fontId="10" fillId="0" borderId="1" applyAlignment="1" pivotButton="0" quotePrefix="0" xfId="0">
      <alignment horizontal="left"/>
    </xf>
    <xf numFmtId="14" fontId="10" fillId="0" borderId="1" pivotButton="0" quotePrefix="1" xfId="0"/>
    <xf numFmtId="166" fontId="10" fillId="0" borderId="1" applyAlignment="1" pivotButton="0" quotePrefix="0" xfId="0">
      <alignment horizontal="left" vertical="top"/>
    </xf>
    <xf numFmtId="167" fontId="10" fillId="0" borderId="1" pivotButton="0" quotePrefix="0" xfId="0"/>
    <xf numFmtId="0" fontId="2" fillId="0" borderId="1" applyAlignment="1" pivotButton="0" quotePrefix="0" xfId="0">
      <alignment vertical="center" wrapText="1"/>
    </xf>
    <xf numFmtId="164" fontId="2" fillId="0" borderId="1" applyAlignment="1" pivotButton="0" quotePrefix="0" xfId="2">
      <alignment vertical="center"/>
    </xf>
    <xf numFmtId="2" fontId="2" fillId="0" borderId="1" applyAlignment="1" pivotButton="0" quotePrefix="1" xfId="0">
      <alignment horizontal="left"/>
    </xf>
    <xf numFmtId="167" fontId="10" fillId="0" borderId="1" applyAlignment="1" pivotButton="0" quotePrefix="0" xfId="0">
      <alignment vertical="top"/>
    </xf>
    <xf numFmtId="0" fontId="11" fillId="0" borderId="1" pivotButton="0" quotePrefix="0" xfId="0"/>
    <xf numFmtId="164" fontId="2" fillId="0" borderId="1" pivotButton="0" quotePrefix="0" xfId="0"/>
    <xf numFmtId="9" fontId="2" fillId="0" borderId="1" pivotButton="0" quotePrefix="0" xfId="0"/>
    <xf numFmtId="167" fontId="2" fillId="2" borderId="1" pivotButton="0" quotePrefix="0" xfId="0"/>
    <xf numFmtId="18" fontId="9" fillId="0" borderId="1" pivotButton="0" quotePrefix="0" xfId="0"/>
    <xf numFmtId="18" fontId="6" fillId="0" borderId="1" pivotButton="0" quotePrefix="0" xfId="0"/>
    <xf numFmtId="18" fontId="8" fillId="4" borderId="1" pivotButton="0" quotePrefix="0" xfId="0"/>
    <xf numFmtId="18" fontId="7" fillId="3" borderId="1" pivotButton="0" quotePrefix="0" xfId="0"/>
    <xf numFmtId="167" fontId="10" fillId="0" borderId="1" applyAlignment="1" pivotButton="0" quotePrefix="0" xfId="0">
      <alignment horizontal="left"/>
    </xf>
    <xf numFmtId="166" fontId="10" fillId="0" borderId="1" pivotButton="0" quotePrefix="0" xfId="0"/>
    <xf numFmtId="166" fontId="2" fillId="0" borderId="2" applyAlignment="1" pivotButton="0" quotePrefix="0" xfId="0">
      <alignment vertical="top"/>
    </xf>
    <xf numFmtId="166" fontId="10" fillId="0" borderId="2" applyAlignment="1" pivotButton="0" quotePrefix="0" xfId="0">
      <alignment vertical="top"/>
    </xf>
    <xf numFmtId="0" fontId="0" fillId="0" borderId="0" pivotButton="0" quotePrefix="0" xfId="0"/>
    <xf numFmtId="164" fontId="0" fillId="0" borderId="0" pivotButton="0" quotePrefix="0" xfId="0"/>
    <xf numFmtId="164" fontId="0" fillId="0" borderId="0" pivotButton="0" quotePrefix="0" xfId="2"/>
    <xf numFmtId="166" fontId="10" fillId="0" borderId="1" pivotButton="0" quotePrefix="0" xfId="0"/>
    <xf numFmtId="167" fontId="10" fillId="0" borderId="1" pivotButton="0" quotePrefix="0" xfId="0"/>
    <xf numFmtId="166" fontId="10" fillId="0" borderId="1" applyAlignment="1" pivotButton="0" quotePrefix="0" xfId="0">
      <alignment vertical="top"/>
    </xf>
    <xf numFmtId="167" fontId="10" fillId="0" borderId="1" applyAlignment="1" pivotButton="0" quotePrefix="0" xfId="0">
      <alignment vertical="top"/>
    </xf>
    <xf numFmtId="166" fontId="2" fillId="0" borderId="1" applyAlignment="1" pivotButton="0" quotePrefix="0" xfId="0">
      <alignment vertical="top"/>
    </xf>
    <xf numFmtId="167" fontId="2" fillId="0" borderId="1" pivotButton="0" quotePrefix="0" xfId="0"/>
    <xf numFmtId="166" fontId="2" fillId="0" borderId="2" applyAlignment="1" pivotButton="0" quotePrefix="0" xfId="0">
      <alignment vertical="top"/>
    </xf>
    <xf numFmtId="166" fontId="10" fillId="0" borderId="2" applyAlignment="1" pivotButton="0" quotePrefix="0" xfId="0">
      <alignment vertical="top"/>
    </xf>
    <xf numFmtId="164" fontId="2" fillId="0" borderId="1" applyAlignment="1" pivotButton="0" quotePrefix="0" xfId="0">
      <alignment vertical="center"/>
    </xf>
    <xf numFmtId="165" fontId="2" fillId="0" borderId="1" pivotButton="0" quotePrefix="0" xfId="0"/>
    <xf numFmtId="164" fontId="2" fillId="0" borderId="1" pivotButton="0" quotePrefix="0" xfId="0"/>
    <xf numFmtId="164" fontId="2" fillId="0" borderId="1" applyAlignment="1" pivotButton="0" quotePrefix="0" xfId="2">
      <alignment vertical="center"/>
    </xf>
    <xf numFmtId="166" fontId="2" fillId="0" borderId="1" pivotButton="0" quotePrefix="0" xfId="0"/>
    <xf numFmtId="166" fontId="2" fillId="2" borderId="1" applyAlignment="1" pivotButton="0" quotePrefix="0" xfId="0">
      <alignment vertical="top"/>
    </xf>
    <xf numFmtId="166" fontId="2" fillId="5" borderId="1" applyAlignment="1" pivotButton="0" quotePrefix="0" xfId="0">
      <alignment vertical="top"/>
    </xf>
    <xf numFmtId="167" fontId="2" fillId="2" borderId="1" pivotButton="0" quotePrefix="0" xfId="0"/>
    <xf numFmtId="166" fontId="10" fillId="0" borderId="1" applyAlignment="1" pivotButton="0" quotePrefix="0" xfId="0">
      <alignment horizontal="left" vertical="top"/>
    </xf>
    <xf numFmtId="167" fontId="10" fillId="0" borderId="1" applyAlignment="1" pivotButton="0" quotePrefix="0" xfId="0">
      <alignment horizontal="left"/>
    </xf>
    <xf numFmtId="168" fontId="2" fillId="0" borderId="1" pivotButton="0" quotePrefix="0" xfId="0"/>
    <xf numFmtId="165" fontId="2" fillId="0" borderId="1" applyAlignment="1" pivotButton="0" quotePrefix="0" xfId="0">
      <alignment vertical="center"/>
    </xf>
    <xf numFmtId="164" fontId="0" fillId="0" borderId="0" pivotButton="0" quotePrefix="0" xfId="2"/>
    <xf numFmtId="164" fontId="0" fillId="0" borderId="0" pivotButton="0" quotePrefix="0" xfId="0"/>
  </cellXfs>
  <cellStyles count="4">
    <cellStyle name="Normal" xfId="0" builtinId="0"/>
    <cellStyle name="Hyperlink" xfId="1" builtinId="8"/>
    <cellStyle name="Currency" xfId="2" builtinId="4"/>
    <cellStyle name="food" xfId="3"/>
  </cellStyles>
  <dxfs count="51">
    <dxf>
      <font>
        <name val="Calibri"/>
        <family val="2"/>
        <strike val="0"/>
        <outline val="0"/>
        <shadow val="0"/>
        <condense val="0"/>
        <color theme="1"/>
        <extend val="0"/>
        <sz val="11"/>
        <vertAlign val="baseline"/>
        <scheme val="minor"/>
      </font>
      <numFmt numFmtId="34" formatCode="_(&quot;$&quot;* #,##0.00_);_(&quot;$&quot;* \(#,##0.00\);_(&quot;$&quot;* &quot;-&quot;??_);_(@_)"/>
      <fill>
        <patternFill>
          <fgColor indexed="64"/>
          <bgColor indexed="65"/>
        </patternFill>
      </fill>
      <alignment horizontal="general" vertical="bottom"/>
      <border outline="0">
        <left/>
        <right/>
        <top/>
        <bottom/>
      </border>
      <protection locked="1" hidden="0"/>
    </dxf>
    <dxf>
      <font>
        <name val="Calibri"/>
        <family val="2"/>
        <strike val="0"/>
        <outline val="0"/>
        <shadow val="0"/>
        <condense val="0"/>
        <color theme="1"/>
        <extend val="0"/>
        <sz val="11"/>
        <vertAlign val="baseline"/>
        <scheme val="minor"/>
      </font>
      <numFmt numFmtId="34" formatCode="_(&quot;$&quot;* #,##0.00_);_(&quot;$&quot;* \(#,##0.00\);_(&quot;$&quot;* &quot;-&quot;??_);_(@_)"/>
      <fill>
        <patternFill>
          <fgColor indexed="64"/>
          <bgColor indexed="65"/>
        </patternFill>
      </fill>
      <alignment horizontal="general" vertical="bottom"/>
      <border outline="0">
        <left/>
        <right/>
        <top/>
        <bottom/>
      </border>
      <protection locked="1" hidden="0"/>
    </dxf>
    <dxf>
      <numFmt numFmtId="2" formatCode="0.00"/>
    </dxf>
    <dxf>
      <font>
        <name val="Calibri"/>
        <family val="2"/>
        <strike val="0"/>
        <outline val="0"/>
        <shadow val="0"/>
        <condense val="0"/>
        <color theme="1"/>
        <extend val="0"/>
        <sz val="11"/>
        <vertAlign val="baseline"/>
        <scheme val="minor"/>
      </font>
    </dxf>
    <dxf>
      <font>
        <color rgb="FF006100"/>
      </font>
      <fill>
        <patternFill patternType="solid">
          <bgColor theme="9" tint="0.7999816888943144"/>
        </patternFill>
      </fill>
    </dxf>
    <dxf>
      <font>
        <color rgb="FF006100"/>
      </font>
      <fill>
        <patternFill patternType="solid">
          <bgColor rgb="FFFCF6E1"/>
        </patternFill>
      </fill>
    </dxf>
    <dxf>
      <font>
        <color rgb="FF006100"/>
      </font>
      <fill>
        <patternFill patternType="solid">
          <bgColor theme="9" tint="0.7999816888943144"/>
        </patternFill>
      </fill>
    </dxf>
    <dxf>
      <font>
        <color rgb="FF006100"/>
      </font>
      <fill>
        <patternFill patternType="solid">
          <bgColor rgb="FFFCF6E1"/>
        </patternFill>
      </fill>
    </dxf>
    <dxf>
      <font>
        <i val="1"/>
        <color theme="2" tint="-0.499984740745262"/>
      </font>
      <fill>
        <patternFill patternType="solid">
          <bgColor theme="0" tint="-0.0499893185216834"/>
        </patternFill>
      </fill>
    </dxf>
    <dxf>
      <font>
        <i val="1"/>
        <color theme="9"/>
      </font>
      <fill>
        <patternFill patternType="solid">
          <bgColor theme="4" tint="0.7999816888943144"/>
        </patternFill>
      </fill>
    </dxf>
    <dxf>
      <fill>
        <patternFill>
          <bgColor theme="8" tint="0.7999816888943144"/>
        </patternFill>
      </fill>
    </dxf>
    <dxf>
      <font>
        <color rgb="FF9C5700"/>
      </font>
      <fill>
        <patternFill>
          <bgColor rgb="FFFFEB9C"/>
        </patternFill>
      </fill>
    </dxf>
    <dxf>
      <font>
        <color theme="2" tint="-0.499984740745262"/>
      </font>
      <fill>
        <patternFill>
          <bgColor theme="2" tint="-0.249946592608417"/>
        </patternFill>
      </fill>
    </dxf>
    <dxf>
      <fill>
        <patternFill>
          <bgColor rgb="FF00B0F0"/>
        </patternFill>
      </fill>
    </dxf>
    <dxf>
      <font>
        <color theme="0"/>
      </font>
      <fill>
        <patternFill>
          <bgColor rgb="FF002060"/>
        </patternFill>
      </fill>
    </dxf>
    <dxf>
      <font>
        <color theme="0"/>
      </font>
      <fill>
        <patternFill>
          <bgColor rgb="FF00B0F0"/>
        </patternFill>
      </fill>
    </dxf>
    <dxf>
      <font>
        <color rgb="FF006100"/>
      </font>
      <fill>
        <patternFill patternType="solid">
          <bgColor theme="9" tint="0.7999816888943144"/>
        </patternFill>
      </fill>
    </dxf>
    <dxf>
      <font>
        <color rgb="FF006100"/>
      </font>
      <fill>
        <patternFill patternType="solid">
          <bgColor rgb="FFFCF6E1"/>
        </patternFill>
      </fill>
    </dxf>
    <dxf>
      <font>
        <color rgb="FF006100"/>
      </font>
      <fill>
        <patternFill patternType="solid">
          <bgColor theme="9" tint="0.7999816888943144"/>
        </patternFill>
      </fill>
    </dxf>
    <dxf>
      <font>
        <color rgb="FF006100"/>
      </font>
      <fill>
        <patternFill patternType="solid">
          <bgColor rgb="FFFCF6E1"/>
        </patternFill>
      </fill>
    </dxf>
    <dxf>
      <font>
        <i val="1"/>
        <color theme="2" tint="-0.499984740745262"/>
      </font>
      <fill>
        <patternFill patternType="solid">
          <bgColor theme="0" tint="-0.0499893185216834"/>
        </patternFill>
      </fill>
    </dxf>
    <dxf>
      <font>
        <i val="1"/>
        <color theme="9"/>
      </font>
      <fill>
        <patternFill patternType="solid">
          <bgColor theme="4" tint="0.7999816888943144"/>
        </patternFill>
      </fill>
    </dxf>
    <dxf>
      <fill>
        <patternFill>
          <bgColor theme="8" tint="0.7999816888943144"/>
        </patternFill>
      </fill>
    </dxf>
    <dxf>
      <font>
        <color rgb="FF9C5700"/>
      </font>
      <fill>
        <patternFill>
          <bgColor rgb="FFFFEB9C"/>
        </patternFill>
      </fill>
    </dxf>
    <dxf>
      <font>
        <color theme="2" tint="-0.499984740745262"/>
      </font>
      <fill>
        <patternFill>
          <bgColor theme="2" tint="-0.249946592608417"/>
        </patternFill>
      </fill>
    </dxf>
    <dxf>
      <fill>
        <patternFill>
          <bgColor rgb="FF00B0F0"/>
        </patternFill>
      </fill>
    </dxf>
    <dxf>
      <font>
        <color theme="0"/>
      </font>
      <fill>
        <patternFill>
          <bgColor rgb="FF002060"/>
        </patternFill>
      </fill>
    </dxf>
    <dxf>
      <font>
        <color theme="0"/>
      </font>
      <fill>
        <patternFill>
          <bgColor rgb="FF00B0F0"/>
        </patternFill>
      </fill>
    </dxf>
    <dxf>
      <fill>
        <patternFill>
          <bgColor auto="1"/>
        </patternFill>
      </fill>
    </dxf>
    <dxf>
      <font>
        <name val="Calibri"/>
        <family val="2"/>
        <strike val="0"/>
        <outline val="0"/>
        <shadow val="0"/>
        <condense val="0"/>
        <color theme="1"/>
        <extend val="0"/>
        <sz val="11"/>
        <vertAlign val="baseline"/>
        <scheme val="minor"/>
      </font>
    </dxf>
    <dxf>
      <font>
        <name val="Calibri"/>
        <family val="2"/>
        <strike val="0"/>
        <outline val="0"/>
        <shadow val="0"/>
        <condense val="0"/>
        <color theme="1"/>
        <extend val="0"/>
        <sz val="11"/>
        <vertAlign val="baseline"/>
        <scheme val="minor"/>
      </font>
      <numFmt numFmtId="34" formatCode="_(&quot;$&quot;* #,##0.00_);_(&quot;$&quot;* \(#,##0.00\);_(&quot;$&quot;* &quot;-&quot;??_);_(@_)"/>
    </dxf>
    <dxf>
      <border outline="0">
        <left style="medium">
          <color indexed="64"/>
        </left>
        <right style="medium">
          <color indexed="64"/>
        </right>
        <top style="medium">
          <color indexed="64"/>
        </top>
        <bottom style="medium">
          <color indexed="64"/>
        </bottom>
      </border>
    </dxf>
    <dxf>
      <font>
        <name val="Calibri"/>
        <family val="2"/>
        <strike val="0"/>
        <outline val="0"/>
        <shadow val="0"/>
        <condense val="0"/>
        <color theme="1"/>
        <extend val="0"/>
        <sz val="11"/>
        <vertAlign val="baseline"/>
        <scheme val="minor"/>
      </font>
    </dxf>
    <dxf>
      <numFmt numFmtId="2" formatCode="0.00"/>
    </dxf>
    <dxf>
      <font>
        <color rgb="FF000000"/>
      </font>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fill>
        <patternFill>
          <fgColor indexed="64"/>
          <bgColor indexed="65"/>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numFmt numFmtId="167" formatCode="m/d/yyyy"/>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alignment horizontal="left"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h:mm\ AM/PM;@"/>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numFmt numFmtId="165" formatCode="[$-409]d\-mmm;@"/>
      <border>
        <left/>
        <right style="thin">
          <color indexed="64"/>
        </right>
        <top style="thin">
          <color indexed="64"/>
        </top>
        <bottom style="thin">
          <color indexed="64"/>
        </bottom>
        <vertical style="thin">
          <color indexed="64"/>
        </vertical>
        <horizontal style="thin">
          <color indexed="64"/>
        </horizontal>
      </border>
    </dxf>
    <dxf>
      <border outline="0">
        <right style="thin">
          <color auto="1"/>
        </right>
      </border>
    </dxf>
    <dxf>
      <font>
        <color rgb="FF000000"/>
      </font>
    </dxf>
    <dxf>
      <border outline="0">
        <bottom style="thin">
          <color auto="1"/>
        </bottom>
      </border>
    </dxf>
    <dxf>
      <font>
        <b val="1"/>
        <color rgb="FF000000"/>
      </font>
      <border>
        <left style="thin">
          <color indexed="64"/>
        </left>
        <right style="thin">
          <color indexed="64"/>
        </right>
        <top/>
        <bottom/>
        <vertical style="thin">
          <color indexed="64"/>
        </vertical>
        <horizontal style="thin">
          <color indexed="64"/>
        </horizontal>
      </border>
    </dxf>
    <dxf>
      <border>
        <left style="thick">
          <color auto="1"/>
        </left>
        <right style="thick">
          <color auto="1"/>
        </right>
        <top style="thick">
          <color auto="1"/>
        </top>
        <bottom style="thick">
          <color auto="1"/>
        </bottom>
      </border>
    </dxf>
    <dxf>
      <border>
        <left style="thin">
          <color auto="1"/>
        </left>
        <right style="thin">
          <color auto="1"/>
        </right>
        <top style="thin">
          <color auto="1"/>
        </top>
        <bottom style="thin">
          <color auto="1"/>
        </bottom>
        <vertical/>
        <horizontal/>
      </border>
    </dxf>
  </dxfs>
  <tableStyles count="1" defaultTableStyle="TableStyleMedium2" defaultPivotStyle="PivotStyleLight16">
    <tableStyle name="Table Style 1" pivot="0" count="2">
      <tableStyleElement type="wholeTable" dxfId="50"/>
      <tableStyleElement type="firstColumnStripe" dxfId="4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ItmPur2025" displayName="ItmPur2025" ref="A1:K4356" headerRowCount="1" insertRowShift="1" totalsRowShown="0" headerRowDxfId="48" dataDxfId="46" headerRowBorderDxfId="47" tableBorderDxfId="45">
  <autoFilter ref="A1:K4356"/>
  <sortState ref="A2:K4356">
    <sortCondition descending="1" ref="A1:A4356"/>
    <sortCondition descending="1" ref="B1:B4356"/>
    <sortCondition ref="F1:F4356"/>
  </sortState>
  <tableColumns count="11">
    <tableColumn id="1" name="Date" dataDxfId="44"/>
    <tableColumn id="2" name="Time" dataDxfId="43"/>
    <tableColumn id="3" name="Location" dataDxfId="42"/>
    <tableColumn id="4" name="Online" dataDxfId="41"/>
    <tableColumn id="5" name="InStore" dataDxfId="40"/>
    <tableColumn id="8" name="OrderTransID_ReceiptID" dataDxfId="39"/>
    <tableColumn id="9" name="ItemID" dataDxfId="38"/>
    <tableColumn id="10" name="Item" dataDxfId="37"/>
    <tableColumn id="11" name="Qty" dataDxfId="36"/>
    <tableColumn id="27" name="Qty_units" dataDxfId="35"/>
    <tableColumn id="12" name="PriceRaw" dataDxfId="34"/>
  </tableColumns>
  <tableStyleInfo name="Table Style 1" showFirstColumn="0" showLastColumn="0" showRowStripes="1" showColumnStripes="0"/>
</table>
</file>

<file path=xl/tables/table2.xml><?xml version="1.0" encoding="utf-8"?>
<table xmlns="http://schemas.openxmlformats.org/spreadsheetml/2006/main" id="2" name="Table31" displayName="Table31" ref="A1:H76" headerRowCount="1" totalsRowCount="1">
  <autoFilter ref="A1:H75"/>
  <sortState ref="A2:H72">
    <sortCondition ref="A1:A75"/>
  </sortState>
  <tableColumns count="8">
    <tableColumn id="1" name="Code" totalsRowLabel="Total"/>
    <tableColumn id="2" name="Meal Name"/>
    <tableColumn id="3" name="Ingredient"/>
    <tableColumn id="4" name="Qt" dataDxfId="33" totalsRowDxfId="2"/>
    <tableColumn id="5" name="Unit"/>
    <tableColumn id="6" name="Total"/>
    <tableColumn id="7" name="CostTot" totalsRowFunction="sum" dataDxfId="32" totalsRowDxfId="1" dataCellStyle="Currency"/>
    <tableColumn id="8" name="CostQt" totalsRowFunction="sum" dataDxfId="3" totalsRowDxfId="0" dataCellStyle="Currency">
      <calculatedColumnFormula>IFERROR(D2/F2*G2,0)</calculatedColumnFormula>
    </tableColumn>
  </tableColumns>
  <tableStyleInfo name="Table Style 1" showFirstColumn="0" showLastColumn="0" showRowStripes="1" showColumnStripes="1"/>
</table>
</file>

<file path=xl/tables/table3.xml><?xml version="1.0" encoding="utf-8"?>
<table xmlns="http://schemas.openxmlformats.org/spreadsheetml/2006/main" id="3" name="Table322" displayName="Table322" ref="A1:E7" headerRowCount="1" totalsRowShown="0" tableBorderDxfId="31">
  <autoFilter ref="A1:E7"/>
  <tableColumns count="5">
    <tableColumn id="1" name="Code"/>
    <tableColumn id="2" name="Meal Name"/>
    <tableColumn id="3" name="Total Meal Cost" dataDxfId="30" dataCellStyle="Currency">
      <calculatedColumnFormula>SUMIF(ingredients!A:A,A2,ingredients!H:H)</calculatedColumnFormula>
    </tableColumn>
    <tableColumn id="4" name="Servings"/>
    <tableColumn id="5" name="Cost/Serving" dataDxfId="29" dataCellStyle="Currency">
      <calculatedColumnFormula>C2/D2</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2@%20Land%20o%20lakes%20half%20sticks%208%20cnt" TargetMode="External" Id="rId1" /><Relationship Type="http://schemas.openxmlformats.org/officeDocument/2006/relationships/hyperlink" Target="mailto:2@%20Signature%20Select%20Stewed%20Mexican%20Tomatoes%2014.5%20Ounce" TargetMode="External" Id="rId2" /><Relationship Type="http://schemas.openxmlformats.org/officeDocument/2006/relationships/hyperlink" Target="mailto:2@%20Daisy%20Sour%20Cream%20Squeeze%20Tube" TargetMode="External" Id="rId3" /><Relationship Type="http://schemas.openxmlformats.org/officeDocument/2006/relationships/hyperlink" Target="mailto:2@%20Christopher%20Ranch%20Crushed%20Ginger%20Jars" TargetMode="External" Id="rId4" /><Relationship Type="http://schemas.openxmlformats.org/officeDocument/2006/relationships/hyperlink" Target="mailto:5.9@" TargetMode="External" Id="rId5" /><Relationship Type="http://schemas.openxmlformats.org/officeDocument/2006/relationships/hyperlink" Target="mailto:2@%20Signature%20Drinking%20Water%20Bottles" TargetMode="External" Id="rId6" /><Relationship Type="http://schemas.openxmlformats.org/officeDocument/2006/relationships/hyperlink" Target="mailto:3@%20Signature%20Select%20Pizza%20Dough" TargetMode="External" Id="rId7" /><Relationship Type="http://schemas.openxmlformats.org/officeDocument/2006/relationships/hyperlink" Target="mailto:2@%20Imagine%20Brother%20Chicken%20Stock,%2032%20fl%20oz%20each" TargetMode="External" Id="rId8" /><Relationship Type="http://schemas.openxmlformats.org/officeDocument/2006/relationships/table" Target="/xl/tables/table1.xml" Id="rId9"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Q4356"/>
  <sheetViews>
    <sheetView zoomScale="87" zoomScaleNormal="100" workbookViewId="0">
      <selection activeCell="L1" sqref="L1:R1048576"/>
    </sheetView>
  </sheetViews>
  <sheetFormatPr baseColWidth="10" defaultColWidth="9.1640625" defaultRowHeight="15" customHeight="1"/>
  <cols>
    <col width="7.33203125" bestFit="1" customWidth="1" style="77" min="1" max="1"/>
    <col width="11.83203125" bestFit="1" customWidth="1" style="78" min="2" max="2"/>
    <col width="12.6640625" customWidth="1" style="35" min="3" max="3"/>
    <col width="9.33203125" customWidth="1" style="35" min="4" max="4"/>
    <col width="9.5" bestFit="1" customWidth="1" style="35" min="5" max="5"/>
    <col width="18.33203125" customWidth="1" style="35" min="6" max="6"/>
    <col width="19" customWidth="1" style="35" min="7" max="7"/>
    <col width="44" customWidth="1" style="35" min="8" max="8"/>
    <col width="5.6640625" customWidth="1" style="35" min="9" max="9"/>
    <col width="9.83203125" customWidth="1" style="35" min="10" max="10"/>
    <col width="12.1640625" customWidth="1" style="35" min="11" max="11"/>
    <col width="9.1640625" customWidth="1" style="35" min="12" max="17"/>
    <col width="10.33203125" bestFit="1" customWidth="1" style="35" min="18" max="18"/>
    <col width="9.1640625" customWidth="1" style="35" min="19" max="19"/>
    <col width="9.1640625" customWidth="1" style="35" min="20" max="16384"/>
  </cols>
  <sheetData>
    <row r="1">
      <c r="A1" s="79" t="inlineStr">
        <is>
          <t>Date</t>
        </is>
      </c>
      <c r="B1" s="80" t="inlineStr">
        <is>
          <t>Time</t>
        </is>
      </c>
      <c r="C1" s="35" t="inlineStr">
        <is>
          <t>Location</t>
        </is>
      </c>
      <c r="D1" s="35" t="inlineStr">
        <is>
          <t>Online</t>
        </is>
      </c>
      <c r="E1" s="35" t="inlineStr">
        <is>
          <t>InStore</t>
        </is>
      </c>
      <c r="F1" s="54" t="inlineStr">
        <is>
          <t>OrderTransID_ReceiptID</t>
        </is>
      </c>
      <c r="G1" s="35" t="inlineStr">
        <is>
          <t>ItemID</t>
        </is>
      </c>
      <c r="H1" s="49" t="inlineStr">
        <is>
          <t>Item</t>
        </is>
      </c>
      <c r="I1" s="35" t="inlineStr">
        <is>
          <t>Qty</t>
        </is>
      </c>
      <c r="J1" s="35" t="inlineStr">
        <is>
          <t>Qty_units</t>
        </is>
      </c>
      <c r="K1" s="35" t="inlineStr">
        <is>
          <t>PriceRaw</t>
        </is>
      </c>
    </row>
    <row r="2" customFormat="1" s="4">
      <c r="A2" s="81" t="n">
        <v>46022</v>
      </c>
      <c r="B2" s="82" t="n">
        <v>0.2916666666666667</v>
      </c>
      <c r="C2" s="5" t="inlineStr">
        <is>
          <t>Amazon</t>
        </is>
      </c>
      <c r="D2" s="5" t="n">
        <v>1</v>
      </c>
      <c r="E2" s="5" t="n"/>
      <c r="F2" s="6" t="inlineStr">
        <is>
          <t>111-8892052-0363409</t>
        </is>
      </c>
      <c r="G2" s="10" t="n"/>
      <c r="H2" s="9" t="inlineStr">
        <is>
          <t xml:space="preserve">
TAGMORE M12X1.5 Lug Nuts - 20pcs OEM Wheel Lug Nuts Compatible with 2009-18 Focus/2012-18 Fusion/2013-2020 Escape/2018+ EcoSport/2011-19 Fiesta, Chrome Acorn Wheel Nuts</t>
        </is>
      </c>
      <c r="I2" s="9" t="n"/>
      <c r="J2" s="9" t="n"/>
      <c r="K2" s="9" t="n">
        <v>19.99</v>
      </c>
    </row>
    <row r="3" customFormat="1" s="4">
      <c r="A3" s="81" t="n">
        <v>46022</v>
      </c>
      <c r="B3" s="82" t="n">
        <v>0.2916666666666667</v>
      </c>
      <c r="C3" s="5" t="inlineStr">
        <is>
          <t>Amazon</t>
        </is>
      </c>
      <c r="D3" s="5" t="n">
        <v>1</v>
      </c>
      <c r="E3" s="5" t="n"/>
      <c r="F3" s="6" t="inlineStr">
        <is>
          <t>111-8892052-0363409</t>
        </is>
      </c>
      <c r="G3" s="10" t="n"/>
      <c r="H3" s="9" t="inlineStr">
        <is>
          <t>Sales Tax</t>
        </is>
      </c>
      <c r="I3" s="9" t="n"/>
      <c r="J3" s="9" t="n"/>
      <c r="K3" s="9" t="n">
        <v>1.6</v>
      </c>
    </row>
    <row r="4" customFormat="1" s="4">
      <c r="A4" s="81" t="n">
        <v>46022</v>
      </c>
      <c r="B4" s="78" t="n">
        <v>0.2916666666666667</v>
      </c>
      <c r="C4" s="5" t="inlineStr">
        <is>
          <t>CollegeInvest</t>
        </is>
      </c>
      <c r="D4" s="5" t="n">
        <v>1</v>
      </c>
      <c r="E4" s="5" t="n"/>
      <c r="F4" s="6" t="n"/>
      <c r="G4" s="15" t="n"/>
      <c r="H4" s="9" t="inlineStr">
        <is>
          <t>Isabella first semester success gift! $550 =  ($90/A)(6 A) + ($5/Pass)(2 Pass)</t>
        </is>
      </c>
      <c r="I4" s="9" t="n"/>
      <c r="J4" s="9" t="n"/>
      <c r="K4" s="9" t="n">
        <v>550</v>
      </c>
    </row>
    <row r="5" customFormat="1" s="4">
      <c r="A5" s="81" t="n">
        <v>46021</v>
      </c>
      <c r="B5" s="82" t="n">
        <v>0.8333333333333334</v>
      </c>
      <c r="C5" s="5" t="inlineStr">
        <is>
          <t>Allegacy FCU</t>
        </is>
      </c>
      <c r="D5" s="5" t="n">
        <v>1</v>
      </c>
      <c r="E5" s="5" t="n"/>
      <c r="F5" s="6" t="n"/>
      <c r="G5" s="10" t="n"/>
      <c r="H5" s="9" t="inlineStr">
        <is>
          <t>Hong Kong Station reimbursement</t>
        </is>
      </c>
      <c r="I5" s="9" t="n">
        <v>1</v>
      </c>
      <c r="J5" s="9" t="inlineStr">
        <is>
          <t>cnt</t>
        </is>
      </c>
      <c r="K5" s="9" t="n">
        <v>-130</v>
      </c>
    </row>
    <row r="6" customFormat="1" s="4">
      <c r="A6" s="81" t="n">
        <v>46021</v>
      </c>
      <c r="B6" s="82" t="n">
        <v>0.7104166666666667</v>
      </c>
      <c r="C6" s="5" t="inlineStr">
        <is>
          <t>Hong Kong Station</t>
        </is>
      </c>
      <c r="D6" s="5" t="n">
        <v>1</v>
      </c>
      <c r="E6" s="5" t="n"/>
      <c r="F6" s="6" t="inlineStr">
        <is>
          <t>#142</t>
        </is>
      </c>
      <c r="G6" s="10" t="inlineStr">
        <is>
          <t>#17</t>
        </is>
      </c>
      <c r="H6" s="9" t="inlineStr">
        <is>
          <t>Orange chicken</t>
        </is>
      </c>
      <c r="I6" s="9" t="n"/>
      <c r="J6" s="9" t="n"/>
      <c r="K6" s="9" t="n">
        <v>15.95</v>
      </c>
    </row>
    <row r="7" customFormat="1" s="4">
      <c r="A7" s="81" t="n">
        <v>46021</v>
      </c>
      <c r="B7" s="82" t="n">
        <v>0.7104166666666667</v>
      </c>
      <c r="C7" s="5" t="inlineStr">
        <is>
          <t>Hong Kong Station</t>
        </is>
      </c>
      <c r="D7" s="5" t="n">
        <v>1</v>
      </c>
      <c r="E7" s="5" t="n"/>
      <c r="F7" s="6" t="inlineStr">
        <is>
          <t>#142</t>
        </is>
      </c>
      <c r="G7" s="10" t="inlineStr">
        <is>
          <t>#01</t>
        </is>
      </c>
      <c r="H7" s="9" t="inlineStr">
        <is>
          <t>Beef Chao Fan</t>
        </is>
      </c>
      <c r="I7" s="9" t="n"/>
      <c r="J7" s="9" t="n"/>
      <c r="K7" s="9" t="n">
        <v>16.95</v>
      </c>
    </row>
    <row r="8" customFormat="1" s="4">
      <c r="A8" s="83" t="n">
        <v>46021</v>
      </c>
      <c r="B8" s="82" t="n">
        <v>0.7104166666666667</v>
      </c>
      <c r="C8" s="5" t="inlineStr">
        <is>
          <t>Hong Kong Station</t>
        </is>
      </c>
      <c r="D8" s="5" t="n">
        <v>1</v>
      </c>
      <c r="E8" s="5" t="n"/>
      <c r="F8" s="6" t="inlineStr">
        <is>
          <t>#142</t>
        </is>
      </c>
      <c r="G8" s="10" t="inlineStr">
        <is>
          <t>#07</t>
        </is>
      </c>
      <c r="H8" s="9" t="inlineStr">
        <is>
          <t>Salt and Pepper Tofu</t>
        </is>
      </c>
      <c r="I8" s="9" t="n"/>
      <c r="J8" s="9" t="n"/>
      <c r="K8" s="9" t="n">
        <v>15.95</v>
      </c>
    </row>
    <row r="9" customFormat="1" s="4">
      <c r="A9" s="81" t="n">
        <v>46021</v>
      </c>
      <c r="B9" s="82" t="n">
        <v>0.7104166666666667</v>
      </c>
      <c r="C9" s="5" t="inlineStr">
        <is>
          <t>Hong Kong Station</t>
        </is>
      </c>
      <c r="D9" s="5" t="n">
        <v>1</v>
      </c>
      <c r="E9" s="5" t="n"/>
      <c r="F9" s="6" t="inlineStr">
        <is>
          <t>#142</t>
        </is>
      </c>
      <c r="G9" s="10" t="inlineStr">
        <is>
          <t>#14</t>
        </is>
      </c>
      <c r="H9" s="9" t="inlineStr">
        <is>
          <t>Salt and Pepper Shrimp (no head!)</t>
        </is>
      </c>
      <c r="I9" s="9" t="n"/>
      <c r="J9" s="9" t="n"/>
      <c r="K9" s="9" t="n">
        <v>17.95</v>
      </c>
    </row>
    <row r="10" customFormat="1" s="4">
      <c r="A10" s="83" t="n">
        <v>46021</v>
      </c>
      <c r="B10" s="82" t="n">
        <v>0.7104166666666667</v>
      </c>
      <c r="C10" s="5" t="inlineStr">
        <is>
          <t>Hong Kong Station</t>
        </is>
      </c>
      <c r="D10" s="5" t="n">
        <v>1</v>
      </c>
      <c r="E10" s="5" t="n"/>
      <c r="F10" s="6" t="inlineStr">
        <is>
          <t>#142</t>
        </is>
      </c>
      <c r="G10" s="10" t="inlineStr">
        <is>
          <t>#28</t>
        </is>
      </c>
      <c r="H10" s="9" t="inlineStr">
        <is>
          <t>Garlic Yu Choy</t>
        </is>
      </c>
      <c r="I10" s="9" t="n"/>
      <c r="J10" s="9" t="n"/>
      <c r="K10" s="9" t="n">
        <v>15.95</v>
      </c>
    </row>
    <row r="11" customFormat="1" s="4">
      <c r="A11" s="83" t="n">
        <v>46021</v>
      </c>
      <c r="B11" s="82" t="n">
        <v>0.7104166666666667</v>
      </c>
      <c r="C11" s="5" t="inlineStr">
        <is>
          <t>Hong Kong Station</t>
        </is>
      </c>
      <c r="D11" s="5" t="n">
        <v>1</v>
      </c>
      <c r="E11" s="5" t="n"/>
      <c r="F11" s="6" t="inlineStr">
        <is>
          <t>#142</t>
        </is>
      </c>
      <c r="G11" s="10" t="n"/>
      <c r="H11" s="9" t="inlineStr">
        <is>
          <t>Eggplant in Garlic Sauce (contains minced pork)</t>
        </is>
      </c>
      <c r="I11" s="9" t="n"/>
      <c r="J11" s="9" t="n"/>
      <c r="K11" s="9" t="n">
        <v>17.95</v>
      </c>
    </row>
    <row r="12" customFormat="1" s="4">
      <c r="A12" s="83" t="n">
        <v>46021</v>
      </c>
      <c r="B12" s="82" t="n">
        <v>0.7104166666666667</v>
      </c>
      <c r="C12" s="5" t="inlineStr">
        <is>
          <t>Hong Kong Station</t>
        </is>
      </c>
      <c r="D12" s="5" t="n">
        <v>1</v>
      </c>
      <c r="E12" s="5" t="n"/>
      <c r="F12" s="6" t="inlineStr">
        <is>
          <t>#142</t>
        </is>
      </c>
      <c r="G12" s="10" t="inlineStr">
        <is>
          <t>#06</t>
        </is>
      </c>
      <c r="H12" s="9" t="inlineStr">
        <is>
          <t>Szechuan style spicy chicken (bone in)</t>
        </is>
      </c>
      <c r="I12" s="9" t="n"/>
      <c r="J12" s="9" t="n"/>
      <c r="K12" s="9" t="n">
        <v>17.95</v>
      </c>
    </row>
    <row r="13" customFormat="1" s="4">
      <c r="A13" s="83" t="n">
        <v>46021</v>
      </c>
      <c r="B13" s="82" t="n">
        <v>0.7104166666666667</v>
      </c>
      <c r="C13" s="5" t="inlineStr">
        <is>
          <t>Hong Kong Station</t>
        </is>
      </c>
      <c r="D13" s="5" t="n">
        <v>1</v>
      </c>
      <c r="E13" s="5" t="n"/>
      <c r="F13" s="6" t="inlineStr">
        <is>
          <t>#142</t>
        </is>
      </c>
      <c r="G13" s="10" t="n"/>
      <c r="H13" s="9" t="inlineStr">
        <is>
          <t>5 White Rice</t>
        </is>
      </c>
      <c r="I13" s="9" t="n"/>
      <c r="J13" s="9" t="n"/>
      <c r="K13" s="9" t="n">
        <v>0</v>
      </c>
    </row>
    <row r="14" customFormat="1" s="4">
      <c r="A14" s="83" t="n">
        <v>46021</v>
      </c>
      <c r="B14" s="82" t="n">
        <v>0.7104166666666667</v>
      </c>
      <c r="C14" s="5" t="inlineStr">
        <is>
          <t>Hong Kong Station</t>
        </is>
      </c>
      <c r="D14" s="5" t="n">
        <v>1</v>
      </c>
      <c r="E14" s="5" t="n"/>
      <c r="F14" s="6" t="inlineStr">
        <is>
          <t>#142</t>
        </is>
      </c>
      <c r="G14" s="10" t="n"/>
      <c r="H14" s="9" t="inlineStr">
        <is>
          <t>Convenience Fee</t>
        </is>
      </c>
      <c r="I14" s="9" t="n"/>
      <c r="J14" s="9" t="n"/>
      <c r="K14" s="9" t="n">
        <v>1</v>
      </c>
    </row>
    <row r="15" customFormat="1" s="4">
      <c r="A15" s="83" t="n">
        <v>46021</v>
      </c>
      <c r="B15" s="82" t="n">
        <v>0.7104166666666667</v>
      </c>
      <c r="C15" s="5" t="inlineStr">
        <is>
          <t>Hong Kong Station</t>
        </is>
      </c>
      <c r="D15" s="5" t="n">
        <v>1</v>
      </c>
      <c r="E15" s="5" t="n"/>
      <c r="F15" s="6" t="inlineStr">
        <is>
          <t>#142</t>
        </is>
      </c>
      <c r="G15" s="10" t="n"/>
      <c r="H15" s="9" t="inlineStr">
        <is>
          <t>Tax</t>
        </is>
      </c>
      <c r="I15" s="9" t="n"/>
      <c r="J15" s="9" t="n"/>
      <c r="K15" s="9" t="n">
        <v>8.01</v>
      </c>
    </row>
    <row r="16" customFormat="1" s="4">
      <c r="A16" s="83" t="n">
        <v>46021</v>
      </c>
      <c r="B16" s="82" t="n"/>
      <c r="C16" s="5" t="inlineStr">
        <is>
          <t>Pottery Barn</t>
        </is>
      </c>
      <c r="D16" s="5" t="n">
        <v>1</v>
      </c>
      <c r="E16" s="5" t="n"/>
      <c r="F16" s="6" t="inlineStr">
        <is>
          <t>353142751315</t>
        </is>
      </c>
      <c r="G16" s="10" t="n"/>
      <c r="H16" s="9" t="inlineStr">
        <is>
          <t>Mary Wu Christmas gift to Tovi (blanket cover)</t>
        </is>
      </c>
      <c r="I16" s="9" t="n">
        <v>1</v>
      </c>
      <c r="J16" s="9" t="inlineStr">
        <is>
          <t>cnt</t>
        </is>
      </c>
      <c r="K16" s="9" t="n">
        <v>-81.45999999999999</v>
      </c>
    </row>
    <row r="17" customFormat="1" s="4">
      <c r="A17" s="83" t="n">
        <v>46021</v>
      </c>
      <c r="B17" s="82" t="n"/>
      <c r="C17" s="5" t="inlineStr">
        <is>
          <t>Amazon</t>
        </is>
      </c>
      <c r="D17" s="5" t="n">
        <v>1</v>
      </c>
      <c r="E17" s="5" t="n"/>
      <c r="F17" s="6" t="inlineStr">
        <is>
          <t>GMCB-250121-1191665</t>
        </is>
      </c>
      <c r="G17" s="10" t="n"/>
      <c r="H17" s="9" t="inlineStr">
        <is>
          <t>**PENDING** Lydia Placeholder for GM 'retirement' gift &gt;w&lt;</t>
        </is>
      </c>
      <c r="I17" s="9" t="n">
        <v>4</v>
      </c>
      <c r="J17" s="9" t="inlineStr">
        <is>
          <t>cnt</t>
        </is>
      </c>
      <c r="K17" s="9">
        <f>280-105-83</f>
        <v/>
      </c>
    </row>
    <row r="18" customFormat="1" s="4">
      <c r="A18" s="83" t="n">
        <v>46021</v>
      </c>
      <c r="B18" s="82" t="n"/>
      <c r="C18" s="5" t="inlineStr">
        <is>
          <t>BELLA Health + Wellness</t>
        </is>
      </c>
      <c r="D18" s="5" t="n">
        <v>1</v>
      </c>
      <c r="E18" s="5" t="n"/>
      <c r="F18" s="6" t="n"/>
      <c r="G18" s="15" t="n"/>
      <c r="H18" s="9" t="inlineStr">
        <is>
          <t>10/27 Tovi Bilirubin visit ft. Drew Miller, PA</t>
        </is>
      </c>
      <c r="I18" s="9" t="n">
        <v>1</v>
      </c>
      <c r="J18" s="9" t="inlineStr">
        <is>
          <t>cnt</t>
        </is>
      </c>
      <c r="K18" s="9" t="n">
        <v>478</v>
      </c>
    </row>
    <row r="19" customFormat="1" s="4">
      <c r="A19" s="83" t="n">
        <v>46021</v>
      </c>
      <c r="B19" s="78" t="n"/>
      <c r="C19" s="5" t="inlineStr">
        <is>
          <t>Urgent Care Solutions GLE</t>
        </is>
      </c>
      <c r="D19" s="5" t="n">
        <v>1</v>
      </c>
      <c r="E19" s="5" t="n"/>
      <c r="F19" s="6" t="n"/>
      <c r="G19" s="15" t="inlineStr">
        <is>
          <t>2025258BU0560</t>
        </is>
      </c>
      <c r="H19" s="9" t="inlineStr">
        <is>
          <t>9/7 Elisheva throw-up/diarrhea urgent care visit</t>
        </is>
      </c>
      <c r="I19" s="5" t="n">
        <v>1</v>
      </c>
      <c r="J19" s="5" t="inlineStr">
        <is>
          <t>cnt</t>
        </is>
      </c>
      <c r="K19" s="5" t="n">
        <v>117.06</v>
      </c>
    </row>
    <row r="20" customFormat="1" s="4">
      <c r="A20" s="84" t="n">
        <v>46021</v>
      </c>
      <c r="B20" s="78" t="n"/>
      <c r="C20" s="35" t="inlineStr">
        <is>
          <t>Labcorp OnDemand</t>
        </is>
      </c>
      <c r="D20" s="35" t="n"/>
      <c r="E20" s="35" t="n"/>
      <c r="F20" s="47" t="n"/>
      <c r="G20" s="48" t="inlineStr">
        <is>
          <t>2025115BI1381</t>
        </is>
      </c>
      <c r="H20" s="49" t="inlineStr">
        <is>
          <t>4/17 Lydia prenatal urine culture</t>
        </is>
      </c>
      <c r="I20" s="49" t="n">
        <v>1</v>
      </c>
      <c r="J20" s="49" t="inlineStr">
        <is>
          <t>cnt</t>
        </is>
      </c>
      <c r="K20" s="49" t="n">
        <v>14.71</v>
      </c>
    </row>
    <row r="21" customFormat="1" s="4">
      <c r="A21" s="83" t="n">
        <v>46021</v>
      </c>
      <c r="B21" s="78" t="n"/>
      <c r="C21" s="5" t="n"/>
      <c r="D21" s="5" t="n"/>
      <c r="E21" s="5" t="n"/>
      <c r="F21" s="6" t="n"/>
      <c r="G21" s="15" t="n"/>
      <c r="H21" s="9" t="inlineStr">
        <is>
          <t>PLACEHOLDER: gate for sheva (100)</t>
        </is>
      </c>
      <c r="I21" s="9" t="n"/>
      <c r="J21" s="9" t="n"/>
      <c r="K21" s="9" t="n">
        <v>100</v>
      </c>
    </row>
    <row r="22" customFormat="1" s="4">
      <c r="A22" s="83" t="n">
        <v>46021</v>
      </c>
      <c r="B22" s="82" t="n"/>
      <c r="C22" s="5" t="n"/>
      <c r="D22" s="5" t="n"/>
      <c r="E22" s="5" t="n"/>
      <c r="F22" s="6" t="n"/>
      <c r="G22" s="10" t="n"/>
      <c r="H22" s="9" t="inlineStr">
        <is>
          <t>Gift from Mary and Joseph Wu</t>
        </is>
      </c>
      <c r="I22" s="9" t="n">
        <v>1</v>
      </c>
      <c r="J22" s="9" t="inlineStr">
        <is>
          <t>cnt</t>
        </is>
      </c>
      <c r="K22" s="9" t="n">
        <v>-79.98999999999999</v>
      </c>
    </row>
    <row r="23" customFormat="1" s="4">
      <c r="A23" s="83" t="n">
        <v>46020</v>
      </c>
      <c r="B23" s="82" t="n">
        <v>0.4097222222222222</v>
      </c>
      <c r="C23" s="5" t="inlineStr">
        <is>
          <t>StackSocial</t>
        </is>
      </c>
      <c r="D23" s="5" t="n">
        <v>1</v>
      </c>
      <c r="E23" s="5" t="n"/>
      <c r="F23" s="6" t="inlineStr">
        <is>
          <t>24804740</t>
        </is>
      </c>
      <c r="G23" s="15" t="inlineStr">
        <is>
          <t>G4BB6-MPYWP-VKYPB-JMTDD-NV9JK</t>
        </is>
      </c>
      <c r="H23" s="9" t="inlineStr">
        <is>
          <t>Microsoft Windows 11 -- 2021 Office Suite</t>
        </is>
      </c>
      <c r="I23" s="5" t="n">
        <v>1</v>
      </c>
      <c r="J23" s="5" t="inlineStr">
        <is>
          <t>cnt</t>
        </is>
      </c>
      <c r="K23" s="85" t="n">
        <v>34.97</v>
      </c>
    </row>
    <row r="24" customFormat="1" s="4">
      <c r="A24" s="83" t="n">
        <v>46020</v>
      </c>
      <c r="B24" s="82" t="n">
        <v>0.4097222222222222</v>
      </c>
      <c r="C24" s="5" t="inlineStr">
        <is>
          <t>StackSocial</t>
        </is>
      </c>
      <c r="D24" s="5" t="n">
        <v>1</v>
      </c>
      <c r="E24" s="5" t="n"/>
      <c r="F24" s="6" t="inlineStr">
        <is>
          <t>24804740</t>
        </is>
      </c>
      <c r="G24" s="15" t="n"/>
      <c r="H24" s="9" t="inlineStr">
        <is>
          <t xml:space="preserve">Handling </t>
        </is>
      </c>
      <c r="I24" s="5" t="n"/>
      <c r="J24" s="5" t="n"/>
      <c r="K24" s="85" t="n">
        <v>1.99</v>
      </c>
    </row>
    <row r="25" customFormat="1" s="4">
      <c r="A25" s="83" t="n">
        <v>46020</v>
      </c>
      <c r="B25" s="82" t="n">
        <v>0.4097222222222222</v>
      </c>
      <c r="C25" s="5" t="inlineStr">
        <is>
          <t>StackSocial</t>
        </is>
      </c>
      <c r="D25" s="5" t="n">
        <v>1</v>
      </c>
      <c r="E25" s="5" t="n"/>
      <c r="F25" s="6" t="inlineStr">
        <is>
          <t>24804740</t>
        </is>
      </c>
      <c r="G25" s="15" t="n"/>
      <c r="H25" s="9" t="inlineStr">
        <is>
          <t>Tax</t>
        </is>
      </c>
      <c r="I25" s="5" t="n">
        <v>1</v>
      </c>
      <c r="J25" s="5" t="inlineStr">
        <is>
          <t>cnt</t>
        </is>
      </c>
      <c r="K25" s="85" t="n">
        <v>3.2</v>
      </c>
    </row>
    <row r="26" customFormat="1" s="4">
      <c r="A26" s="83" t="n">
        <v>46020</v>
      </c>
      <c r="B26" s="82" t="n"/>
      <c r="C26" s="5" t="n"/>
      <c r="D26" s="5" t="n"/>
      <c r="E26" s="5" t="n"/>
      <c r="F26" s="6" t="n"/>
      <c r="G26" s="10" t="n"/>
      <c r="H26" s="9" t="n"/>
      <c r="I26" s="9" t="n"/>
      <c r="J26" s="9" t="n"/>
      <c r="K26" s="9" t="n"/>
    </row>
    <row r="27" customFormat="1" s="4">
      <c r="A27" s="83" t="n">
        <v>46019</v>
      </c>
      <c r="B27" s="82" t="n"/>
      <c r="C27" s="5" t="n"/>
      <c r="D27" s="5" t="n"/>
      <c r="E27" s="5" t="n"/>
      <c r="F27" s="6" t="n"/>
      <c r="G27" s="10" t="n"/>
      <c r="H27" s="9" t="n"/>
      <c r="I27" s="9" t="n"/>
      <c r="J27" s="9" t="n"/>
      <c r="K27" s="9" t="n"/>
    </row>
    <row r="28" customFormat="1" s="4">
      <c r="A28" s="83" t="n">
        <v>46018</v>
      </c>
      <c r="B28" s="82" t="n"/>
      <c r="C28" s="5" t="n"/>
      <c r="D28" s="5" t="n"/>
      <c r="E28" s="5" t="n"/>
      <c r="F28" s="6" t="n"/>
      <c r="G28" s="10" t="n"/>
      <c r="H28" s="9" t="n"/>
      <c r="I28" s="9" t="n"/>
      <c r="J28" s="9" t="n"/>
      <c r="K28" s="9" t="n"/>
    </row>
    <row r="29" customFormat="1" s="4">
      <c r="A29" s="83" t="n">
        <v>46017</v>
      </c>
      <c r="B29" s="82" t="n">
        <v>0.4180555555555556</v>
      </c>
      <c r="C29" s="5" t="inlineStr">
        <is>
          <t>Speedway</t>
        </is>
      </c>
      <c r="D29" s="5" t="n"/>
      <c r="E29" s="5" t="n">
        <v>1</v>
      </c>
      <c r="F29" s="6" t="n"/>
      <c r="G29" s="10" t="n"/>
      <c r="H29" s="9" t="inlineStr">
        <is>
          <t>Subaru Gas ? Gallons @ $?/gal</t>
        </is>
      </c>
      <c r="I29" s="9" t="n"/>
      <c r="J29" s="9" t="n"/>
      <c r="K29" s="9" t="n">
        <v>16.94</v>
      </c>
    </row>
    <row r="30" customFormat="1" s="4">
      <c r="A30" s="83" t="n">
        <v>46017</v>
      </c>
      <c r="B30" s="82" t="n">
        <v>0.4166666666666667</v>
      </c>
      <c r="C30" s="5" t="inlineStr">
        <is>
          <t>Speedway</t>
        </is>
      </c>
      <c r="D30" s="5" t="n"/>
      <c r="E30" s="5" t="n">
        <v>1</v>
      </c>
      <c r="F30" s="6" t="n"/>
      <c r="G30" s="10" t="n"/>
      <c r="H30" s="9" t="inlineStr">
        <is>
          <t>Subaru Gas ? Gallons @ $?/gal</t>
        </is>
      </c>
      <c r="I30" s="9" t="n"/>
      <c r="J30" s="9" t="n"/>
      <c r="K30" s="9" t="n">
        <v>15.28</v>
      </c>
    </row>
    <row r="31" customFormat="1" s="4">
      <c r="A31" s="83" t="n">
        <v>46015</v>
      </c>
      <c r="B31" s="82" t="n">
        <v>0.35625</v>
      </c>
      <c r="C31" s="5" t="inlineStr">
        <is>
          <t>Two Chicks and a Hippie</t>
        </is>
      </c>
      <c r="D31" s="5" t="n"/>
      <c r="E31" s="5" t="n">
        <v>1</v>
      </c>
      <c r="F31" s="6" t="n"/>
      <c r="G31" s="10" t="n"/>
      <c r="H31" s="9" t="inlineStr">
        <is>
          <t>Sticky Buns in Pagosa Springs</t>
        </is>
      </c>
      <c r="I31" s="9" t="n"/>
      <c r="J31" s="9" t="n"/>
      <c r="K31" s="9" t="n">
        <v>13.36</v>
      </c>
    </row>
    <row r="32" customFormat="1" s="4">
      <c r="A32" s="83" t="n">
        <v>46015</v>
      </c>
      <c r="B32" s="82" t="n">
        <v>0.3486111111111111</v>
      </c>
      <c r="C32" s="5" t="inlineStr">
        <is>
          <t>Two Chicks and a Hippie</t>
        </is>
      </c>
      <c r="D32" s="5" t="n"/>
      <c r="E32" s="5" t="n">
        <v>1</v>
      </c>
      <c r="F32" s="6" t="n"/>
      <c r="G32" s="10" t="n"/>
      <c r="H32" s="9" t="inlineStr">
        <is>
          <t>Breakfast in Pagosa Springs</t>
        </is>
      </c>
      <c r="I32" s="9" t="n"/>
      <c r="J32" s="9" t="n"/>
      <c r="K32" s="9" t="n">
        <v>84.05</v>
      </c>
    </row>
    <row r="33" customFormat="1" s="4">
      <c r="A33" s="83" t="n">
        <v>46015</v>
      </c>
      <c r="B33" s="82" t="n">
        <v>0.2916666666666667</v>
      </c>
      <c r="C33" s="5" t="inlineStr">
        <is>
          <t>US Tax Witholding</t>
        </is>
      </c>
      <c r="D33" s="5" t="n">
        <v>1</v>
      </c>
      <c r="E33" s="5" t="n"/>
      <c r="F33" s="6" t="inlineStr">
        <is>
          <t>RTX_Paycheck_25_52</t>
        </is>
      </c>
      <c r="G33" s="7" t="n"/>
      <c r="H33" s="9" t="inlineStr">
        <is>
          <t>Federal Income Tax</t>
        </is>
      </c>
      <c r="I33" s="9" t="n"/>
      <c r="J33" s="9" t="n"/>
      <c r="K33" s="9" t="n">
        <v>467.33</v>
      </c>
    </row>
    <row r="34" customFormat="1" s="4">
      <c r="A34" s="83" t="n">
        <v>46015</v>
      </c>
      <c r="B34" s="82" t="n">
        <v>0.2916666666666667</v>
      </c>
      <c r="C34" s="5" t="inlineStr">
        <is>
          <t>US Tax Witholding</t>
        </is>
      </c>
      <c r="D34" s="5" t="n">
        <v>1</v>
      </c>
      <c r="E34" s="5" t="n"/>
      <c r="F34" s="6" t="inlineStr">
        <is>
          <t>RTX_Paycheck_25_52</t>
        </is>
      </c>
      <c r="G34" s="7" t="n"/>
      <c r="H34" s="9" t="inlineStr">
        <is>
          <t>Social Security Tax</t>
        </is>
      </c>
      <c r="I34" s="9" t="n"/>
      <c r="J34" s="9" t="n"/>
      <c r="K34" s="9" t="n">
        <v>353.38</v>
      </c>
    </row>
    <row r="35" customFormat="1" s="4">
      <c r="A35" s="83" t="n">
        <v>46015</v>
      </c>
      <c r="B35" s="82" t="n">
        <v>0.2916666666666667</v>
      </c>
      <c r="C35" s="5" t="inlineStr">
        <is>
          <t>US Tax Witholding</t>
        </is>
      </c>
      <c r="D35" s="5" t="n">
        <v>1</v>
      </c>
      <c r="E35" s="5" t="n"/>
      <c r="F35" s="6" t="inlineStr">
        <is>
          <t>RTX_Paycheck_25_52</t>
        </is>
      </c>
      <c r="G35" s="7" t="n"/>
      <c r="H35" s="9" t="inlineStr">
        <is>
          <t>Medicare Tax</t>
        </is>
      </c>
      <c r="I35" s="9" t="n"/>
      <c r="J35" s="9" t="n"/>
      <c r="K35" s="9" t="n">
        <v>82.65000000000001</v>
      </c>
    </row>
    <row r="36" customFormat="1" s="4">
      <c r="A36" s="83" t="n">
        <v>46015</v>
      </c>
      <c r="B36" s="82" t="n">
        <v>0.2916666666666667</v>
      </c>
      <c r="C36" s="5" t="inlineStr">
        <is>
          <t>Raytheon</t>
        </is>
      </c>
      <c r="D36" s="5" t="n">
        <v>1</v>
      </c>
      <c r="E36" s="5" t="n"/>
      <c r="F36" s="6" t="inlineStr">
        <is>
          <t>RTX_Paycheck_25_52</t>
        </is>
      </c>
      <c r="G36" s="17" t="inlineStr">
        <is>
          <t>XXXX3523</t>
        </is>
      </c>
      <c r="H36" s="9" t="inlineStr">
        <is>
          <t>Net Paycheck [Dec 6 - Dec 19]</t>
        </is>
      </c>
      <c r="I36" s="9" t="n"/>
      <c r="J36" s="9" t="n"/>
      <c r="K36" s="9" t="n">
        <v>3298.03</v>
      </c>
    </row>
    <row r="37" customFormat="1" s="4">
      <c r="A37" s="83" t="n">
        <v>46015</v>
      </c>
      <c r="B37" s="82" t="n">
        <v>0.2916666666666667</v>
      </c>
      <c r="C37" s="5" t="inlineStr">
        <is>
          <t>Raytheon</t>
        </is>
      </c>
      <c r="D37" s="5" t="n">
        <v>1</v>
      </c>
      <c r="E37" s="5" t="n"/>
      <c r="F37" s="6" t="inlineStr">
        <is>
          <t>RTX_Paycheck_25_52</t>
        </is>
      </c>
      <c r="G37" s="10" t="n"/>
      <c r="H37" s="9" t="inlineStr">
        <is>
          <t>RTX Direct Deposit -- cancelling offset</t>
        </is>
      </c>
      <c r="I37" s="9" t="n"/>
      <c r="J37" s="9" t="n"/>
      <c r="K37" s="9" t="n">
        <v>-3298.03</v>
      </c>
    </row>
    <row r="38" customFormat="1" s="4">
      <c r="A38" s="83" t="n">
        <v>46015</v>
      </c>
      <c r="B38" s="82" t="n">
        <v>0.2916666666666667</v>
      </c>
      <c r="C38" s="5" t="inlineStr">
        <is>
          <t>Raytheon</t>
        </is>
      </c>
      <c r="D38" s="5" t="n">
        <v>1</v>
      </c>
      <c r="E38" s="5" t="n"/>
      <c r="F38" s="6" t="inlineStr">
        <is>
          <t>RTX_Paycheck_25_52</t>
        </is>
      </c>
      <c r="G38" s="10" t="n"/>
      <c r="H38" s="9" t="inlineStr">
        <is>
          <t>Gross Paycheck [Dec 6 - Dec 19] ($62.5000/hr)</t>
        </is>
      </c>
      <c r="I38" s="9" t="n"/>
      <c r="J38" s="9" t="n"/>
      <c r="K38" s="9" t="n">
        <v>-5948.83</v>
      </c>
    </row>
    <row r="39" customFormat="1" s="4">
      <c r="A39" s="83" t="n">
        <v>46015</v>
      </c>
      <c r="B39" s="82" t="n">
        <v>0.2916666666666667</v>
      </c>
      <c r="C39" s="5" t="inlineStr">
        <is>
          <t>Raytheon</t>
        </is>
      </c>
      <c r="D39" s="5" t="n">
        <v>1</v>
      </c>
      <c r="E39" s="5" t="n"/>
      <c r="F39" s="6" t="inlineStr">
        <is>
          <t>RTX_Paycheck_25_52</t>
        </is>
      </c>
      <c r="G39" s="10" t="n"/>
      <c r="H39" s="9" t="inlineStr">
        <is>
          <t>Ed(ucation) Assi(tance) Offset</t>
        </is>
      </c>
      <c r="I39" s="9" t="n"/>
      <c r="J39" s="9" t="n"/>
      <c r="K39" s="9" t="n">
        <v>948.83</v>
      </c>
    </row>
    <row r="40" customFormat="1" s="4">
      <c r="A40" s="83" t="n">
        <v>46015</v>
      </c>
      <c r="B40" s="82" t="n">
        <v>0.2916666666666667</v>
      </c>
      <c r="C40" s="5" t="inlineStr">
        <is>
          <t>Parents Gift Account</t>
        </is>
      </c>
      <c r="D40" s="5" t="n">
        <v>1</v>
      </c>
      <c r="E40" s="5" t="n"/>
      <c r="F40" s="6" t="inlineStr">
        <is>
          <t>RTX_Paycheck_25_52</t>
        </is>
      </c>
      <c r="G40" s="17" t="inlineStr">
        <is>
          <t>XXXX7146</t>
        </is>
      </c>
      <c r="H40" s="9" t="inlineStr">
        <is>
          <t>Contribution to Parents Gift Account</t>
        </is>
      </c>
      <c r="I40" s="9" t="n"/>
      <c r="J40" s="9" t="n"/>
      <c r="K40" s="9" t="n">
        <v>0.01</v>
      </c>
    </row>
    <row r="41" customFormat="1" s="4">
      <c r="A41" s="83" t="n">
        <v>46015</v>
      </c>
      <c r="B41" s="82" t="n">
        <v>0.2916666666666667</v>
      </c>
      <c r="C41" s="5" t="inlineStr">
        <is>
          <t>HSA</t>
        </is>
      </c>
      <c r="D41" s="5" t="n">
        <v>1</v>
      </c>
      <c r="E41" s="5" t="n"/>
      <c r="F41" s="6" t="inlineStr">
        <is>
          <t>RTX_Paycheck_25_52</t>
        </is>
      </c>
      <c r="G41" s="10" t="n"/>
      <c r="H41" s="9" t="inlineStr">
        <is>
          <t>Personal contribution to HSA</t>
        </is>
      </c>
      <c r="I41" s="9" t="n"/>
      <c r="J41" s="9" t="n"/>
      <c r="K41" s="9" t="n">
        <v>115.72</v>
      </c>
    </row>
    <row r="42" customFormat="1" s="4">
      <c r="A42" s="83" t="n">
        <v>46015</v>
      </c>
      <c r="B42" s="82" t="n">
        <v>0.2916666666666667</v>
      </c>
      <c r="C42" s="5" t="inlineStr">
        <is>
          <t>Delta Dental</t>
        </is>
      </c>
      <c r="D42" s="5" t="n">
        <v>1</v>
      </c>
      <c r="E42" s="5" t="n"/>
      <c r="F42" s="6" t="inlineStr">
        <is>
          <t>RTX_Paycheck_25_52</t>
        </is>
      </c>
      <c r="G42" s="10" t="n"/>
      <c r="H42" s="9" t="inlineStr">
        <is>
          <t>Dental Insurance</t>
        </is>
      </c>
      <c r="I42" s="9" t="n"/>
      <c r="J42" s="9" t="n"/>
      <c r="K42" s="9" t="n">
        <v>4.26</v>
      </c>
    </row>
    <row r="43" customFormat="1" s="4">
      <c r="A43" s="83" t="n">
        <v>46015</v>
      </c>
      <c r="B43" s="82" t="n">
        <v>0.2916666666666667</v>
      </c>
      <c r="C43" s="5" t="inlineStr">
        <is>
          <t>CO Tax Witholding</t>
        </is>
      </c>
      <c r="D43" s="5" t="n">
        <v>1</v>
      </c>
      <c r="E43" s="5" t="n"/>
      <c r="F43" s="6" t="inlineStr">
        <is>
          <t>RTX_Paycheck_25_52</t>
        </is>
      </c>
      <c r="G43" s="7" t="n"/>
      <c r="H43" s="9" t="inlineStr">
        <is>
          <t>CO State Income Tax</t>
        </is>
      </c>
      <c r="I43" s="9" t="n"/>
      <c r="J43" s="9" t="n"/>
      <c r="K43" s="9" t="n">
        <v>220.57</v>
      </c>
    </row>
    <row r="44" customFormat="1" s="4">
      <c r="A44" s="83" t="n">
        <v>46015</v>
      </c>
      <c r="B44" s="82" t="n">
        <v>0.2916666666666667</v>
      </c>
      <c r="C44" s="5" t="inlineStr">
        <is>
          <t>CO Tax Witholding</t>
        </is>
      </c>
      <c r="D44" s="5" t="n">
        <v>1</v>
      </c>
      <c r="E44" s="5" t="n"/>
      <c r="F44" s="6" t="inlineStr">
        <is>
          <t>RTX_Paycheck_25_52</t>
        </is>
      </c>
      <c r="G44" s="7" t="n"/>
      <c r="H44" s="9" t="inlineStr">
        <is>
          <t>CO Paid Family Leave Insurance</t>
        </is>
      </c>
      <c r="I44" s="9" t="n"/>
      <c r="J44" s="9" t="n"/>
      <c r="K44" s="9" t="n">
        <v>26.77</v>
      </c>
    </row>
    <row r="45" customFormat="1" s="4">
      <c r="A45" s="83" t="n">
        <v>46015</v>
      </c>
      <c r="B45" s="82" t="n">
        <v>0.2916666666666667</v>
      </c>
      <c r="C45" s="5" t="inlineStr">
        <is>
          <t>Anthem BcBs</t>
        </is>
      </c>
      <c r="D45" s="5" t="n">
        <v>1</v>
      </c>
      <c r="E45" s="5" t="n"/>
      <c r="F45" s="6" t="inlineStr">
        <is>
          <t>RTX_Paycheck_25_52</t>
        </is>
      </c>
      <c r="G45" s="10" t="n"/>
      <c r="H45" s="9" t="inlineStr">
        <is>
          <t>Medical Insurance</t>
        </is>
      </c>
      <c r="I45" s="9" t="n"/>
      <c r="J45" s="9" t="n"/>
      <c r="K45" s="9" t="n">
        <v>131.28</v>
      </c>
    </row>
    <row r="46" customFormat="1" s="4">
      <c r="A46" s="83" t="n">
        <v>46015</v>
      </c>
      <c r="B46" s="82" t="n">
        <v>0.2916666666666667</v>
      </c>
      <c r="C46" s="5" t="inlineStr">
        <is>
          <t>Alight</t>
        </is>
      </c>
      <c r="D46" s="5" t="n">
        <v>1</v>
      </c>
      <c r="E46" s="5" t="n"/>
      <c r="F46" s="6" t="inlineStr">
        <is>
          <t>RTX_Paycheck_25_52</t>
        </is>
      </c>
      <c r="G46" s="10" t="n"/>
      <c r="H46" s="9" t="inlineStr">
        <is>
          <t>401k Basic -- Traditional</t>
        </is>
      </c>
      <c r="I46" s="9" t="n"/>
      <c r="J46" s="9" t="n"/>
      <c r="K46" s="9" t="n">
        <v>300</v>
      </c>
    </row>
    <row r="47" customFormat="1" s="4">
      <c r="A47" s="83" t="n">
        <v>46015</v>
      </c>
      <c r="B47" s="82" t="n">
        <v>0.2916666666666667</v>
      </c>
      <c r="C47" s="5" t="inlineStr">
        <is>
          <t>Alight</t>
        </is>
      </c>
      <c r="D47" s="5" t="n">
        <v>1</v>
      </c>
      <c r="E47" s="5" t="n"/>
      <c r="F47" s="6" t="inlineStr">
        <is>
          <t>RTX_Paycheck_25_52</t>
        </is>
      </c>
      <c r="G47" s="10" t="n"/>
      <c r="H47" s="9" t="inlineStr">
        <is>
          <t>Roth 401k Basic</t>
        </is>
      </c>
      <c r="I47" s="9" t="n"/>
      <c r="J47" s="9" t="n"/>
      <c r="K47" s="9" t="n">
        <v>0</v>
      </c>
    </row>
    <row r="48" customFormat="1" s="4">
      <c r="A48" s="83" t="n">
        <v>46015</v>
      </c>
      <c r="B48" s="82" t="n">
        <v>0.2916666666666667</v>
      </c>
      <c r="C48" s="5" t="inlineStr">
        <is>
          <t>US Tax Witholding</t>
        </is>
      </c>
      <c r="D48" s="5" t="n">
        <v>1</v>
      </c>
      <c r="E48" s="5" t="n"/>
      <c r="F48" s="6" t="inlineStr">
        <is>
          <t>RTX_Paycheck_25_53</t>
        </is>
      </c>
      <c r="G48" s="7" t="n"/>
      <c r="H48" s="9" t="inlineStr">
        <is>
          <t>Federal Income Tax</t>
        </is>
      </c>
      <c r="I48" s="9" t="n"/>
      <c r="J48" s="9" t="n"/>
      <c r="K48" s="9" t="n">
        <v>155.1</v>
      </c>
    </row>
    <row r="49" customFormat="1" s="4">
      <c r="A49" s="81" t="n">
        <v>46015</v>
      </c>
      <c r="B49" s="82" t="n">
        <v>0.2916666666666667</v>
      </c>
      <c r="C49" s="5" t="inlineStr">
        <is>
          <t>US Tax Witholding</t>
        </is>
      </c>
      <c r="D49" s="5" t="n">
        <v>1</v>
      </c>
      <c r="E49" s="5" t="n"/>
      <c r="F49" s="6" t="inlineStr">
        <is>
          <t>RTX_Paycheck_25_53</t>
        </is>
      </c>
      <c r="G49" s="7" t="n"/>
      <c r="H49" s="9" t="inlineStr">
        <is>
          <t>Social Security Tax</t>
        </is>
      </c>
      <c r="I49" s="9" t="n"/>
      <c r="J49" s="9" t="n"/>
      <c r="K49" s="9" t="n">
        <v>46.1</v>
      </c>
    </row>
    <row r="50" customFormat="1" s="4">
      <c r="A50" s="81" t="n">
        <v>46015</v>
      </c>
      <c r="B50" s="82" t="n">
        <v>0.2916666666666667</v>
      </c>
      <c r="C50" s="5" t="inlineStr">
        <is>
          <t>US Tax Witholding</t>
        </is>
      </c>
      <c r="D50" s="5" t="n">
        <v>1</v>
      </c>
      <c r="E50" s="5" t="n"/>
      <c r="F50" s="6" t="inlineStr">
        <is>
          <t>RTX_Paycheck_25_53</t>
        </is>
      </c>
      <c r="G50" s="7" t="n"/>
      <c r="H50" s="9" t="inlineStr">
        <is>
          <t>Medicare Tax</t>
        </is>
      </c>
      <c r="I50" s="9" t="n"/>
      <c r="J50" s="9" t="n"/>
      <c r="K50" s="9" t="n">
        <v>10.87</v>
      </c>
    </row>
    <row r="51" customFormat="1" s="4">
      <c r="A51" s="81" t="n">
        <v>46015</v>
      </c>
      <c r="B51" s="82" t="n">
        <v>0.2916666666666667</v>
      </c>
      <c r="C51" s="5" t="inlineStr">
        <is>
          <t>Raytheon</t>
        </is>
      </c>
      <c r="D51" s="5" t="n">
        <v>1</v>
      </c>
      <c r="E51" s="5" t="n"/>
      <c r="F51" s="6" t="inlineStr">
        <is>
          <t>RTX_Paycheck_25_53</t>
        </is>
      </c>
      <c r="G51" s="17" t="inlineStr">
        <is>
          <t>XXXX3523</t>
        </is>
      </c>
      <c r="H51" s="9" t="inlineStr">
        <is>
          <t>Net Paycheck [Bonus]</t>
        </is>
      </c>
      <c r="I51" s="9" t="n"/>
      <c r="J51" s="9" t="n"/>
      <c r="K51" s="9" t="n">
        <v>458.13</v>
      </c>
    </row>
    <row r="52" customFormat="1" s="4">
      <c r="A52" s="81" t="n">
        <v>46015</v>
      </c>
      <c r="B52" s="82" t="n">
        <v>0.2916666666666667</v>
      </c>
      <c r="C52" s="5" t="inlineStr">
        <is>
          <t>Raytheon</t>
        </is>
      </c>
      <c r="D52" s="5" t="n">
        <v>1</v>
      </c>
      <c r="E52" s="5" t="n"/>
      <c r="F52" s="6" t="inlineStr">
        <is>
          <t>RTX_Paycheck_25_53</t>
        </is>
      </c>
      <c r="G52" s="10" t="n"/>
      <c r="H52" s="9" t="inlineStr">
        <is>
          <t>RTX Direct Deposit -- cancelling offset</t>
        </is>
      </c>
      <c r="I52" s="9" t="n"/>
      <c r="J52" s="9" t="n"/>
      <c r="K52" s="9" t="n">
        <v>-458.13</v>
      </c>
    </row>
    <row r="53" customFormat="1" s="4">
      <c r="A53" s="81" t="n">
        <v>46015</v>
      </c>
      <c r="B53" s="82" t="n">
        <v>0.2916666666666667</v>
      </c>
      <c r="C53" s="5" t="inlineStr">
        <is>
          <t>Raytheon</t>
        </is>
      </c>
      <c r="D53" s="5" t="n">
        <v>1</v>
      </c>
      <c r="E53" s="5" t="n"/>
      <c r="F53" s="6" t="inlineStr">
        <is>
          <t>RTX_Paycheck_25_53</t>
        </is>
      </c>
      <c r="G53" s="10" t="n"/>
      <c r="H53" s="9" t="inlineStr">
        <is>
          <t>Gross Paycheck [Bonus] ($62.5000/hr)</t>
        </is>
      </c>
      <c r="I53" s="9" t="n"/>
      <c r="J53" s="9" t="n"/>
      <c r="K53" s="9" t="n">
        <v>-750</v>
      </c>
    </row>
    <row r="54" customFormat="1" s="4">
      <c r="A54" s="81" t="n">
        <v>46015</v>
      </c>
      <c r="B54" s="82" t="n">
        <v>0.2916666666666667</v>
      </c>
      <c r="C54" s="5" t="inlineStr">
        <is>
          <t>CO Tax Witholding</t>
        </is>
      </c>
      <c r="D54" s="5" t="n">
        <v>1</v>
      </c>
      <c r="E54" s="5" t="n"/>
      <c r="F54" s="6" t="inlineStr">
        <is>
          <t>RTX_Paycheck_25_53</t>
        </is>
      </c>
      <c r="G54" s="7" t="n"/>
      <c r="H54" s="9" t="inlineStr">
        <is>
          <t>CO State Income Tax</t>
        </is>
      </c>
      <c r="I54" s="9" t="n"/>
      <c r="J54" s="9" t="n"/>
      <c r="K54" s="9" t="n">
        <v>31.02</v>
      </c>
    </row>
    <row r="55" customFormat="1" s="4">
      <c r="A55" s="81" t="n">
        <v>46015</v>
      </c>
      <c r="B55" s="82" t="n">
        <v>0.2916666666666667</v>
      </c>
      <c r="C55" s="5" t="inlineStr">
        <is>
          <t>CO Tax Witholding</t>
        </is>
      </c>
      <c r="D55" s="5" t="n">
        <v>1</v>
      </c>
      <c r="E55" s="5" t="n"/>
      <c r="F55" s="6" t="inlineStr">
        <is>
          <t>RTX_Paycheck_25_53</t>
        </is>
      </c>
      <c r="G55" s="7" t="n"/>
      <c r="H55" s="9" t="inlineStr">
        <is>
          <t>CO Paid Family Leave Insurance</t>
        </is>
      </c>
      <c r="I55" s="9" t="n"/>
      <c r="J55" s="9" t="n"/>
      <c r="K55" s="9" t="n">
        <v>3.38</v>
      </c>
    </row>
    <row r="56" customFormat="1" s="4">
      <c r="A56" s="81" t="n">
        <v>46015</v>
      </c>
      <c r="B56" s="82" t="n"/>
      <c r="C56" s="5" t="n"/>
      <c r="D56" s="5" t="n"/>
      <c r="E56" s="5" t="n"/>
      <c r="F56" s="6" t="n"/>
      <c r="G56" s="10" t="n"/>
      <c r="H56" s="9" t="n"/>
      <c r="I56" s="9" t="n"/>
      <c r="J56" s="9" t="n"/>
      <c r="K56" s="9" t="n"/>
    </row>
    <row r="57" customFormat="1" s="4">
      <c r="A57" s="81" t="n">
        <v>46014</v>
      </c>
      <c r="B57" s="82" t="n"/>
      <c r="C57" s="5" t="n"/>
      <c r="D57" s="5" t="n"/>
      <c r="E57" s="5" t="n"/>
      <c r="F57" s="6" t="n"/>
      <c r="G57" s="10" t="n"/>
      <c r="H57" s="9" t="n"/>
      <c r="I57" s="9" t="n"/>
      <c r="J57" s="9" t="n"/>
      <c r="K57" s="9" t="n"/>
    </row>
    <row r="58" customFormat="1" s="4">
      <c r="A58" s="81" t="n">
        <v>46014</v>
      </c>
      <c r="B58" s="82" t="n"/>
      <c r="C58" s="5" t="n"/>
      <c r="D58" s="5" t="n"/>
      <c r="E58" s="5" t="n"/>
      <c r="F58" s="6" t="n"/>
      <c r="G58" s="10" t="n"/>
      <c r="H58" s="9" t="n"/>
      <c r="I58" s="9" t="n"/>
      <c r="J58" s="9" t="n"/>
      <c r="K58" s="9" t="n"/>
    </row>
    <row r="59" customFormat="1" s="4">
      <c r="A59" s="83" t="n">
        <v>46013</v>
      </c>
      <c r="B59" s="82" t="n">
        <v>0.2916666666666667</v>
      </c>
      <c r="C59" s="5" t="inlineStr">
        <is>
          <t>Xcel Energy</t>
        </is>
      </c>
      <c r="D59" s="5" t="n">
        <v>1</v>
      </c>
      <c r="E59" s="5" t="n"/>
      <c r="F59" s="6" t="inlineStr">
        <is>
          <t>955308634_</t>
        </is>
      </c>
      <c r="G59" s="10" t="n"/>
      <c r="H59" s="9" t="inlineStr">
        <is>
          <t>Franchise Fee 3.00%</t>
        </is>
      </c>
      <c r="I59" s="9" t="n"/>
      <c r="J59" s="9" t="n"/>
      <c r="K59" s="85">
        <f>1.73+0.97</f>
        <v/>
      </c>
    </row>
    <row r="60" customFormat="1" s="4">
      <c r="A60" s="83" t="n">
        <v>46013</v>
      </c>
      <c r="B60" s="82" t="n">
        <v>0.2916666666666667</v>
      </c>
      <c r="C60" s="5" t="inlineStr">
        <is>
          <t>Xcel Energy</t>
        </is>
      </c>
      <c r="D60" s="5" t="n">
        <v>1</v>
      </c>
      <c r="E60" s="5" t="n"/>
      <c r="F60" s="6" t="inlineStr">
        <is>
          <t>955308634_</t>
        </is>
      </c>
      <c r="G60" s="10" t="n"/>
      <c r="H60" s="9" t="inlineStr">
        <is>
          <t>Electricity 10/27/25 - 11/25/25</t>
        </is>
      </c>
      <c r="I60" s="9" t="n">
        <v>339</v>
      </c>
      <c r="J60" s="9" t="inlineStr">
        <is>
          <t>kWh</t>
        </is>
      </c>
      <c r="K60" s="85" t="n">
        <v>57.9</v>
      </c>
    </row>
    <row r="61" customFormat="1" s="4">
      <c r="A61" s="83" t="n">
        <v>46013</v>
      </c>
      <c r="B61" s="82" t="n">
        <v>0.2916666666666667</v>
      </c>
      <c r="C61" s="5" t="inlineStr">
        <is>
          <t>Xcel Energy</t>
        </is>
      </c>
      <c r="D61" s="5" t="n">
        <v>1</v>
      </c>
      <c r="E61" s="5" t="n"/>
      <c r="F61" s="6" t="inlineStr">
        <is>
          <t>955308634_</t>
        </is>
      </c>
      <c r="G61" s="10" t="n"/>
      <c r="H61" s="9" t="inlineStr">
        <is>
          <t>Natural Gas 10/29/25 - 12/01/25</t>
        </is>
      </c>
      <c r="I61" s="9" t="n">
        <v>23</v>
      </c>
      <c r="J61" s="9" t="inlineStr">
        <is>
          <t>therms</t>
        </is>
      </c>
      <c r="K61" s="85" t="n">
        <v>32.14</v>
      </c>
    </row>
    <row r="62" customFormat="1" s="4">
      <c r="A62" s="83" t="n">
        <v>46013</v>
      </c>
      <c r="B62" s="82" t="n">
        <v>0.2916666666666667</v>
      </c>
      <c r="C62" s="5" t="inlineStr">
        <is>
          <t>Xcel Energy</t>
        </is>
      </c>
      <c r="D62" s="5" t="n">
        <v>1</v>
      </c>
      <c r="E62" s="5" t="n"/>
      <c r="F62" s="6" t="inlineStr">
        <is>
          <t>955308634_</t>
        </is>
      </c>
      <c r="G62" s="10" t="n"/>
      <c r="H62" s="9" t="inlineStr">
        <is>
          <t>Sales Tax</t>
        </is>
      </c>
      <c r="I62" s="9" t="n"/>
      <c r="J62" s="9" t="n"/>
      <c r="K62" s="85">
        <f>2.24+1.24</f>
        <v/>
      </c>
    </row>
    <row r="63" customFormat="1" s="4">
      <c r="A63" s="83" t="n">
        <v>46013</v>
      </c>
      <c r="B63" s="82" t="n"/>
      <c r="C63" s="5" t="n"/>
      <c r="D63" s="5" t="n"/>
      <c r="E63" s="5" t="n"/>
      <c r="F63" s="6" t="n"/>
      <c r="G63" s="10" t="n"/>
      <c r="H63" s="9" t="n"/>
      <c r="I63" s="9" t="n"/>
      <c r="J63" s="9" t="n"/>
      <c r="K63" s="9" t="n"/>
    </row>
    <row r="64" customFormat="1" s="4">
      <c r="A64" s="83" t="n">
        <v>46013</v>
      </c>
      <c r="B64" s="82" t="n"/>
      <c r="C64" s="5" t="n"/>
      <c r="D64" s="5" t="n"/>
      <c r="E64" s="5" t="n"/>
      <c r="F64" s="6" t="n"/>
      <c r="G64" s="10" t="n"/>
      <c r="H64" s="9" t="n"/>
      <c r="I64" s="9" t="n"/>
      <c r="J64" s="9" t="n"/>
      <c r="K64" s="9" t="n"/>
    </row>
    <row r="65" customFormat="1" s="4">
      <c r="A65" s="83" t="n">
        <v>46012</v>
      </c>
      <c r="B65" s="82" t="n">
        <v>0.4902777777777778</v>
      </c>
      <c r="C65" s="5" t="inlineStr">
        <is>
          <t>Costco</t>
        </is>
      </c>
      <c r="D65" s="5" t="n"/>
      <c r="E65" s="5" t="n">
        <v>1</v>
      </c>
      <c r="F65" s="6" t="n"/>
      <c r="G65" s="10" t="n"/>
      <c r="H65" s="9" t="inlineStr">
        <is>
          <t>Subaru Gas ? Gallons @ $?/gal</t>
        </is>
      </c>
      <c r="I65" s="9" t="n"/>
      <c r="J65" s="9" t="n"/>
      <c r="K65" s="9" t="n">
        <v>30.8</v>
      </c>
    </row>
    <row r="66" customFormat="1" s="4">
      <c r="A66" s="83" t="n">
        <v>46011</v>
      </c>
      <c r="B66" s="82" t="n"/>
      <c r="C66" s="5" t="n"/>
      <c r="D66" s="5" t="n"/>
      <c r="E66" s="5" t="n"/>
      <c r="F66" s="6" t="n"/>
      <c r="G66" s="10" t="n"/>
      <c r="H66" s="9" t="n"/>
      <c r="I66" s="9" t="n"/>
      <c r="J66" s="9" t="n"/>
      <c r="K66" s="9" t="n"/>
    </row>
    <row r="67" customFormat="1" s="4">
      <c r="A67" s="83" t="n">
        <v>46011</v>
      </c>
      <c r="B67" s="82" t="n"/>
      <c r="C67" s="5" t="n"/>
      <c r="D67" s="5" t="n"/>
      <c r="E67" s="5" t="n"/>
      <c r="F67" s="6" t="n"/>
      <c r="G67" s="10" t="n"/>
      <c r="H67" s="9" t="n"/>
      <c r="I67" s="9" t="n"/>
      <c r="J67" s="9" t="n"/>
      <c r="K67" s="9" t="n"/>
    </row>
    <row r="68" customFormat="1" s="4">
      <c r="A68" s="83" t="n">
        <v>46010</v>
      </c>
      <c r="B68" s="82" t="n"/>
      <c r="C68" s="5" t="n"/>
      <c r="D68" s="5" t="n"/>
      <c r="E68" s="5" t="n"/>
      <c r="F68" s="6" t="n"/>
      <c r="G68" s="10" t="n"/>
      <c r="H68" s="9" t="n"/>
      <c r="I68" s="9" t="n"/>
      <c r="J68" s="9" t="n"/>
      <c r="K68" s="9" t="n"/>
    </row>
    <row r="69" customFormat="1" s="4">
      <c r="A69" s="83" t="n">
        <v>46009</v>
      </c>
      <c r="B69" s="82" t="n">
        <v>0.6402777777777777</v>
      </c>
      <c r="C69" s="5" t="n"/>
      <c r="D69" s="5" t="n"/>
      <c r="E69" s="5" t="n">
        <v>1</v>
      </c>
      <c r="F69" s="6" t="n"/>
      <c r="G69" s="10" t="n"/>
      <c r="H69" s="9" t="inlineStr">
        <is>
          <t>Subaru Gas ? Gallons @ $?/gal</t>
        </is>
      </c>
      <c r="I69" s="9" t="n"/>
      <c r="J69" s="9" t="n"/>
      <c r="K69" s="9" t="n">
        <v>4.6</v>
      </c>
    </row>
    <row r="70" customFormat="1" s="4">
      <c r="A70" s="83" t="n">
        <v>46009</v>
      </c>
      <c r="B70" s="82" t="n"/>
      <c r="C70" s="5" t="n"/>
      <c r="D70" s="5" t="n"/>
      <c r="E70" s="5" t="n"/>
      <c r="F70" s="6" t="n"/>
      <c r="G70" s="10" t="n"/>
      <c r="H70" s="9" t="n"/>
      <c r="I70" s="9" t="n"/>
      <c r="J70" s="9" t="n"/>
      <c r="K70" s="9" t="n"/>
    </row>
    <row r="71" customFormat="1" s="4">
      <c r="A71" s="83" t="n">
        <v>46009</v>
      </c>
      <c r="B71" s="82" t="n"/>
      <c r="C71" s="5" t="n"/>
      <c r="D71" s="5" t="n"/>
      <c r="E71" s="5" t="n"/>
      <c r="F71" s="6" t="n"/>
      <c r="G71" s="10" t="n"/>
      <c r="H71" s="9" t="n"/>
      <c r="I71" s="9" t="n"/>
      <c r="J71" s="9" t="n"/>
      <c r="K71" s="9" t="n"/>
    </row>
    <row r="72" customFormat="1" s="4">
      <c r="A72" s="83" t="n">
        <v>46008</v>
      </c>
      <c r="B72" s="82" t="n"/>
      <c r="C72" s="5" t="n"/>
      <c r="D72" s="5" t="n"/>
      <c r="E72" s="5" t="n"/>
      <c r="F72" s="6" t="n"/>
      <c r="G72" s="10" t="n"/>
      <c r="H72" s="9" t="n"/>
      <c r="I72" s="9" t="n"/>
      <c r="J72" s="9" t="n"/>
      <c r="K72" s="9" t="n"/>
    </row>
    <row r="73" customFormat="1" s="4">
      <c r="A73" s="83" t="n">
        <v>46008</v>
      </c>
      <c r="B73" s="82" t="n"/>
      <c r="C73" s="5" t="n"/>
      <c r="D73" s="5" t="n"/>
      <c r="E73" s="5" t="n"/>
      <c r="F73" s="6" t="n"/>
      <c r="G73" s="10" t="n"/>
      <c r="H73" s="9" t="n"/>
      <c r="I73" s="9" t="n"/>
      <c r="J73" s="9" t="n"/>
      <c r="K73" s="9" t="n"/>
    </row>
    <row r="74" customFormat="1" s="4">
      <c r="A74" s="83" t="n">
        <v>46008</v>
      </c>
      <c r="B74" s="82" t="n"/>
      <c r="C74" s="5" t="n"/>
      <c r="D74" s="5" t="n"/>
      <c r="E74" s="5" t="n"/>
      <c r="F74" s="6" t="n"/>
      <c r="G74" s="10" t="n"/>
      <c r="H74" s="9" t="n"/>
      <c r="I74" s="9" t="n"/>
      <c r="J74" s="9" t="n"/>
      <c r="K74" s="9" t="n"/>
    </row>
    <row r="75" customFormat="1" s="4">
      <c r="A75" s="83" t="n">
        <v>46008</v>
      </c>
      <c r="B75" s="82" t="n"/>
      <c r="C75" s="5" t="n"/>
      <c r="D75" s="5" t="n"/>
      <c r="E75" s="5" t="n"/>
      <c r="F75" s="6" t="n"/>
      <c r="G75" s="10" t="n"/>
      <c r="H75" s="9" t="n"/>
      <c r="I75" s="9" t="n"/>
      <c r="J75" s="9" t="n"/>
      <c r="K75" s="9" t="n"/>
    </row>
    <row r="76" customFormat="1" s="4">
      <c r="A76" s="83" t="n">
        <v>46008</v>
      </c>
      <c r="B76" s="82" t="n"/>
      <c r="C76" s="5" t="n"/>
      <c r="D76" s="5" t="n"/>
      <c r="E76" s="5" t="n"/>
      <c r="F76" s="6" t="n"/>
      <c r="G76" s="10" t="n"/>
      <c r="H76" s="9" t="n"/>
      <c r="I76" s="9" t="n"/>
      <c r="J76" s="9" t="n"/>
      <c r="K76" s="9" t="n"/>
    </row>
    <row r="77" customFormat="1" s="4">
      <c r="A77" s="83" t="n">
        <v>46008</v>
      </c>
      <c r="B77" s="82" t="n"/>
      <c r="C77" s="5" t="inlineStr">
        <is>
          <t>Guard and Grace</t>
        </is>
      </c>
      <c r="D77" s="5" t="n"/>
      <c r="E77" s="5" t="n">
        <v>1</v>
      </c>
      <c r="F77" s="6" t="n"/>
      <c r="G77" s="10" t="n"/>
      <c r="H77" s="9" t="inlineStr">
        <is>
          <t>EARMARK for Date!!!</t>
        </is>
      </c>
      <c r="I77" s="9" t="n">
        <v>1</v>
      </c>
      <c r="J77" s="9" t="inlineStr">
        <is>
          <t>cnt</t>
        </is>
      </c>
      <c r="K77" s="9" t="n">
        <v>300</v>
      </c>
    </row>
    <row r="78" customFormat="1" s="4">
      <c r="A78" s="83" t="n">
        <v>46007</v>
      </c>
      <c r="B78" s="82" t="n">
        <v>0.7229166666666667</v>
      </c>
      <c r="C78" s="5" t="inlineStr">
        <is>
          <t>Aurora Water</t>
        </is>
      </c>
      <c r="D78" s="5" t="n">
        <v>1</v>
      </c>
      <c r="E78" s="5" t="n"/>
      <c r="F78" s="6" t="inlineStr">
        <is>
          <t>0003677994_4671180824</t>
        </is>
      </c>
      <c r="G78" s="10" t="n"/>
      <c r="H78" s="9" t="inlineStr">
        <is>
          <t>First 5K GAL @$5.63/KGal</t>
        </is>
      </c>
      <c r="I78" s="5" t="n">
        <v>4</v>
      </c>
      <c r="J78" s="9" t="inlineStr">
        <is>
          <t>kGal</t>
        </is>
      </c>
      <c r="K78" s="85" t="n">
        <v>22.52</v>
      </c>
    </row>
    <row r="79" customFormat="1" s="4">
      <c r="A79" s="83" t="n">
        <v>46007</v>
      </c>
      <c r="B79" s="82" t="n">
        <v>0.7229166666666667</v>
      </c>
      <c r="C79" s="5" t="inlineStr">
        <is>
          <t>Aurora Water</t>
        </is>
      </c>
      <c r="D79" s="5" t="n">
        <v>1</v>
      </c>
      <c r="E79" s="5" t="n"/>
      <c r="F79" s="6" t="inlineStr">
        <is>
          <t>0003677994_4671180824</t>
        </is>
      </c>
      <c r="G79" s="10" t="n"/>
      <c r="H79" s="9" t="inlineStr">
        <is>
          <t>Sewer Usage Chg @$5.06/Kgal</t>
        </is>
      </c>
      <c r="I79" s="5" t="n">
        <v>3.33</v>
      </c>
      <c r="J79" s="9" t="inlineStr">
        <is>
          <t>kGal</t>
        </is>
      </c>
      <c r="K79" s="85" t="n">
        <v>16.85</v>
      </c>
    </row>
    <row r="80" customFormat="1" s="4">
      <c r="A80" s="83" t="n">
        <v>46007</v>
      </c>
      <c r="B80" s="82" t="n">
        <v>0.7229166666666667</v>
      </c>
      <c r="C80" s="5" t="inlineStr">
        <is>
          <t>Aurora Water</t>
        </is>
      </c>
      <c r="D80" s="5" t="n">
        <v>1</v>
      </c>
      <c r="E80" s="5" t="n"/>
      <c r="F80" s="6" t="inlineStr">
        <is>
          <t>0003677994_4671180824</t>
        </is>
      </c>
      <c r="G80" s="10" t="n"/>
      <c r="H80" s="9" t="inlineStr">
        <is>
          <t>Water Monthly Svc Chg 10/27-11/21</t>
        </is>
      </c>
      <c r="I80" s="5" t="n"/>
      <c r="J80" s="5" t="n"/>
      <c r="K80" s="85" t="n">
        <v>14.94</v>
      </c>
    </row>
    <row r="81" customFormat="1" s="4">
      <c r="A81" s="83" t="n">
        <v>46007</v>
      </c>
      <c r="B81" s="82" t="n">
        <v>0.7229166666666667</v>
      </c>
      <c r="C81" s="5" t="inlineStr">
        <is>
          <t>Aurora Water</t>
        </is>
      </c>
      <c r="D81" s="5" t="n">
        <v>1</v>
      </c>
      <c r="E81" s="5" t="n"/>
      <c r="F81" s="6" t="inlineStr">
        <is>
          <t>0003677994_4671180824</t>
        </is>
      </c>
      <c r="G81" s="10" t="n"/>
      <c r="H81" s="9" t="inlineStr">
        <is>
          <t>Storm Drain Base</t>
        </is>
      </c>
      <c r="I81" s="5" t="n"/>
      <c r="J81" s="5" t="n"/>
      <c r="K81" s="85" t="n">
        <v>11.6</v>
      </c>
    </row>
    <row r="82" customFormat="1" s="4">
      <c r="A82" s="83" t="n">
        <v>46007</v>
      </c>
      <c r="B82" s="82" t="n">
        <v>0.7229166666666667</v>
      </c>
      <c r="C82" s="5" t="inlineStr">
        <is>
          <t>Aurora Water</t>
        </is>
      </c>
      <c r="D82" s="5" t="n">
        <v>1</v>
      </c>
      <c r="E82" s="5" t="n"/>
      <c r="F82" s="6" t="inlineStr">
        <is>
          <t>0003677994_4671180824</t>
        </is>
      </c>
      <c r="G82" s="10" t="n"/>
      <c r="H82" s="9" t="inlineStr">
        <is>
          <t>Sewer Monthly Svc Chg</t>
        </is>
      </c>
      <c r="I82" s="5" t="n"/>
      <c r="J82" s="5" t="n"/>
      <c r="K82" s="85" t="n">
        <v>5.51</v>
      </c>
    </row>
    <row r="83" customFormat="1" s="4">
      <c r="A83" s="83" t="n">
        <v>46007</v>
      </c>
      <c r="B83" s="82" t="n"/>
      <c r="C83" s="5" t="n"/>
      <c r="D83" s="5" t="n"/>
      <c r="E83" s="5" t="n"/>
      <c r="F83" s="6" t="n"/>
      <c r="G83" s="10" t="n"/>
      <c r="H83" s="9" t="n"/>
      <c r="I83" s="9" t="n"/>
      <c r="J83" s="9" t="n"/>
      <c r="K83" s="9" t="n"/>
    </row>
    <row r="84" customFormat="1" s="4">
      <c r="A84" s="83" t="n">
        <v>46007</v>
      </c>
      <c r="B84" s="82" t="n"/>
      <c r="C84" s="5" t="n"/>
      <c r="D84" s="5" t="n"/>
      <c r="E84" s="5" t="n"/>
      <c r="F84" s="6" t="n"/>
      <c r="G84" s="10" t="n"/>
      <c r="H84" s="9" t="n"/>
      <c r="I84" s="9" t="n"/>
      <c r="J84" s="9" t="n"/>
      <c r="K84" s="9" t="n"/>
    </row>
    <row r="85" customFormat="1" s="4">
      <c r="A85" s="83" t="n">
        <v>46004</v>
      </c>
      <c r="B85" s="78" t="n">
        <v>0.9652777777777778</v>
      </c>
      <c r="C85" s="5" t="inlineStr">
        <is>
          <t>Xfinity</t>
        </is>
      </c>
      <c r="D85" s="5" t="n">
        <v>1</v>
      </c>
      <c r="E85" s="5" t="n"/>
      <c r="F85" s="6" t="n"/>
      <c r="G85" s="15" t="n"/>
      <c r="H85" s="9" t="inlineStr">
        <is>
          <t>Eli Xfinity Unlimited Line Phone Bill - 2nd month (Oct 24 - Nov 23)</t>
        </is>
      </c>
      <c r="I85" s="9" t="n"/>
      <c r="J85" s="9" t="n"/>
      <c r="K85" s="9" t="n">
        <v>40</v>
      </c>
    </row>
    <row r="86" customFormat="1" s="4">
      <c r="A86" s="83" t="n">
        <v>46004</v>
      </c>
      <c r="B86" s="78" t="n">
        <v>0.9652777777777778</v>
      </c>
      <c r="C86" s="5" t="inlineStr">
        <is>
          <t>Xfinity</t>
        </is>
      </c>
      <c r="D86" s="5" t="n">
        <v>1</v>
      </c>
      <c r="E86" s="5" t="n"/>
      <c r="F86" s="6" t="n"/>
      <c r="G86" s="15" t="n"/>
      <c r="H86" s="9" t="inlineStr">
        <is>
          <t>**DISCOUNT** Xfinity 1 year promotion for free "unlimited phone line"</t>
        </is>
      </c>
      <c r="I86" s="9" t="n"/>
      <c r="J86" s="9" t="n"/>
      <c r="K86" s="9" t="n">
        <v>-40</v>
      </c>
    </row>
    <row r="87" customFormat="1" s="4">
      <c r="A87" s="83" t="n">
        <v>46003</v>
      </c>
      <c r="B87" s="82" t="n">
        <v>0.6953587962962963</v>
      </c>
      <c r="C87" s="5" t="inlineStr">
        <is>
          <t>Five Guys</t>
        </is>
      </c>
      <c r="D87" s="5" t="n"/>
      <c r="E87" s="5" t="n">
        <v>1</v>
      </c>
      <c r="F87" s="6" t="inlineStr">
        <is>
          <t>AAB8ZNC4ACA9</t>
        </is>
      </c>
      <c r="G87" s="15" t="n"/>
      <c r="H87" s="9" t="inlineStr">
        <is>
          <t>Little Hamburger: All the Way + raw onions, jalapeno peppers, grilled green peppers</t>
        </is>
      </c>
      <c r="I87" s="5" t="n">
        <v>1</v>
      </c>
      <c r="J87" s="5" t="inlineStr">
        <is>
          <t>cnt</t>
        </is>
      </c>
      <c r="K87" s="5" t="n">
        <v>8.19</v>
      </c>
    </row>
    <row r="88" customFormat="1" s="4">
      <c r="A88" s="83" t="n">
        <v>46003</v>
      </c>
      <c r="B88" s="82" t="n">
        <v>0.6953587962962963</v>
      </c>
      <c r="C88" s="5" t="inlineStr">
        <is>
          <t>Five Guys</t>
        </is>
      </c>
      <c r="D88" s="5" t="n"/>
      <c r="E88" s="5" t="n">
        <v>1</v>
      </c>
      <c r="F88" s="6" t="inlineStr">
        <is>
          <t>AAB8ZNC4ACA9</t>
        </is>
      </c>
      <c r="G88" s="15" t="n"/>
      <c r="H88" s="9" t="inlineStr">
        <is>
          <t>Little Hamburger: Mayo, lettuce, pickles, EXTRA tomatoes, GRILLED green peppers</t>
        </is>
      </c>
      <c r="I88" s="5" t="n">
        <v>1</v>
      </c>
      <c r="J88" s="5" t="inlineStr">
        <is>
          <t>cnt</t>
        </is>
      </c>
      <c r="K88" s="5" t="n">
        <v>8.19</v>
      </c>
    </row>
    <row r="89" customFormat="1" s="4">
      <c r="A89" s="83" t="n">
        <v>46003</v>
      </c>
      <c r="B89" s="82" t="n">
        <v>0.6953587962962963</v>
      </c>
      <c r="C89" s="5" t="inlineStr">
        <is>
          <t>Five Guys</t>
        </is>
      </c>
      <c r="D89" s="5" t="n"/>
      <c r="E89" s="5" t="n">
        <v>1</v>
      </c>
      <c r="F89" s="6" t="inlineStr">
        <is>
          <t>AAB8ZNC4ACA9</t>
        </is>
      </c>
      <c r="G89" s="15" t="n"/>
      <c r="H89" s="9" t="inlineStr">
        <is>
          <t>Sales Tax</t>
        </is>
      </c>
      <c r="I89" s="5" t="n">
        <v>2</v>
      </c>
      <c r="J89" s="5" t="inlineStr">
        <is>
          <t>cnt</t>
        </is>
      </c>
      <c r="K89" s="5" t="n">
        <v>1.35</v>
      </c>
    </row>
    <row r="90" customFormat="1" s="4">
      <c r="A90" s="83" t="n">
        <v>46003</v>
      </c>
      <c r="B90" s="82" t="n">
        <v>0.4847222222222222</v>
      </c>
      <c r="C90" s="5" t="inlineStr">
        <is>
          <t>Amazon</t>
        </is>
      </c>
      <c r="D90" s="5" t="n">
        <v>1</v>
      </c>
      <c r="E90" s="5" t="n"/>
      <c r="F90" s="6" t="inlineStr">
        <is>
          <t>111-2190174-3563423</t>
        </is>
      </c>
      <c r="G90" s="10" t="inlineStr">
        <is>
          <t>A</t>
        </is>
      </c>
      <c r="H90" s="9" t="inlineStr">
        <is>
          <t>Standard Process Choline - Supports Healthy Fat Metabolism, Liver Health &amp; Nervous System Function - Gluten-Free, Non-Dairy &amp; Vegetarian -180 mg, 90 Tablets</t>
        </is>
      </c>
      <c r="I90" s="9" t="n">
        <v>90</v>
      </c>
      <c r="J90" s="9" t="inlineStr">
        <is>
          <t>cnt</t>
        </is>
      </c>
      <c r="K90" s="9" t="n">
        <v>17.6</v>
      </c>
    </row>
    <row r="91" customFormat="1" s="4">
      <c r="A91" s="83" t="n">
        <v>46003</v>
      </c>
      <c r="B91" s="82" t="n">
        <v>0.4847222222222222</v>
      </c>
      <c r="C91" s="5" t="inlineStr">
        <is>
          <t>Amazon</t>
        </is>
      </c>
      <c r="D91" s="5" t="n">
        <v>1</v>
      </c>
      <c r="E91" s="5" t="n"/>
      <c r="F91" s="6" t="inlineStr">
        <is>
          <t>111-2190174-3563423</t>
        </is>
      </c>
      <c r="G91" s="10" t="inlineStr">
        <is>
          <t>A</t>
        </is>
      </c>
      <c r="H91" s="9" t="inlineStr">
        <is>
          <t>**DISCOUNT** Amazon Registry 15% discount</t>
        </is>
      </c>
      <c r="I91" s="9" t="n">
        <v>90</v>
      </c>
      <c r="J91" s="9" t="inlineStr">
        <is>
          <t>cnt</t>
        </is>
      </c>
      <c r="K91" s="9" t="n">
        <v>-2.51</v>
      </c>
    </row>
    <row r="92" customFormat="1" s="4">
      <c r="A92" s="83" t="n">
        <v>46003</v>
      </c>
      <c r="B92" s="82" t="n">
        <v>0.4847222222222222</v>
      </c>
      <c r="C92" s="5" t="inlineStr">
        <is>
          <t>Amazon</t>
        </is>
      </c>
      <c r="D92" s="5" t="n">
        <v>1</v>
      </c>
      <c r="E92" s="5" t="n"/>
      <c r="F92" s="6" t="inlineStr">
        <is>
          <t>111-2190174-3563423</t>
        </is>
      </c>
      <c r="G92" s="10" t="inlineStr">
        <is>
          <t>A</t>
        </is>
      </c>
      <c r="H92" s="9" t="inlineStr">
        <is>
          <t>**DISCOUNT** Save 5% auto-delivery scheduling</t>
        </is>
      </c>
      <c r="I92" s="9" t="n">
        <v>90</v>
      </c>
      <c r="J92" s="9" t="inlineStr">
        <is>
          <t>cnt</t>
        </is>
      </c>
      <c r="K92" s="9" t="n">
        <v>-0.88</v>
      </c>
    </row>
    <row r="93" customFormat="1" s="4">
      <c r="A93" s="83" t="n">
        <v>46003</v>
      </c>
      <c r="B93" s="82" t="n">
        <v>0.4847222222222222</v>
      </c>
      <c r="C93" s="5" t="inlineStr">
        <is>
          <t>Amazon</t>
        </is>
      </c>
      <c r="D93" s="5" t="n">
        <v>1</v>
      </c>
      <c r="E93" s="5" t="n"/>
      <c r="F93" s="6" t="inlineStr">
        <is>
          <t>111-2190174-3563423</t>
        </is>
      </c>
      <c r="G93" s="10" t="inlineStr">
        <is>
          <t>B</t>
        </is>
      </c>
      <c r="H93" s="9" t="inlineStr">
        <is>
          <t>New Chapter, Postnatal Vitamins Lactation Supplement, Complete Multivitamin with Fermented Vitamin D3 + B Vitamins, Made with Organic Vegetables &amp; Herbs, Non-GMO Ingredients, 192 Count</t>
        </is>
      </c>
      <c r="I93" s="9" t="n">
        <v>192</v>
      </c>
      <c r="J93" s="9" t="inlineStr">
        <is>
          <t>cnt</t>
        </is>
      </c>
      <c r="K93" s="9" t="n">
        <v>35</v>
      </c>
    </row>
    <row r="94" customFormat="1" s="4">
      <c r="A94" s="83" t="n">
        <v>46003</v>
      </c>
      <c r="B94" s="82" t="n">
        <v>0.4847222222222222</v>
      </c>
      <c r="C94" s="5" t="inlineStr">
        <is>
          <t>Amazon</t>
        </is>
      </c>
      <c r="D94" s="5" t="n">
        <v>1</v>
      </c>
      <c r="E94" s="5" t="n"/>
      <c r="F94" s="6" t="inlineStr">
        <is>
          <t>111-2190174-3563423</t>
        </is>
      </c>
      <c r="G94" s="10" t="inlineStr">
        <is>
          <t>B</t>
        </is>
      </c>
      <c r="H94" s="9" t="inlineStr">
        <is>
          <t>**DISCOUNT** Amazon Registry 15% discount</t>
        </is>
      </c>
      <c r="I94" s="9" t="n">
        <v>192</v>
      </c>
      <c r="J94" s="9" t="inlineStr">
        <is>
          <t>cnt</t>
        </is>
      </c>
      <c r="K94" s="9" t="n">
        <v>-3.29</v>
      </c>
    </row>
    <row r="95" customFormat="1" s="4">
      <c r="A95" s="83" t="n">
        <v>46003</v>
      </c>
      <c r="B95" s="82" t="n">
        <v>0.4847222222222222</v>
      </c>
      <c r="C95" s="5" t="inlineStr">
        <is>
          <t>Amazon</t>
        </is>
      </c>
      <c r="D95" s="5" t="n">
        <v>1</v>
      </c>
      <c r="E95" s="5" t="n"/>
      <c r="F95" s="6" t="inlineStr">
        <is>
          <t>111-2190174-3563423</t>
        </is>
      </c>
      <c r="G95" s="10" t="inlineStr">
        <is>
          <t>B</t>
        </is>
      </c>
      <c r="H95" s="9" t="inlineStr">
        <is>
          <t>**DISCOUNT** Save 5% auto-delivery scheduling</t>
        </is>
      </c>
      <c r="I95" s="9" t="n">
        <v>192</v>
      </c>
      <c r="J95" s="9" t="inlineStr">
        <is>
          <t>cnt</t>
        </is>
      </c>
      <c r="K95" s="9" t="n">
        <v>-1.75</v>
      </c>
    </row>
    <row r="96" customFormat="1" s="4">
      <c r="A96" s="83" t="n">
        <v>46003</v>
      </c>
      <c r="B96" s="82" t="n">
        <v>0.4847222222222222</v>
      </c>
      <c r="C96" s="5" t="inlineStr">
        <is>
          <t>Amazon</t>
        </is>
      </c>
      <c r="D96" s="5" t="n">
        <v>1</v>
      </c>
      <c r="E96" s="5" t="n"/>
      <c r="F96" s="6" t="inlineStr">
        <is>
          <t>111-2190174-3563423</t>
        </is>
      </c>
      <c r="G96" s="10" t="inlineStr">
        <is>
          <t>B</t>
        </is>
      </c>
      <c r="H96" s="9" t="inlineStr">
        <is>
          <t>**DISCOUNT** Amazon Promotional credit ? Is this from the wipes?</t>
        </is>
      </c>
      <c r="I96" s="9" t="n">
        <v>192</v>
      </c>
      <c r="J96" s="9" t="inlineStr">
        <is>
          <t>cnt</t>
        </is>
      </c>
      <c r="K96" s="9" t="n">
        <v>-11.29</v>
      </c>
    </row>
    <row r="97" customFormat="1" s="4">
      <c r="A97" s="83" t="n">
        <v>46003</v>
      </c>
      <c r="B97" s="82" t="n">
        <v>0.4847222222222222</v>
      </c>
      <c r="C97" s="5" t="inlineStr">
        <is>
          <t>Amazon</t>
        </is>
      </c>
      <c r="D97" s="5" t="n">
        <v>1</v>
      </c>
      <c r="E97" s="5" t="n"/>
      <c r="F97" s="6" t="inlineStr">
        <is>
          <t>111-2190174-3563423</t>
        </is>
      </c>
      <c r="G97" s="10" t="inlineStr">
        <is>
          <t>C</t>
        </is>
      </c>
      <c r="H97" s="9" t="inlineStr">
        <is>
          <t>Boncare 9 Seconds Digital Basal Thermometer - Accurate Oral &amp; Rectal Thermometer for Adults &amp; Kids, Fever Alarm, Large Display (Blue)</t>
        </is>
      </c>
      <c r="I97" s="9" t="n">
        <v>1</v>
      </c>
      <c r="J97" s="9" t="inlineStr">
        <is>
          <t>cnt</t>
        </is>
      </c>
      <c r="K97" s="9" t="n">
        <v>10.89</v>
      </c>
    </row>
    <row r="98" customFormat="1" s="4">
      <c r="A98" s="83" t="n">
        <v>46003</v>
      </c>
      <c r="B98" s="82" t="n">
        <v>0.4847222222222222</v>
      </c>
      <c r="C98" s="5" t="inlineStr">
        <is>
          <t>Amazon</t>
        </is>
      </c>
      <c r="D98" s="5" t="n">
        <v>1</v>
      </c>
      <c r="E98" s="5" t="n"/>
      <c r="F98" s="6" t="inlineStr">
        <is>
          <t>111-2190174-3563423</t>
        </is>
      </c>
      <c r="G98" s="10" t="inlineStr">
        <is>
          <t>C</t>
        </is>
      </c>
      <c r="H98" s="9" t="inlineStr">
        <is>
          <t>**DISCOUNT** Amazon Promotional credit ? Is this from the wipes?</t>
        </is>
      </c>
      <c r="I98" s="9" t="n">
        <v>1</v>
      </c>
      <c r="J98" s="9" t="inlineStr">
        <is>
          <t>cnt</t>
        </is>
      </c>
      <c r="K98" s="9" t="n">
        <v>-3.71</v>
      </c>
    </row>
    <row r="99" customFormat="1" s="4">
      <c r="A99" s="83" t="n">
        <v>46003</v>
      </c>
      <c r="B99" s="82" t="n">
        <v>0.4847222222222222</v>
      </c>
      <c r="C99" s="5" t="inlineStr">
        <is>
          <t>Amazon</t>
        </is>
      </c>
      <c r="D99" s="5" t="n">
        <v>1</v>
      </c>
      <c r="E99" s="5" t="n"/>
      <c r="F99" s="6" t="inlineStr">
        <is>
          <t>111-2190174-3563423</t>
        </is>
      </c>
      <c r="G99" s="10" t="inlineStr">
        <is>
          <t>D</t>
        </is>
      </c>
      <c r="H99" s="9" t="inlineStr">
        <is>
          <t>TolleSonne 8 Pack Kids Artwork Frames Changeable, 8.5x11in Kids Art Frames Front Opening, Children Art Projects Kids Art Frames Picture Frames for Kids Drawing, Crafts and Photos, Holds 130 Pcs</t>
        </is>
      </c>
      <c r="I99" s="9" t="n">
        <v>8</v>
      </c>
      <c r="J99" s="9" t="inlineStr">
        <is>
          <t>cnt</t>
        </is>
      </c>
      <c r="K99" s="9" t="n">
        <v>73.98999999999999</v>
      </c>
    </row>
    <row r="100" ht="16.5" customFormat="1" customHeight="1" s="4">
      <c r="A100" s="83" t="n">
        <v>46003</v>
      </c>
      <c r="B100" s="82" t="n">
        <v>0.4847222222222222</v>
      </c>
      <c r="C100" s="5" t="inlineStr">
        <is>
          <t>Amazon</t>
        </is>
      </c>
      <c r="D100" s="5" t="n">
        <v>1</v>
      </c>
      <c r="E100" s="5" t="n"/>
      <c r="F100" s="6" t="inlineStr">
        <is>
          <t>111-2190174-3563423</t>
        </is>
      </c>
      <c r="G100" s="10" t="n"/>
      <c r="H100" s="9" t="inlineStr">
        <is>
          <t>Tax</t>
        </is>
      </c>
      <c r="I100" s="9" t="n">
        <v>4</v>
      </c>
      <c r="J100" s="9" t="inlineStr">
        <is>
          <t>cnt</t>
        </is>
      </c>
      <c r="K100" s="9" t="n">
        <v>9.32</v>
      </c>
    </row>
    <row r="101" customFormat="1" s="4">
      <c r="A101" s="83" t="n">
        <v>46002</v>
      </c>
      <c r="B101" s="82" t="n">
        <v>0.5926273148148148</v>
      </c>
      <c r="C101" s="5" t="inlineStr">
        <is>
          <t>Walmart</t>
        </is>
      </c>
      <c r="D101" s="5" t="n"/>
      <c r="E101" s="5" t="n">
        <v>1</v>
      </c>
      <c r="F101" s="6" t="inlineStr">
        <is>
          <t>5278 8345 6393 2882 2647</t>
        </is>
      </c>
      <c r="G101" s="10" t="n"/>
      <c r="H101" s="9" t="inlineStr">
        <is>
          <t>EQ 750 Count cotton swabs</t>
        </is>
      </c>
      <c r="I101" s="9" t="n"/>
      <c r="J101" s="9" t="n"/>
      <c r="K101" s="9" t="n">
        <v>3.18</v>
      </c>
    </row>
    <row r="102" customFormat="1" s="4">
      <c r="A102" s="83" t="n">
        <v>46002</v>
      </c>
      <c r="B102" s="82" t="n">
        <v>0.5926273148148148</v>
      </c>
      <c r="C102" s="5" t="inlineStr">
        <is>
          <t>Walmart</t>
        </is>
      </c>
      <c r="D102" s="5" t="n"/>
      <c r="E102" s="5" t="n">
        <v>1</v>
      </c>
      <c r="F102" s="6" t="inlineStr">
        <is>
          <t>5278 8345 6393 2882 2647</t>
        </is>
      </c>
      <c r="G102" s="10" t="n"/>
      <c r="H102" s="9" t="inlineStr">
        <is>
          <t>Dill</t>
        </is>
      </c>
      <c r="I102" s="9" t="n"/>
      <c r="J102" s="9" t="n"/>
      <c r="K102" s="9" t="n">
        <v>1.78</v>
      </c>
    </row>
    <row r="103" customFormat="1" s="4">
      <c r="A103" s="83" t="n">
        <v>46002</v>
      </c>
      <c r="B103" s="82" t="n">
        <v>0.5926273148148148</v>
      </c>
      <c r="C103" s="5" t="inlineStr">
        <is>
          <t>Walmart</t>
        </is>
      </c>
      <c r="D103" s="5" t="n"/>
      <c r="E103" s="5" t="n">
        <v>1</v>
      </c>
      <c r="F103" s="6" t="inlineStr">
        <is>
          <t>5278 8345 6393 2882 2647</t>
        </is>
      </c>
      <c r="G103" s="10" t="n"/>
      <c r="H103" s="9" t="inlineStr">
        <is>
          <t>Organic Ginger</t>
        </is>
      </c>
      <c r="I103" s="9" t="n"/>
      <c r="J103" s="9" t="n"/>
      <c r="K103" s="9" t="n">
        <v>4.87</v>
      </c>
    </row>
    <row r="104" customFormat="1" s="4">
      <c r="A104" s="83" t="n">
        <v>46002</v>
      </c>
      <c r="B104" s="82" t="n">
        <v>0.5926273148148148</v>
      </c>
      <c r="C104" s="5" t="inlineStr">
        <is>
          <t>Walmart</t>
        </is>
      </c>
      <c r="D104" s="5" t="n"/>
      <c r="E104" s="5" t="n">
        <v>1</v>
      </c>
      <c r="F104" s="6" t="inlineStr">
        <is>
          <t>5278 8345 6393 2882 2647</t>
        </is>
      </c>
      <c r="G104" s="10" t="n"/>
      <c r="H104" s="9" t="inlineStr">
        <is>
          <t>Equate Week</t>
        </is>
      </c>
      <c r="I104" s="9" t="n"/>
      <c r="J104" s="9" t="n"/>
      <c r="K104" s="9" t="n">
        <v>0.98</v>
      </c>
    </row>
    <row r="105" customFormat="1" s="4">
      <c r="A105" s="83" t="n">
        <v>46002</v>
      </c>
      <c r="B105" s="82" t="n">
        <v>0.5926273148148148</v>
      </c>
      <c r="C105" s="5" t="inlineStr">
        <is>
          <t>Walmart</t>
        </is>
      </c>
      <c r="D105" s="5" t="n"/>
      <c r="E105" s="5" t="n">
        <v>1</v>
      </c>
      <c r="F105" s="6" t="inlineStr">
        <is>
          <t>5278 8345 6393 2882 2647</t>
        </is>
      </c>
      <c r="G105" s="10" t="n"/>
      <c r="H105" s="9" t="inlineStr">
        <is>
          <t>Bulk Lemons, 3 for 0.58/each</t>
        </is>
      </c>
      <c r="I105" s="9" t="n"/>
      <c r="J105" s="9" t="n"/>
      <c r="K105" s="9" t="n">
        <v>1.74</v>
      </c>
    </row>
    <row r="106" customFormat="1" s="4">
      <c r="A106" s="83" t="n">
        <v>46002</v>
      </c>
      <c r="B106" s="82" t="n">
        <v>0.5926273148148148</v>
      </c>
      <c r="C106" s="5" t="inlineStr">
        <is>
          <t>Walmart</t>
        </is>
      </c>
      <c r="D106" s="5" t="n"/>
      <c r="E106" s="5" t="n">
        <v>1</v>
      </c>
      <c r="F106" s="6" t="inlineStr">
        <is>
          <t>5278 8345 6393 2882 2647</t>
        </is>
      </c>
      <c r="G106" s="10" t="n"/>
      <c r="H106" s="9" t="inlineStr">
        <is>
          <t>Extra Gum</t>
        </is>
      </c>
      <c r="I106" s="9" t="n"/>
      <c r="J106" s="9" t="n"/>
      <c r="K106" s="9" t="n">
        <v>1.72</v>
      </c>
    </row>
    <row r="107" customFormat="1" s="4">
      <c r="A107" s="83" t="n">
        <v>46002</v>
      </c>
      <c r="B107" s="82" t="n">
        <v>0.5926273148148148</v>
      </c>
      <c r="C107" s="5" t="inlineStr">
        <is>
          <t>Walmart</t>
        </is>
      </c>
      <c r="D107" s="5" t="n"/>
      <c r="E107" s="5" t="n">
        <v>1</v>
      </c>
      <c r="F107" s="6" t="inlineStr">
        <is>
          <t>5278 8345 6393 2882 2647</t>
        </is>
      </c>
      <c r="G107" s="10" t="n"/>
      <c r="H107" s="9" t="inlineStr">
        <is>
          <t>Tax 1 4.250%</t>
        </is>
      </c>
      <c r="I107" s="9" t="n"/>
      <c r="J107" s="9" t="n"/>
      <c r="K107" s="9" t="n">
        <v>0.25</v>
      </c>
    </row>
    <row r="108" customFormat="1" s="4">
      <c r="A108" s="83" t="n">
        <v>46002</v>
      </c>
      <c r="B108" s="82" t="n">
        <v>0.5926273148148148</v>
      </c>
      <c r="C108" s="5" t="inlineStr">
        <is>
          <t>Walmart</t>
        </is>
      </c>
      <c r="D108" s="5" t="n"/>
      <c r="E108" s="5" t="n">
        <v>1</v>
      </c>
      <c r="F108" s="6" t="inlineStr">
        <is>
          <t>5278 8345 6393 2882 2647</t>
        </is>
      </c>
      <c r="G108" s="10" t="n"/>
      <c r="H108" s="9" t="inlineStr">
        <is>
          <t>Mary Wu Treat!</t>
        </is>
      </c>
      <c r="I108" s="9" t="n"/>
      <c r="J108" s="9" t="n"/>
      <c r="K108" s="9" t="n">
        <v>-14.52</v>
      </c>
    </row>
    <row r="109" customFormat="1" s="4">
      <c r="A109" s="83" t="n">
        <v>46002</v>
      </c>
      <c r="B109" s="82" t="n">
        <v>0.4618055555555556</v>
      </c>
      <c r="C109" s="5" t="inlineStr">
        <is>
          <t>Costco</t>
        </is>
      </c>
      <c r="D109" s="5" t="n"/>
      <c r="E109" s="5" t="n">
        <v>1</v>
      </c>
      <c r="F109" s="6" t="inlineStr">
        <is>
          <t>650 6 22 18</t>
        </is>
      </c>
      <c r="G109" s="10" t="inlineStr">
        <is>
          <t>E 1597590</t>
        </is>
      </c>
      <c r="H109" s="9" t="inlineStr">
        <is>
          <t>Swift Beef Marrow Bones, Frozen</t>
        </is>
      </c>
      <c r="I109" s="9" t="n">
        <v>4</v>
      </c>
      <c r="J109" s="9" t="inlineStr">
        <is>
          <t>lb</t>
        </is>
      </c>
      <c r="K109" s="9" t="n">
        <v>12.99</v>
      </c>
    </row>
    <row r="110" customFormat="1" s="4">
      <c r="A110" s="83" t="n">
        <v>46002</v>
      </c>
      <c r="B110" s="82" t="n">
        <v>0.4618055555555556</v>
      </c>
      <c r="C110" s="5" t="inlineStr">
        <is>
          <t>Costco</t>
        </is>
      </c>
      <c r="D110" s="5" t="n"/>
      <c r="E110" s="5" t="n">
        <v>1</v>
      </c>
      <c r="F110" s="6" t="inlineStr">
        <is>
          <t>650 6 22 18</t>
        </is>
      </c>
      <c r="G110" s="10" t="inlineStr">
        <is>
          <t>E 1597590</t>
        </is>
      </c>
      <c r="H110" s="9" t="inlineStr">
        <is>
          <t>Swift Beef Marrow Bones, Frozen</t>
        </is>
      </c>
      <c r="I110" s="9" t="n">
        <v>4</v>
      </c>
      <c r="J110" s="9" t="inlineStr">
        <is>
          <t>lb</t>
        </is>
      </c>
      <c r="K110" s="9" t="n">
        <v>12.99</v>
      </c>
    </row>
    <row r="111" customFormat="1" s="4">
      <c r="A111" s="83" t="n">
        <v>46002</v>
      </c>
      <c r="B111" s="82" t="n">
        <v>0.4618055555555556</v>
      </c>
      <c r="C111" s="5" t="inlineStr">
        <is>
          <t>Costco</t>
        </is>
      </c>
      <c r="D111" s="5" t="n"/>
      <c r="E111" s="5" t="n">
        <v>1</v>
      </c>
      <c r="F111" s="6" t="inlineStr">
        <is>
          <t>650 6 22 18</t>
        </is>
      </c>
      <c r="G111" s="10" t="inlineStr">
        <is>
          <t>E 1597590</t>
        </is>
      </c>
      <c r="H111" s="9" t="inlineStr">
        <is>
          <t>Tax</t>
        </is>
      </c>
      <c r="I111" s="9" t="n">
        <v>2</v>
      </c>
      <c r="J111" s="9" t="inlineStr">
        <is>
          <t>cnt</t>
        </is>
      </c>
      <c r="K111" s="9" t="n">
        <v>0</v>
      </c>
    </row>
    <row r="112" customFormat="1" s="4">
      <c r="A112" s="83" t="n">
        <v>46002</v>
      </c>
      <c r="B112" s="82" t="n">
        <v>0.4618055555555556</v>
      </c>
      <c r="C112" s="5" t="inlineStr">
        <is>
          <t>Costco</t>
        </is>
      </c>
      <c r="D112" s="5" t="n"/>
      <c r="E112" s="5" t="n">
        <v>1</v>
      </c>
      <c r="F112" s="6" t="inlineStr">
        <is>
          <t>650 6 22 18</t>
        </is>
      </c>
      <c r="G112" s="10" t="inlineStr">
        <is>
          <t>E 1597590</t>
        </is>
      </c>
      <c r="H112" s="9" t="inlineStr">
        <is>
          <t>Mary Wu Treat!</t>
        </is>
      </c>
      <c r="I112" s="9" t="n">
        <v>2</v>
      </c>
      <c r="J112" s="9" t="inlineStr">
        <is>
          <t>cnt</t>
        </is>
      </c>
      <c r="K112" s="9" t="n">
        <v>-25.98</v>
      </c>
    </row>
    <row r="113" customFormat="1" s="4">
      <c r="A113" s="83" t="n">
        <v>46002</v>
      </c>
      <c r="B113" s="82" t="n">
        <v>0.3805555555555555</v>
      </c>
      <c r="C113" s="5" t="inlineStr">
        <is>
          <t>MathWorks</t>
        </is>
      </c>
      <c r="D113" s="5" t="n">
        <v>1</v>
      </c>
      <c r="E113" s="5" t="n"/>
      <c r="F113" s="6" t="inlineStr">
        <is>
          <t>3NU92199YS458134H</t>
        </is>
      </c>
      <c r="G113" s="10" t="n"/>
      <c r="H113" s="9" t="inlineStr">
        <is>
          <t>Copilot usability 1.5hr call stipend -- decided to use it on picture frames for the kiddos!</t>
        </is>
      </c>
      <c r="I113" s="9" t="n">
        <v>1</v>
      </c>
      <c r="J113" s="9" t="inlineStr">
        <is>
          <t>cnt</t>
        </is>
      </c>
      <c r="K113" s="9" t="n">
        <v>-100</v>
      </c>
    </row>
    <row r="114" customFormat="1" s="4">
      <c r="A114" s="83" t="n">
        <v>46002</v>
      </c>
      <c r="B114" s="82" t="n">
        <v>0.2916666666666667</v>
      </c>
      <c r="C114" s="5" t="inlineStr">
        <is>
          <t>US Tax Witholding</t>
        </is>
      </c>
      <c r="D114" s="5" t="n">
        <v>1</v>
      </c>
      <c r="E114" s="5" t="n"/>
      <c r="F114" s="6" t="inlineStr">
        <is>
          <t>RTX_Paycheck_25_51</t>
        </is>
      </c>
      <c r="G114" s="7" t="n"/>
      <c r="H114" s="9" t="inlineStr">
        <is>
          <t>Federal Income Tax</t>
        </is>
      </c>
      <c r="I114" s="5" t="n"/>
      <c r="J114" s="5" t="n"/>
      <c r="K114" s="5" t="n">
        <v>467.33</v>
      </c>
    </row>
    <row r="115" customFormat="1" s="4">
      <c r="A115" s="83" t="n">
        <v>46002</v>
      </c>
      <c r="B115" s="82" t="n">
        <v>0.2916666666666667</v>
      </c>
      <c r="C115" s="5" t="inlineStr">
        <is>
          <t>US Tax Witholding</t>
        </is>
      </c>
      <c r="D115" s="5" t="n">
        <v>1</v>
      </c>
      <c r="E115" s="5" t="n"/>
      <c r="F115" s="6" t="inlineStr">
        <is>
          <t>RTX_Paycheck_25_51</t>
        </is>
      </c>
      <c r="G115" s="7" t="n"/>
      <c r="H115" s="9" t="inlineStr">
        <is>
          <t>Social Security Tax</t>
        </is>
      </c>
      <c r="I115" s="5" t="n"/>
      <c r="J115" s="5" t="n"/>
      <c r="K115" s="5" t="n">
        <v>353.39</v>
      </c>
    </row>
    <row r="116" customFormat="1" s="4">
      <c r="A116" s="83" t="n">
        <v>46002</v>
      </c>
      <c r="B116" s="82" t="n">
        <v>0.2916666666666667</v>
      </c>
      <c r="C116" s="5" t="inlineStr">
        <is>
          <t>US Tax Witholding</t>
        </is>
      </c>
      <c r="D116" s="5" t="n">
        <v>1</v>
      </c>
      <c r="E116" s="5" t="n"/>
      <c r="F116" s="6" t="inlineStr">
        <is>
          <t>RTX_Paycheck_25_51</t>
        </is>
      </c>
      <c r="G116" s="7" t="n"/>
      <c r="H116" s="9" t="inlineStr">
        <is>
          <t>Medicare Tax</t>
        </is>
      </c>
      <c r="I116" s="5" t="n"/>
      <c r="J116" s="5" t="n"/>
      <c r="K116" s="5" t="n">
        <v>82.64</v>
      </c>
    </row>
    <row r="117" customFormat="1" s="4">
      <c r="A117" s="83" t="n">
        <v>46002</v>
      </c>
      <c r="B117" s="82" t="n">
        <v>0.2916666666666667</v>
      </c>
      <c r="C117" s="5" t="inlineStr">
        <is>
          <t>Raytheon</t>
        </is>
      </c>
      <c r="D117" s="5" t="n">
        <v>1</v>
      </c>
      <c r="E117" s="5" t="n"/>
      <c r="F117" s="6" t="inlineStr">
        <is>
          <t>RTX_Paycheck_25_51</t>
        </is>
      </c>
      <c r="G117" s="17" t="inlineStr">
        <is>
          <t>XXXX3523</t>
        </is>
      </c>
      <c r="H117" s="9" t="inlineStr">
        <is>
          <t>Net Paycheck [Nov 22 - Dec 05]</t>
        </is>
      </c>
      <c r="I117" s="5" t="n"/>
      <c r="J117" s="5" t="n"/>
      <c r="K117" s="5" t="n">
        <v>3298.02</v>
      </c>
    </row>
    <row r="118" customFormat="1" s="4">
      <c r="A118" s="83" t="n">
        <v>46002</v>
      </c>
      <c r="B118" s="82" t="n">
        <v>0.2916666666666667</v>
      </c>
      <c r="C118" s="5" t="inlineStr">
        <is>
          <t>Raytheon</t>
        </is>
      </c>
      <c r="D118" s="5" t="n">
        <v>1</v>
      </c>
      <c r="E118" s="5" t="n"/>
      <c r="F118" s="6" t="inlineStr">
        <is>
          <t>RTX_Paycheck_25_51</t>
        </is>
      </c>
      <c r="G118" s="10" t="n"/>
      <c r="H118" s="9" t="inlineStr">
        <is>
          <t>RTX Direct Deposit -- cancelling offset</t>
        </is>
      </c>
      <c r="I118" s="5" t="n"/>
      <c r="J118" s="5" t="n"/>
      <c r="K118" s="5" t="n">
        <v>-3298.03</v>
      </c>
    </row>
    <row r="119" customFormat="1" s="4">
      <c r="A119" s="83" t="n">
        <v>46002</v>
      </c>
      <c r="B119" s="82" t="n">
        <v>0.2916666666666667</v>
      </c>
      <c r="C119" s="5" t="inlineStr">
        <is>
          <t>Raytheon</t>
        </is>
      </c>
      <c r="D119" s="5" t="n">
        <v>1</v>
      </c>
      <c r="E119" s="5" t="n"/>
      <c r="F119" s="6" t="inlineStr">
        <is>
          <t>RTX_Paycheck_25_51</t>
        </is>
      </c>
      <c r="G119" s="10" t="n"/>
      <c r="H119" s="9" t="inlineStr">
        <is>
          <t>Gross Paycheck [Nov 22 - Dec 05] ($62.5000/hr)</t>
        </is>
      </c>
      <c r="I119" s="5" t="n"/>
      <c r="J119" s="5" t="n"/>
      <c r="K119" s="5" t="n">
        <v>-5948.84</v>
      </c>
    </row>
    <row r="120" customFormat="1" s="4">
      <c r="A120" s="83" t="n">
        <v>46002</v>
      </c>
      <c r="B120" s="82" t="n">
        <v>0.2916666666666667</v>
      </c>
      <c r="C120" s="5" t="inlineStr">
        <is>
          <t>Raytheon</t>
        </is>
      </c>
      <c r="D120" s="5" t="n">
        <v>1</v>
      </c>
      <c r="E120" s="5" t="n"/>
      <c r="F120" s="6" t="inlineStr">
        <is>
          <t>RTX_Paycheck_25_51</t>
        </is>
      </c>
      <c r="G120" s="10" t="n"/>
      <c r="H120" s="9" t="inlineStr">
        <is>
          <t>Ed(ucation) Assi(tance) Offset</t>
        </is>
      </c>
      <c r="I120" s="5" t="n"/>
      <c r="J120" s="5" t="n"/>
      <c r="K120" s="5" t="n">
        <v>948.84</v>
      </c>
    </row>
    <row r="121" customFormat="1" s="4">
      <c r="A121" s="83" t="n">
        <v>46002</v>
      </c>
      <c r="B121" s="82" t="n">
        <v>0.2916666666666667</v>
      </c>
      <c r="C121" s="5" t="inlineStr">
        <is>
          <t>Parents Gift Account</t>
        </is>
      </c>
      <c r="D121" s="5" t="n">
        <v>1</v>
      </c>
      <c r="E121" s="5" t="n"/>
      <c r="F121" s="6" t="inlineStr">
        <is>
          <t>RTX_Paycheck_25_51</t>
        </is>
      </c>
      <c r="G121" s="17" t="inlineStr">
        <is>
          <t>XXXX7146</t>
        </is>
      </c>
      <c r="H121" s="9" t="inlineStr">
        <is>
          <t>Contribution to Parents Gift Account</t>
        </is>
      </c>
      <c r="I121" s="5" t="n"/>
      <c r="J121" s="5" t="n"/>
      <c r="K121" s="5" t="n">
        <v>0.01</v>
      </c>
    </row>
    <row r="122" customFormat="1" s="4">
      <c r="A122" s="83" t="n">
        <v>46002</v>
      </c>
      <c r="B122" s="82" t="n">
        <v>0.2916666666666667</v>
      </c>
      <c r="C122" s="5" t="inlineStr">
        <is>
          <t>HSA</t>
        </is>
      </c>
      <c r="D122" s="5" t="n">
        <v>1</v>
      </c>
      <c r="E122" s="5" t="n"/>
      <c r="F122" s="6" t="inlineStr">
        <is>
          <t>RTX_Paycheck_25_51</t>
        </is>
      </c>
      <c r="G122" s="10" t="n"/>
      <c r="H122" s="9" t="inlineStr">
        <is>
          <t>Personal contribution to HSA</t>
        </is>
      </c>
      <c r="I122" s="5" t="n"/>
      <c r="J122" s="5" t="n"/>
      <c r="K122" s="5" t="n">
        <v>115.73</v>
      </c>
    </row>
    <row r="123" customFormat="1" s="4">
      <c r="A123" s="83" t="n">
        <v>46002</v>
      </c>
      <c r="B123" s="82" t="n">
        <v>0.2916666666666667</v>
      </c>
      <c r="C123" s="5" t="inlineStr">
        <is>
          <t>Delta Dental</t>
        </is>
      </c>
      <c r="D123" s="5" t="n">
        <v>1</v>
      </c>
      <c r="E123" s="5" t="n"/>
      <c r="F123" s="6" t="inlineStr">
        <is>
          <t>RTX_Paycheck_25_51</t>
        </is>
      </c>
      <c r="G123" s="10" t="n"/>
      <c r="H123" s="9" t="inlineStr">
        <is>
          <t>Dental Insurance</t>
        </is>
      </c>
      <c r="I123" s="5" t="n"/>
      <c r="J123" s="5" t="n"/>
      <c r="K123" s="5" t="n">
        <v>4.26</v>
      </c>
    </row>
    <row r="124" customFormat="1" s="4">
      <c r="A124" s="83" t="n">
        <v>46002</v>
      </c>
      <c r="B124" s="82" t="n">
        <v>0.2916666666666667</v>
      </c>
      <c r="C124" s="5" t="inlineStr">
        <is>
          <t>CO Tax Witholding</t>
        </is>
      </c>
      <c r="D124" s="5" t="n">
        <v>1</v>
      </c>
      <c r="E124" s="5" t="n"/>
      <c r="F124" s="6" t="inlineStr">
        <is>
          <t>RTX_Paycheck_25_51</t>
        </is>
      </c>
      <c r="G124" s="7" t="n"/>
      <c r="H124" s="9" t="inlineStr">
        <is>
          <t>CO State Income Tax</t>
        </is>
      </c>
      <c r="I124" s="5" t="n"/>
      <c r="J124" s="5" t="n"/>
      <c r="K124" s="5" t="n">
        <v>220.57</v>
      </c>
    </row>
    <row r="125" customFormat="1" s="4">
      <c r="A125" s="83" t="n">
        <v>46002</v>
      </c>
      <c r="B125" s="82" t="n">
        <v>0.2916666666666667</v>
      </c>
      <c r="C125" s="5" t="inlineStr">
        <is>
          <t>CO Tax Witholding</t>
        </is>
      </c>
      <c r="D125" s="5" t="n">
        <v>1</v>
      </c>
      <c r="E125" s="5" t="n"/>
      <c r="F125" s="6" t="inlineStr">
        <is>
          <t>RTX_Paycheck_25_51</t>
        </is>
      </c>
      <c r="G125" s="7" t="n"/>
      <c r="H125" s="9" t="inlineStr">
        <is>
          <t>CO Paid Family Leave Insurance</t>
        </is>
      </c>
      <c r="I125" s="5" t="n"/>
      <c r="J125" s="5" t="n"/>
      <c r="K125" s="5" t="n">
        <v>26.77</v>
      </c>
    </row>
    <row r="126" customFormat="1" s="4">
      <c r="A126" s="83" t="n">
        <v>46002</v>
      </c>
      <c r="B126" s="82" t="n">
        <v>0.2916666666666667</v>
      </c>
      <c r="C126" s="5" t="inlineStr">
        <is>
          <t>Anthem BcBs</t>
        </is>
      </c>
      <c r="D126" s="5" t="n">
        <v>1</v>
      </c>
      <c r="E126" s="5" t="n"/>
      <c r="F126" s="6" t="inlineStr">
        <is>
          <t>RTX_Paycheck_25_51</t>
        </is>
      </c>
      <c r="G126" s="10" t="n"/>
      <c r="H126" s="9" t="inlineStr">
        <is>
          <t>Medical Insurance</t>
        </is>
      </c>
      <c r="I126" s="5" t="n"/>
      <c r="J126" s="5" t="n"/>
      <c r="K126" s="5" t="n">
        <v>131.28</v>
      </c>
    </row>
    <row r="127" customFormat="1" s="4">
      <c r="A127" s="83" t="n">
        <v>46002</v>
      </c>
      <c r="B127" s="82" t="n">
        <v>0.2916666666666667</v>
      </c>
      <c r="C127" s="5" t="inlineStr">
        <is>
          <t>Alight</t>
        </is>
      </c>
      <c r="D127" s="5" t="n">
        <v>1</v>
      </c>
      <c r="E127" s="5" t="n"/>
      <c r="F127" s="6" t="inlineStr">
        <is>
          <t>RTX_Paycheck_25_51</t>
        </is>
      </c>
      <c r="G127" s="10" t="n"/>
      <c r="H127" s="9" t="inlineStr">
        <is>
          <t>401k Basic -- Traditional</t>
        </is>
      </c>
      <c r="I127" s="5" t="n"/>
      <c r="J127" s="5" t="n"/>
      <c r="K127" s="5" t="n">
        <v>300</v>
      </c>
    </row>
    <row r="128" customFormat="1" s="4">
      <c r="A128" s="83" t="n">
        <v>46002</v>
      </c>
      <c r="B128" s="82" t="n">
        <v>0.2916666666666667</v>
      </c>
      <c r="C128" s="5" t="inlineStr">
        <is>
          <t>Alight</t>
        </is>
      </c>
      <c r="D128" s="5" t="n">
        <v>1</v>
      </c>
      <c r="E128" s="5" t="n"/>
      <c r="F128" s="6" t="inlineStr">
        <is>
          <t>RTX_Paycheck_25_51</t>
        </is>
      </c>
      <c r="G128" s="10" t="n"/>
      <c r="H128" s="9" t="inlineStr">
        <is>
          <t>Roth 401k Basic</t>
        </is>
      </c>
      <c r="I128" s="5" t="n"/>
      <c r="J128" s="5" t="n"/>
      <c r="K128" s="5" t="n">
        <v>0</v>
      </c>
    </row>
    <row r="129" customFormat="1" s="4">
      <c r="A129" s="83" t="n">
        <v>46002</v>
      </c>
      <c r="B129" s="82" t="n">
        <v>0.2916666666666667</v>
      </c>
      <c r="C129" s="5" t="inlineStr">
        <is>
          <t>Alight</t>
        </is>
      </c>
      <c r="D129" s="5" t="n">
        <v>1</v>
      </c>
      <c r="E129" s="5" t="n"/>
      <c r="F129" s="6" t="inlineStr">
        <is>
          <t>RTX_Paycheck_25_53</t>
        </is>
      </c>
      <c r="G129" s="10" t="n"/>
      <c r="H129" s="9" t="inlineStr">
        <is>
          <t>401k Basic -- Traditional</t>
        </is>
      </c>
      <c r="I129" s="9" t="n"/>
      <c r="J129" s="9" t="n"/>
      <c r="K129" s="9" t="n">
        <v>45</v>
      </c>
    </row>
    <row r="130" customFormat="1" s="4">
      <c r="A130" s="83" t="n">
        <v>46002</v>
      </c>
      <c r="B130" s="82" t="n">
        <v>0.08888888888888889</v>
      </c>
      <c r="C130" s="5" t="inlineStr">
        <is>
          <t>Overland Missions</t>
        </is>
      </c>
      <c r="D130" s="5" t="n">
        <v>1</v>
      </c>
      <c r="E130" s="5" t="n"/>
      <c r="F130" s="6" t="inlineStr">
        <is>
          <t>81358918287</t>
        </is>
      </c>
      <c r="G130" s="10" t="n"/>
      <c r="H130" s="9" t="inlineStr">
        <is>
          <t>Pelletier - Monthly missions donation</t>
        </is>
      </c>
      <c r="I130" s="9" t="n">
        <v>1</v>
      </c>
      <c r="J130" s="9" t="inlineStr">
        <is>
          <t>cnt</t>
        </is>
      </c>
      <c r="K130" s="9" t="n">
        <v>250</v>
      </c>
    </row>
    <row r="131" customFormat="1" s="4">
      <c r="A131" s="83" t="n">
        <v>46002</v>
      </c>
      <c r="B131" s="82" t="n">
        <v>0.009027777777777777</v>
      </c>
      <c r="C131" s="5" t="inlineStr">
        <is>
          <t>Amazon</t>
        </is>
      </c>
      <c r="D131" s="5" t="n">
        <v>1</v>
      </c>
      <c r="E131" s="5" t="n"/>
      <c r="F131" s="6" t="inlineStr">
        <is>
          <t>111-9434955-4739462</t>
        </is>
      </c>
      <c r="G131" s="15" t="inlineStr">
        <is>
          <t>B07BYXHYLY</t>
        </is>
      </c>
      <c r="H131" s="9" t="inlineStr">
        <is>
          <t>**REFUNDED** KBS Pro 710W Bread Maker, 2LB 17-in-1 Automatic Bread Machine with Healthy Ceramic Pan, Nut Dispenser, Tempered Glass Touch Panel, Stainless Steel Hou</t>
        </is>
      </c>
      <c r="I131" s="9" t="n">
        <v>1</v>
      </c>
      <c r="J131" s="9" t="inlineStr">
        <is>
          <t>cnt</t>
        </is>
      </c>
      <c r="K131" s="9" t="n">
        <v>-117.28</v>
      </c>
    </row>
    <row r="132" customFormat="1" s="4">
      <c r="A132" s="83" t="n">
        <v>46002</v>
      </c>
      <c r="B132" s="82" t="n">
        <v>0.009027777777777777</v>
      </c>
      <c r="C132" s="5" t="inlineStr">
        <is>
          <t>Amazon</t>
        </is>
      </c>
      <c r="D132" s="5" t="n">
        <v>1</v>
      </c>
      <c r="E132" s="5" t="n"/>
      <c r="F132" s="6" t="inlineStr">
        <is>
          <t>111-9434955-4739462</t>
        </is>
      </c>
      <c r="G132" s="15" t="inlineStr">
        <is>
          <t>B07BYXHYLY</t>
        </is>
      </c>
      <c r="H132" s="9" t="inlineStr">
        <is>
          <t>**REFUNDED** Tax</t>
        </is>
      </c>
      <c r="I132" s="9" t="n">
        <v>1</v>
      </c>
      <c r="J132" s="9" t="inlineStr">
        <is>
          <t>cnt</t>
        </is>
      </c>
      <c r="K132" s="9" t="n">
        <v>-9.380000000000001</v>
      </c>
    </row>
    <row r="133" customFormat="1" s="4">
      <c r="A133" s="81" t="n">
        <v>46001</v>
      </c>
      <c r="B133" s="82" t="n">
        <v>0.6145833333333334</v>
      </c>
      <c r="C133" s="5" t="inlineStr">
        <is>
          <t>Costco</t>
        </is>
      </c>
      <c r="D133" s="5" t="n"/>
      <c r="E133" s="5" t="n">
        <v>1</v>
      </c>
      <c r="F133" s="6" t="inlineStr">
        <is>
          <t>439 6 210 37</t>
        </is>
      </c>
      <c r="G133" s="9" t="inlineStr">
        <is>
          <t>E 1968954</t>
        </is>
      </c>
      <c r="H133" s="9" t="inlineStr">
        <is>
          <t>Seasalt Pita Coconut Oil Cedar Valley</t>
        </is>
      </c>
      <c r="I133" s="9" t="n">
        <v>760</v>
      </c>
      <c r="J133" s="9" t="inlineStr">
        <is>
          <t>g</t>
        </is>
      </c>
      <c r="K133" s="9" t="inlineStr">
        <is>
          <t>7.99 EF</t>
        </is>
      </c>
    </row>
    <row r="134" customFormat="1" s="4">
      <c r="A134" s="81" t="n">
        <v>46001</v>
      </c>
      <c r="B134" s="82" t="n">
        <v>0.6145833333333334</v>
      </c>
      <c r="C134" s="5" t="inlineStr">
        <is>
          <t>Costco</t>
        </is>
      </c>
      <c r="D134" s="5" t="n"/>
      <c r="E134" s="5" t="n">
        <v>1</v>
      </c>
      <c r="F134" s="6" t="inlineStr">
        <is>
          <t>439 6 210 37</t>
        </is>
      </c>
      <c r="G134" s="10" t="inlineStr">
        <is>
          <t>E 1068080</t>
        </is>
      </c>
      <c r="H134" s="9" t="inlineStr">
        <is>
          <t>Pasture Eggs</t>
        </is>
      </c>
      <c r="I134" s="9" t="n">
        <v>18</v>
      </c>
      <c r="J134" s="9" t="inlineStr">
        <is>
          <t>cnt</t>
        </is>
      </c>
      <c r="K134" s="9" t="n">
        <v>7.99</v>
      </c>
    </row>
    <row r="135" customFormat="1" s="4">
      <c r="A135" s="81" t="n">
        <v>46001</v>
      </c>
      <c r="B135" s="82" t="n">
        <v>0.6145833333333334</v>
      </c>
      <c r="C135" s="5" t="inlineStr">
        <is>
          <t>Costco</t>
        </is>
      </c>
      <c r="D135" s="5" t="n"/>
      <c r="E135" s="5" t="n">
        <v>1</v>
      </c>
      <c r="F135" s="6" t="inlineStr">
        <is>
          <t>439 6 210 37</t>
        </is>
      </c>
      <c r="G135" s="10" t="inlineStr">
        <is>
          <t>E 15337</t>
        </is>
      </c>
      <c r="H135" s="9" t="inlineStr">
        <is>
          <t>Sockeye Salmon</t>
        </is>
      </c>
      <c r="I135" s="9" t="n"/>
      <c r="J135" s="9" t="n"/>
      <c r="K135" s="9" t="n">
        <v>22.66</v>
      </c>
    </row>
    <row r="136" customFormat="1" s="4">
      <c r="A136" s="81" t="n">
        <v>46001</v>
      </c>
      <c r="B136" s="82" t="n">
        <v>0.6145833333333334</v>
      </c>
      <c r="C136" s="5" t="inlineStr">
        <is>
          <t>Costco</t>
        </is>
      </c>
      <c r="D136" s="5" t="n"/>
      <c r="E136" s="5" t="n">
        <v>1</v>
      </c>
      <c r="F136" s="6" t="inlineStr">
        <is>
          <t>439 6 210 37</t>
        </is>
      </c>
      <c r="G136" s="10" t="inlineStr">
        <is>
          <t>E 8789</t>
        </is>
      </c>
      <c r="H136" s="9" t="inlineStr">
        <is>
          <t>Pineapple</t>
        </is>
      </c>
      <c r="I136" s="9" t="n">
        <v>1</v>
      </c>
      <c r="J136" s="9" t="inlineStr">
        <is>
          <t>cnt</t>
        </is>
      </c>
      <c r="K136" s="9" t="n">
        <v>2.99</v>
      </c>
    </row>
    <row r="137" customFormat="1" s="4">
      <c r="A137" s="81" t="n">
        <v>46001</v>
      </c>
      <c r="B137" s="82" t="n">
        <v>0.6145833333333334</v>
      </c>
      <c r="C137" s="5" t="inlineStr">
        <is>
          <t>Costco</t>
        </is>
      </c>
      <c r="D137" s="5" t="n"/>
      <c r="E137" s="5" t="n">
        <v>1</v>
      </c>
      <c r="F137" s="6" t="inlineStr">
        <is>
          <t>439 6 210 37</t>
        </is>
      </c>
      <c r="G137" s="10" t="inlineStr">
        <is>
          <t>E 1951037</t>
        </is>
      </c>
      <c r="H137" s="9" t="inlineStr">
        <is>
          <t>BAKE RIDE GRAIN FREE FRUIT &amp; NUT GRANOLA 30 OZ</t>
        </is>
      </c>
      <c r="I137" s="9" t="n">
        <v>30</v>
      </c>
      <c r="J137" s="9" t="inlineStr">
        <is>
          <t>oz</t>
        </is>
      </c>
      <c r="K137" s="9" t="n">
        <v>12.69</v>
      </c>
    </row>
    <row r="138" customFormat="1" s="4">
      <c r="A138" s="81" t="n">
        <v>46001</v>
      </c>
      <c r="B138" s="82" t="n">
        <v>0.6145833333333334</v>
      </c>
      <c r="C138" s="5" t="inlineStr">
        <is>
          <t>Costco</t>
        </is>
      </c>
      <c r="D138" s="5" t="n"/>
      <c r="E138" s="5" t="n">
        <v>1</v>
      </c>
      <c r="F138" s="6" t="inlineStr">
        <is>
          <t>439 6 210 37</t>
        </is>
      </c>
      <c r="G138" s="15" t="inlineStr">
        <is>
          <t>1954202</t>
        </is>
      </c>
      <c r="H138" s="9" t="inlineStr">
        <is>
          <t>Zena Supergreens Plus Energy, 45 Stick Packs</t>
        </is>
      </c>
      <c r="I138" s="9" t="n">
        <v>45</v>
      </c>
      <c r="J138" s="9" t="inlineStr">
        <is>
          <t>cnt</t>
        </is>
      </c>
      <c r="K138" s="9" t="inlineStr">
        <is>
          <t>39.99 A</t>
        </is>
      </c>
    </row>
    <row r="139" customFormat="1" s="4">
      <c r="A139" s="81" t="n">
        <v>46001</v>
      </c>
      <c r="B139" s="82" t="n">
        <v>0.6145833333333334</v>
      </c>
      <c r="C139" s="5" t="inlineStr">
        <is>
          <t>Costco</t>
        </is>
      </c>
      <c r="D139" s="5" t="n"/>
      <c r="E139" s="5" t="n">
        <v>1</v>
      </c>
      <c r="F139" s="6" t="inlineStr">
        <is>
          <t>439 6 210 37</t>
        </is>
      </c>
      <c r="G139" s="15" t="inlineStr">
        <is>
          <t>0000367672</t>
        </is>
      </c>
      <c r="H139" s="9" t="inlineStr">
        <is>
          <t>**DISCOUNT** /1954202 Zena</t>
        </is>
      </c>
      <c r="I139" s="9" t="n">
        <v>45</v>
      </c>
      <c r="J139" s="9" t="inlineStr">
        <is>
          <t>cnt</t>
        </is>
      </c>
      <c r="K139" s="9" t="inlineStr">
        <is>
          <t>A 8.00-</t>
        </is>
      </c>
    </row>
    <row r="140" customFormat="1" s="4">
      <c r="A140" s="81" t="n">
        <v>46001</v>
      </c>
      <c r="B140" s="82" t="n">
        <v>0.6145833333333334</v>
      </c>
      <c r="C140" s="5" t="inlineStr">
        <is>
          <t>Costco</t>
        </is>
      </c>
      <c r="D140" s="5" t="n"/>
      <c r="E140" s="5" t="n">
        <v>1</v>
      </c>
      <c r="F140" s="6" t="inlineStr">
        <is>
          <t>439 6 210 37</t>
        </is>
      </c>
      <c r="G140" s="10" t="inlineStr">
        <is>
          <t>E 647465</t>
        </is>
      </c>
      <c r="H140" s="9" t="inlineStr">
        <is>
          <t>Avocados</t>
        </is>
      </c>
      <c r="I140" s="9" t="n">
        <v>6</v>
      </c>
      <c r="J140" s="9" t="inlineStr">
        <is>
          <t>cnt</t>
        </is>
      </c>
      <c r="K140" s="9" t="n">
        <v>4.49</v>
      </c>
    </row>
    <row r="141" customFormat="1" s="4">
      <c r="A141" s="81" t="n">
        <v>46001</v>
      </c>
      <c r="B141" s="82" t="n">
        <v>0.6145833333333334</v>
      </c>
      <c r="C141" s="5" t="inlineStr">
        <is>
          <t>Costco</t>
        </is>
      </c>
      <c r="D141" s="5" t="n"/>
      <c r="E141" s="5" t="n">
        <v>1</v>
      </c>
      <c r="F141" s="6" t="inlineStr">
        <is>
          <t>439 6 210 37</t>
        </is>
      </c>
      <c r="G141" s="10" t="inlineStr">
        <is>
          <t>E 26802</t>
        </is>
      </c>
      <c r="H141" s="9" t="inlineStr">
        <is>
          <t>Crumbled Feta President</t>
        </is>
      </c>
      <c r="I141" s="9" t="n">
        <v>24</v>
      </c>
      <c r="J141" s="9" t="inlineStr">
        <is>
          <t>oz</t>
        </is>
      </c>
      <c r="K141" s="9" t="n">
        <v>6.99</v>
      </c>
    </row>
    <row r="142" customFormat="1" s="4">
      <c r="A142" s="81" t="n">
        <v>46001</v>
      </c>
      <c r="B142" s="82" t="n">
        <v>0.6145833333333334</v>
      </c>
      <c r="C142" s="5" t="inlineStr">
        <is>
          <t>Costco</t>
        </is>
      </c>
      <c r="D142" s="5" t="n"/>
      <c r="E142" s="5" t="n">
        <v>1</v>
      </c>
      <c r="F142" s="6" t="inlineStr">
        <is>
          <t>439 6 210 37</t>
        </is>
      </c>
      <c r="G142" s="10" t="n"/>
      <c r="H142" s="9" t="inlineStr">
        <is>
          <t>Tax A 8.00%</t>
        </is>
      </c>
      <c r="I142" s="9" t="n">
        <v>1</v>
      </c>
      <c r="J142" s="9" t="inlineStr">
        <is>
          <t>cnt</t>
        </is>
      </c>
      <c r="K142" s="9" t="n">
        <v>2.56</v>
      </c>
    </row>
    <row r="143" customFormat="1" s="4">
      <c r="A143" s="81" t="n">
        <v>46001</v>
      </c>
      <c r="B143" s="82" t="n">
        <v>0.6145833333333334</v>
      </c>
      <c r="C143" s="5" t="inlineStr">
        <is>
          <t>Costco</t>
        </is>
      </c>
      <c r="D143" s="5" t="n"/>
      <c r="E143" s="5" t="n">
        <v>1</v>
      </c>
      <c r="F143" s="6" t="inlineStr">
        <is>
          <t>439 6 210 37</t>
        </is>
      </c>
      <c r="G143" s="10" t="n"/>
      <c r="H143" s="9" t="inlineStr">
        <is>
          <t>Tax E 3.75%</t>
        </is>
      </c>
      <c r="I143" s="9" t="n">
        <v>1</v>
      </c>
      <c r="J143" s="9" t="inlineStr">
        <is>
          <t>cnt</t>
        </is>
      </c>
      <c r="K143" s="9" t="n">
        <v>0.3</v>
      </c>
    </row>
    <row r="144" customFormat="1" s="4">
      <c r="A144" s="81" t="n">
        <v>46001</v>
      </c>
      <c r="B144" s="82" t="n">
        <v>0.6145833333333334</v>
      </c>
      <c r="C144" s="5" t="inlineStr">
        <is>
          <t>Costco</t>
        </is>
      </c>
      <c r="D144" s="5" t="n"/>
      <c r="E144" s="5" t="n">
        <v>1</v>
      </c>
      <c r="F144" s="6" t="inlineStr">
        <is>
          <t>439 6 210 37</t>
        </is>
      </c>
      <c r="G144" s="10" t="n"/>
      <c r="H144" s="9" t="inlineStr">
        <is>
          <t>Tax F 4.00%</t>
        </is>
      </c>
      <c r="I144" s="9" t="n">
        <v>1</v>
      </c>
      <c r="J144" s="9" t="inlineStr">
        <is>
          <t>cnt</t>
        </is>
      </c>
      <c r="K144" s="9" t="n">
        <v>0.32</v>
      </c>
    </row>
    <row r="145" customFormat="1" s="4">
      <c r="A145" s="81" t="n">
        <v>46001</v>
      </c>
      <c r="B145" s="82" t="n">
        <v>0.6145833333333334</v>
      </c>
      <c r="C145" s="5" t="inlineStr">
        <is>
          <t>Costco</t>
        </is>
      </c>
      <c r="D145" s="5" t="n"/>
      <c r="E145" s="5" t="n">
        <v>1</v>
      </c>
      <c r="F145" s="6" t="inlineStr">
        <is>
          <t>439 6 210 37</t>
        </is>
      </c>
      <c r="G145" s="10" t="n"/>
      <c r="H145" s="9" t="inlineStr">
        <is>
          <t>Mary Wu Treat!</t>
        </is>
      </c>
      <c r="I145" s="9" t="n">
        <v>8</v>
      </c>
      <c r="J145" s="9" t="inlineStr">
        <is>
          <t>cnt</t>
        </is>
      </c>
      <c r="K145" s="9" t="n">
        <v>-100.97</v>
      </c>
    </row>
    <row r="146" customFormat="1" s="4">
      <c r="A146" s="81" t="n">
        <v>45999</v>
      </c>
      <c r="B146" s="82" t="n">
        <v>0.6701388888888888</v>
      </c>
      <c r="C146" s="5" t="inlineStr">
        <is>
          <t>Amazon</t>
        </is>
      </c>
      <c r="D146" s="5" t="n">
        <v>1</v>
      </c>
      <c r="E146" s="5" t="n"/>
      <c r="F146" s="6" t="inlineStr">
        <is>
          <t>111-7405830-8393027</t>
        </is>
      </c>
      <c r="G146" s="10" t="inlineStr">
        <is>
          <t>C</t>
        </is>
      </c>
      <c r="H146" s="9" t="inlineStr">
        <is>
          <t>**RETURNED** RONXS Candle Lighter, Electric Lighter, Rechargeable Type C Lighters Arc Lighter with LED Battery Display, Flameless Long Lighters for Candles Grill BBQ Camping (Black) Sold by: YF US</t>
        </is>
      </c>
      <c r="I146" s="9" t="n">
        <v>1</v>
      </c>
      <c r="J146" s="9" t="inlineStr">
        <is>
          <t>cnt</t>
        </is>
      </c>
      <c r="K146" s="9" t="n">
        <v>-6.83</v>
      </c>
    </row>
    <row r="147" customFormat="1" s="4">
      <c r="A147" s="81" t="n">
        <v>45999</v>
      </c>
      <c r="B147" s="82" t="n">
        <v>0.6701388888888888</v>
      </c>
      <c r="C147" s="5" t="inlineStr">
        <is>
          <t>Amazon</t>
        </is>
      </c>
      <c r="D147" s="5" t="n">
        <v>1</v>
      </c>
      <c r="E147" s="5" t="n"/>
      <c r="F147" s="6" t="inlineStr">
        <is>
          <t>111-7405830-8393027</t>
        </is>
      </c>
      <c r="G147" s="10" t="inlineStr">
        <is>
          <t>D</t>
        </is>
      </c>
      <c r="H147" s="9" t="inlineStr">
        <is>
          <t>**RETURNED** AWLKIM Meat Thermometer Digital - Instant Read Waterproof Food Thermometer with Backlight for Cooking, Grill, Candy, Kitchen &amp; Stocking Stuffers for Men - Red Sold by: AWLKIM</t>
        </is>
      </c>
      <c r="I147" s="9" t="n">
        <v>1</v>
      </c>
      <c r="J147" s="9" t="inlineStr">
        <is>
          <t>cnt</t>
        </is>
      </c>
      <c r="K147" s="9" t="n">
        <v>-5.69</v>
      </c>
    </row>
    <row r="148" customFormat="1" s="4">
      <c r="A148" s="81" t="n">
        <v>45999</v>
      </c>
      <c r="B148" s="82" t="n">
        <v>0.6701388888888888</v>
      </c>
      <c r="C148" s="5" t="inlineStr">
        <is>
          <t>Amazon</t>
        </is>
      </c>
      <c r="D148" s="5" t="n">
        <v>1</v>
      </c>
      <c r="E148" s="5" t="n"/>
      <c r="F148" s="6" t="inlineStr">
        <is>
          <t>111-7405830-8393027</t>
        </is>
      </c>
      <c r="G148" s="10" t="inlineStr">
        <is>
          <t>CD</t>
        </is>
      </c>
      <c r="H148" s="9" t="inlineStr">
        <is>
          <t>**REFUNDED** Tax</t>
        </is>
      </c>
      <c r="I148" s="9" t="n">
        <v>2</v>
      </c>
      <c r="J148" s="9" t="inlineStr">
        <is>
          <t>cnt</t>
        </is>
      </c>
      <c r="K148" s="9" t="n">
        <v>-1.01</v>
      </c>
    </row>
    <row r="149" customFormat="1" s="4">
      <c r="A149" s="81" t="n">
        <v>45999</v>
      </c>
      <c r="B149" s="82" t="n">
        <v>0.6694444444444444</v>
      </c>
      <c r="C149" s="5" t="inlineStr">
        <is>
          <t>Amazon</t>
        </is>
      </c>
      <c r="D149" s="5" t="n">
        <v>1</v>
      </c>
      <c r="E149" s="5" t="n"/>
      <c r="F149" s="6" t="inlineStr">
        <is>
          <t>111-1788321-5321009</t>
        </is>
      </c>
      <c r="G149" s="10" t="n"/>
      <c r="H149" s="9" t="inlineStr">
        <is>
          <t>**RETURNED** Toddler Leashes + Anti Lost Wrist Link for Kids, 4 in 1 Kid Harness Backpack Leash for Girls Boys, Reflective Kids Anti Lost Leash Cute Baby Harness Belt Strap Foldable Child Safety Leash for Park/Zoo</t>
        </is>
      </c>
      <c r="I149" s="9" t="n">
        <v>1</v>
      </c>
      <c r="J149" s="9" t="inlineStr">
        <is>
          <t>cnt</t>
        </is>
      </c>
      <c r="K149" s="9" t="n">
        <v>-11.22</v>
      </c>
    </row>
    <row r="150" customFormat="1" s="4">
      <c r="A150" s="83" t="n">
        <v>45999</v>
      </c>
      <c r="B150" s="82" t="n">
        <v>0.6694444444444444</v>
      </c>
      <c r="C150" s="5" t="inlineStr">
        <is>
          <t>Amazon</t>
        </is>
      </c>
      <c r="D150" s="5" t="n">
        <v>1</v>
      </c>
      <c r="E150" s="5" t="n"/>
      <c r="F150" s="6" t="inlineStr">
        <is>
          <t>111-1788321-5321009</t>
        </is>
      </c>
      <c r="G150" s="10" t="n"/>
      <c r="H150" s="9" t="inlineStr">
        <is>
          <t>Promot Discount Deduction</t>
        </is>
      </c>
      <c r="I150" s="9" t="n">
        <v>1</v>
      </c>
      <c r="J150" s="9" t="inlineStr">
        <is>
          <t>cnt</t>
        </is>
      </c>
      <c r="K150" s="9" t="n">
        <v>1.56</v>
      </c>
    </row>
    <row r="151" customFormat="1" s="4">
      <c r="A151" s="83" t="n">
        <v>45999</v>
      </c>
      <c r="B151" s="78" t="n">
        <v>0.6694444444444444</v>
      </c>
      <c r="C151" s="5" t="inlineStr">
        <is>
          <t>Amazon</t>
        </is>
      </c>
      <c r="D151" s="5" t="n">
        <v>1</v>
      </c>
      <c r="E151" s="5" t="n"/>
      <c r="F151" s="6" t="inlineStr">
        <is>
          <t>111-9434955-4739462</t>
        </is>
      </c>
      <c r="G151" s="15" t="n"/>
      <c r="H151" s="18" t="inlineStr">
        <is>
          <t>**RETURNED** Soup Containers with Lids Glass 32 oz, 4 Cup Borosilicate Glass Food Storage Containers, Microwave &amp; Freezer Safe Jars, Small Square Meal Prep Bowl for Salad, Fruit, Lunch, Ice Cream, Travel, 4 Pack Sold by: Susukkie Direct</t>
        </is>
      </c>
      <c r="I151" s="9" t="n">
        <v>32</v>
      </c>
      <c r="J151" s="9" t="inlineStr">
        <is>
          <t>oz</t>
        </is>
      </c>
      <c r="K151" s="5" t="n">
        <v>-21.82</v>
      </c>
    </row>
    <row r="152" customFormat="1" s="4">
      <c r="A152" s="83" t="n">
        <v>45999</v>
      </c>
      <c r="B152" s="78" t="n">
        <v>0.6694444444444444</v>
      </c>
      <c r="C152" s="5" t="inlineStr">
        <is>
          <t>Amazon</t>
        </is>
      </c>
      <c r="D152" s="5" t="n">
        <v>1</v>
      </c>
      <c r="E152" s="5" t="n"/>
      <c r="F152" s="6" t="inlineStr">
        <is>
          <t>111-9434955-4739462</t>
        </is>
      </c>
      <c r="G152" s="15" t="n"/>
      <c r="H152" s="18" t="inlineStr">
        <is>
          <t>**RETURNED** Soup Containers with Lids Glass 32 oz, 4 Cup Borosilicate Glass Food Storage Containers, Microwave &amp; Freezer Safe Jars, Small Square Meal Prep Bowl for Salad, Fruit, Lunch, Ice Cream, Travel, 4 Pack Sold by: Susukkie Direct</t>
        </is>
      </c>
      <c r="I152" s="9" t="n">
        <v>32</v>
      </c>
      <c r="J152" s="9" t="inlineStr">
        <is>
          <t>oz</t>
        </is>
      </c>
      <c r="K152" s="5" t="n">
        <v>-21.82</v>
      </c>
    </row>
    <row r="153" customFormat="1" s="4">
      <c r="A153" s="83" t="n">
        <v>45999</v>
      </c>
      <c r="B153" s="78" t="n">
        <v>0.6694444444444444</v>
      </c>
      <c r="C153" s="5" t="inlineStr">
        <is>
          <t>Amazon</t>
        </is>
      </c>
      <c r="D153" s="5" t="n">
        <v>1</v>
      </c>
      <c r="E153" s="5" t="n"/>
      <c r="F153" s="6" t="inlineStr">
        <is>
          <t>111-9434955-4739462</t>
        </is>
      </c>
      <c r="G153" s="15" t="n"/>
      <c r="H153" s="18" t="inlineStr">
        <is>
          <t>**RETURNED** 16oz Glass Meal Prep Containers, Airtight 2 Cup Glass Storage Containers with Lids, Heat-Resistant BPA-Free Borosilicate Glass Soup Container for Leftover, Microwave, Dishwasher&amp;Freezer Safe (4 Packs) Sold by: Freshmage Direct</t>
        </is>
      </c>
      <c r="I153" s="9" t="n">
        <v>16</v>
      </c>
      <c r="J153" s="9" t="inlineStr">
        <is>
          <t>oz</t>
        </is>
      </c>
      <c r="K153" s="5" t="n">
        <v>-18.03</v>
      </c>
    </row>
    <row r="154" customFormat="1" s="4">
      <c r="A154" s="83" t="n">
        <v>45999</v>
      </c>
      <c r="B154" s="78" t="n">
        <v>0.6694444444444444</v>
      </c>
      <c r="C154" s="5" t="inlineStr">
        <is>
          <t>Amazon</t>
        </is>
      </c>
      <c r="D154" s="5" t="n">
        <v>1</v>
      </c>
      <c r="E154" s="5" t="n"/>
      <c r="F154" s="6" t="inlineStr">
        <is>
          <t>111-9434955-4739462</t>
        </is>
      </c>
      <c r="G154" s="15" t="n"/>
      <c r="H154" s="18" t="inlineStr">
        <is>
          <t>**RETURNED** 16oz Glass Meal Prep Containers, Airtight 2 Cup Glass Storage Containers with Lids, Heat-Resistant BPA-Free Borosilicate Glass Soup Container for Leftover, Microwave, Dishwasher&amp;Freezer Safe (4 Packs) Sold by: Freshmage Direct</t>
        </is>
      </c>
      <c r="I154" s="9" t="n">
        <v>16</v>
      </c>
      <c r="J154" s="9" t="inlineStr">
        <is>
          <t>oz</t>
        </is>
      </c>
      <c r="K154" s="5" t="n">
        <v>-18.03</v>
      </c>
    </row>
    <row r="155" customFormat="1" s="4">
      <c r="A155" s="83" t="n">
        <v>45999</v>
      </c>
      <c r="B155" s="78" t="n">
        <v>0.6694444444444444</v>
      </c>
      <c r="C155" s="5" t="inlineStr">
        <is>
          <t>Amazon</t>
        </is>
      </c>
      <c r="D155" s="5" t="n">
        <v>1</v>
      </c>
      <c r="E155" s="5" t="n"/>
      <c r="F155" s="6" t="inlineStr">
        <is>
          <t>111-9434955-4739462</t>
        </is>
      </c>
      <c r="G155" s="15" t="n"/>
      <c r="H155" s="9" t="inlineStr">
        <is>
          <t>**REFUNDED** Tax</t>
        </is>
      </c>
      <c r="I155" s="5" t="n">
        <v>4</v>
      </c>
      <c r="J155" s="5" t="inlineStr">
        <is>
          <t>cnt</t>
        </is>
      </c>
      <c r="K155" s="5" t="n">
        <v>-6.38</v>
      </c>
    </row>
    <row r="156" customFormat="1" s="4">
      <c r="A156" s="83" t="n">
        <v>45999</v>
      </c>
      <c r="B156" s="82" t="n">
        <v>0.2916666666666667</v>
      </c>
      <c r="C156" s="5" t="inlineStr">
        <is>
          <t>Fidelity</t>
        </is>
      </c>
      <c r="D156" s="5" t="n">
        <v>1</v>
      </c>
      <c r="E156" s="5" t="n"/>
      <c r="F156" s="6" t="inlineStr">
        <is>
          <t>confirmedInApp12/13</t>
        </is>
      </c>
      <c r="G156" s="10" t="n"/>
      <c r="H156" s="9" t="inlineStr">
        <is>
          <t>Lydia ATT Phone Nov 08 - Dec 07</t>
        </is>
      </c>
      <c r="I156" s="9" t="n"/>
      <c r="J156" s="9" t="n"/>
      <c r="K156" s="9" t="n">
        <v>42.21</v>
      </c>
    </row>
    <row r="157" customFormat="1" s="4">
      <c r="A157" s="83" t="n">
        <v>45998</v>
      </c>
      <c r="B157" s="82" t="n">
        <v>0.7708333333333334</v>
      </c>
      <c r="C157" s="5" t="inlineStr">
        <is>
          <t>Safeway</t>
        </is>
      </c>
      <c r="D157" s="5" t="n"/>
      <c r="E157" s="5" t="n">
        <v>1</v>
      </c>
      <c r="F157" s="6" t="inlineStr">
        <is>
          <t>783002499920</t>
        </is>
      </c>
      <c r="G157" s="15" t="inlineStr">
        <is>
          <t>68954408060</t>
        </is>
      </c>
      <c r="H157" s="9" t="inlineStr">
        <is>
          <t>Fage Greek Yogurt</t>
        </is>
      </c>
      <c r="I157" s="9" t="n">
        <v>5.3</v>
      </c>
      <c r="J157" s="9" t="inlineStr">
        <is>
          <t>oz</t>
        </is>
      </c>
      <c r="K157" s="9" t="n">
        <v>1.89</v>
      </c>
    </row>
    <row r="158" customFormat="1" s="4">
      <c r="A158" s="83" t="n">
        <v>45998</v>
      </c>
      <c r="B158" s="82" t="n">
        <v>0.7708333333333334</v>
      </c>
      <c r="C158" s="5" t="inlineStr">
        <is>
          <t>Safeway</t>
        </is>
      </c>
      <c r="D158" s="5" t="n"/>
      <c r="E158" s="5" t="n">
        <v>1</v>
      </c>
      <c r="F158" s="6" t="inlineStr">
        <is>
          <t>783002499920</t>
        </is>
      </c>
      <c r="G158" s="10" t="n"/>
      <c r="H158" s="9" t="inlineStr">
        <is>
          <t>**DISCOUNT** Rewards and CashOff</t>
        </is>
      </c>
      <c r="I158" s="9" t="n">
        <v>5.3</v>
      </c>
      <c r="J158" s="9" t="inlineStr">
        <is>
          <t>oz</t>
        </is>
      </c>
      <c r="K158" s="9" t="n">
        <v>-1.55</v>
      </c>
    </row>
    <row r="159" customFormat="1" s="4">
      <c r="A159" s="83" t="n">
        <v>45998</v>
      </c>
      <c r="B159" s="82" t="n">
        <v>0.4986111111111111</v>
      </c>
      <c r="C159" s="5" t="inlineStr">
        <is>
          <t>Mt. Fuji Hibachi and Sushi</t>
        </is>
      </c>
      <c r="D159" s="5" t="n"/>
      <c r="E159" s="5" t="n">
        <v>1</v>
      </c>
      <c r="F159" s="6" t="inlineStr">
        <is>
          <t>#1</t>
        </is>
      </c>
      <c r="G159" s="10" t="n"/>
      <c r="H159" s="9" t="inlineStr">
        <is>
          <t>I Love Eel Roll</t>
        </is>
      </c>
      <c r="I159" s="9" t="n">
        <v>1</v>
      </c>
      <c r="J159" s="9" t="inlineStr">
        <is>
          <t>cnt</t>
        </is>
      </c>
      <c r="K159" s="9" t="n">
        <v>13.5</v>
      </c>
    </row>
    <row r="160" customFormat="1" s="4">
      <c r="A160" s="83" t="n">
        <v>45998</v>
      </c>
      <c r="B160" s="82" t="n">
        <v>0.4986111111111111</v>
      </c>
      <c r="C160" s="5" t="inlineStr">
        <is>
          <t>Mt. Fuji Hibachi and Sushi</t>
        </is>
      </c>
      <c r="D160" s="5" t="n"/>
      <c r="E160" s="5" t="n">
        <v>1</v>
      </c>
      <c r="F160" s="6" t="inlineStr">
        <is>
          <t>#1</t>
        </is>
      </c>
      <c r="G160" s="10" t="inlineStr">
        <is>
          <t>L16</t>
        </is>
      </c>
      <c r="H160" s="9" t="inlineStr">
        <is>
          <t>Sushi Lunch Special Set B: alaska roll, 2pc salmon sashimi, 1 pc salmon, tuna, red snapper sushi (with miso soup, house salad)</t>
        </is>
      </c>
      <c r="I160" s="9" t="n">
        <v>1</v>
      </c>
      <c r="J160" s="9" t="inlineStr">
        <is>
          <t>cnt</t>
        </is>
      </c>
      <c r="K160" s="9" t="n">
        <v>14.95</v>
      </c>
    </row>
    <row r="161" customFormat="1" s="4">
      <c r="A161" s="83" t="n">
        <v>45998</v>
      </c>
      <c r="B161" s="82" t="n">
        <v>0.4986111111111111</v>
      </c>
      <c r="C161" s="5" t="inlineStr">
        <is>
          <t>Mt. Fuji Hibachi and Sushi</t>
        </is>
      </c>
      <c r="D161" s="5" t="n"/>
      <c r="E161" s="5" t="n">
        <v>1</v>
      </c>
      <c r="F161" s="6" t="inlineStr">
        <is>
          <t>#1</t>
        </is>
      </c>
      <c r="G161" s="10" t="n"/>
      <c r="H161" s="9" t="inlineStr">
        <is>
          <t>Hibachi Lunch Entrée NY Strip (with hibachi soup, house salad, steamed rice)</t>
        </is>
      </c>
      <c r="I161" s="9" t="n">
        <v>1</v>
      </c>
      <c r="J161" s="9" t="inlineStr">
        <is>
          <t>cnt</t>
        </is>
      </c>
      <c r="K161" s="9" t="n">
        <v>15.95</v>
      </c>
    </row>
    <row r="162" customFormat="1" s="4">
      <c r="A162" s="83" t="n">
        <v>45998</v>
      </c>
      <c r="B162" s="82" t="n">
        <v>0.4986111111111111</v>
      </c>
      <c r="C162" s="5" t="inlineStr">
        <is>
          <t>Mt. Fuji Hibachi and Sushi</t>
        </is>
      </c>
      <c r="D162" s="5" t="n"/>
      <c r="E162" s="5" t="n">
        <v>1</v>
      </c>
      <c r="F162" s="6" t="inlineStr">
        <is>
          <t>#1</t>
        </is>
      </c>
      <c r="G162" s="10" t="inlineStr">
        <is>
          <t>L09</t>
        </is>
      </c>
      <c r="H162" s="9" t="inlineStr">
        <is>
          <t>Tempura Udon (no soup/salad)</t>
        </is>
      </c>
      <c r="I162" s="9" t="n">
        <v>1</v>
      </c>
      <c r="J162" s="9" t="inlineStr">
        <is>
          <t>cnt</t>
        </is>
      </c>
      <c r="K162" s="9" t="n">
        <v>15.95</v>
      </c>
    </row>
    <row r="163" customFormat="1" s="4">
      <c r="A163" s="83" t="n">
        <v>45998</v>
      </c>
      <c r="B163" s="82" t="n">
        <v>0.4986111111111111</v>
      </c>
      <c r="C163" s="5" t="inlineStr">
        <is>
          <t>Mt. Fuji Hibachi and Sushi</t>
        </is>
      </c>
      <c r="D163" s="5" t="n"/>
      <c r="E163" s="5" t="n">
        <v>1</v>
      </c>
      <c r="F163" s="6" t="inlineStr">
        <is>
          <t>#1</t>
        </is>
      </c>
      <c r="G163" s="10" t="n"/>
      <c r="H163" s="9" t="inlineStr">
        <is>
          <t>Automatic 18% gratuity</t>
        </is>
      </c>
      <c r="I163" s="9" t="n">
        <v>1</v>
      </c>
      <c r="J163" s="9" t="inlineStr">
        <is>
          <t>cnt</t>
        </is>
      </c>
      <c r="K163" s="9" t="n">
        <v>10.86</v>
      </c>
    </row>
    <row r="164" customFormat="1" s="4">
      <c r="A164" s="83" t="n">
        <v>45998</v>
      </c>
      <c r="B164" s="82" t="n">
        <v>0.4986111111111111</v>
      </c>
      <c r="C164" s="5" t="inlineStr">
        <is>
          <t>Mt. Fuji Hibachi and Sushi</t>
        </is>
      </c>
      <c r="D164" s="5" t="n"/>
      <c r="E164" s="5" t="n">
        <v>1</v>
      </c>
      <c r="F164" s="6" t="inlineStr">
        <is>
          <t>#1</t>
        </is>
      </c>
      <c r="G164" s="10" t="n"/>
      <c r="H164" s="9" t="inlineStr">
        <is>
          <t>Tax</t>
        </is>
      </c>
      <c r="I164" s="9" t="n">
        <v>4</v>
      </c>
      <c r="J164" s="9" t="inlineStr">
        <is>
          <t>cnt</t>
        </is>
      </c>
      <c r="K164" s="9" t="n">
        <v>5.44</v>
      </c>
    </row>
    <row r="165" customFormat="1" s="4">
      <c r="A165" s="83" t="n">
        <v>45998</v>
      </c>
      <c r="B165" s="82" t="n">
        <v>0.3194560185185185</v>
      </c>
      <c r="C165" s="5" t="inlineStr">
        <is>
          <t>Panera Bread</t>
        </is>
      </c>
      <c r="D165" s="5" t="n"/>
      <c r="E165" s="5" t="n">
        <v>1</v>
      </c>
      <c r="F165" s="6" t="inlineStr">
        <is>
          <t>355823</t>
        </is>
      </c>
      <c r="G165" s="10" t="n"/>
      <c r="H165" s="9" t="inlineStr">
        <is>
          <t>Chioptle Chx scrambl Egg &amp; Avo + zesty sweet peppers, argula, tomato, NO CHEESE</t>
        </is>
      </c>
      <c r="I165" s="9" t="n">
        <v>1</v>
      </c>
      <c r="J165" s="9" t="inlineStr">
        <is>
          <t>cnt</t>
        </is>
      </c>
      <c r="K165" s="9" t="n">
        <v>7.59</v>
      </c>
    </row>
    <row r="166" customFormat="1" s="4">
      <c r="A166" s="81" t="n">
        <v>45998</v>
      </c>
      <c r="B166" s="82" t="n">
        <v>0.3194560185185185</v>
      </c>
      <c r="C166" s="5" t="inlineStr">
        <is>
          <t>Panera Bread</t>
        </is>
      </c>
      <c r="D166" s="5" t="n"/>
      <c r="E166" s="5" t="n">
        <v>1</v>
      </c>
      <c r="F166" s="6" t="inlineStr">
        <is>
          <t>355823</t>
        </is>
      </c>
      <c r="G166" s="10" t="n"/>
      <c r="H166" s="9" t="inlineStr">
        <is>
          <t>Chioptle Chx scrambl Egg &amp; Avo + zesty sweet peppers, argula, tomato</t>
        </is>
      </c>
      <c r="I166" s="9" t="n">
        <v>1</v>
      </c>
      <c r="J166" s="9" t="inlineStr">
        <is>
          <t>cnt</t>
        </is>
      </c>
      <c r="K166" s="9" t="n">
        <v>7.59</v>
      </c>
    </row>
    <row r="167" customFormat="1" s="4">
      <c r="A167" s="81" t="n">
        <v>45998</v>
      </c>
      <c r="B167" s="82" t="n">
        <v>0.3194560185185185</v>
      </c>
      <c r="C167" s="5" t="inlineStr">
        <is>
          <t>Panera Bread</t>
        </is>
      </c>
      <c r="D167" s="5" t="n"/>
      <c r="E167" s="5" t="n">
        <v>1</v>
      </c>
      <c r="F167" s="6" t="inlineStr">
        <is>
          <t>355823</t>
        </is>
      </c>
      <c r="G167" s="10" t="n"/>
      <c r="H167" s="9" t="inlineStr">
        <is>
          <t>**DISCOUNT** Sips club?</t>
        </is>
      </c>
      <c r="I167" s="9" t="n">
        <v>1</v>
      </c>
      <c r="J167" s="9" t="inlineStr">
        <is>
          <t>cnt</t>
        </is>
      </c>
      <c r="K167" s="9" t="n">
        <v>-3.49</v>
      </c>
    </row>
    <row r="168" customFormat="1" s="4">
      <c r="A168" s="81" t="n">
        <v>45998</v>
      </c>
      <c r="B168" s="82" t="n">
        <v>0.3194560185185185</v>
      </c>
      <c r="C168" s="5" t="inlineStr">
        <is>
          <t>Panera Bread</t>
        </is>
      </c>
      <c r="D168" s="5" t="n"/>
      <c r="E168" s="5" t="n">
        <v>1</v>
      </c>
      <c r="F168" s="6" t="inlineStr">
        <is>
          <t>355823</t>
        </is>
      </c>
      <c r="G168" s="10" t="n"/>
      <c r="H168" s="9" t="inlineStr">
        <is>
          <t>Medium Coffee</t>
        </is>
      </c>
      <c r="I168" s="9" t="n">
        <v>1</v>
      </c>
      <c r="J168" s="9" t="inlineStr">
        <is>
          <t>cnt</t>
        </is>
      </c>
      <c r="K168" s="9" t="n">
        <v>3.49</v>
      </c>
    </row>
    <row r="169" customFormat="1" s="4">
      <c r="A169" s="81" t="n">
        <v>45998</v>
      </c>
      <c r="B169" s="82" t="n">
        <v>0.3194560185185185</v>
      </c>
      <c r="C169" s="5" t="inlineStr">
        <is>
          <t>Panera Bread</t>
        </is>
      </c>
      <c r="D169" s="5" t="n"/>
      <c r="E169" s="5" t="n">
        <v>1</v>
      </c>
      <c r="F169" s="6" t="inlineStr">
        <is>
          <t>355823</t>
        </is>
      </c>
      <c r="G169" s="10" t="n"/>
      <c r="H169" s="9" t="inlineStr">
        <is>
          <t>Tax</t>
        </is>
      </c>
      <c r="I169" s="9" t="n">
        <v>3</v>
      </c>
      <c r="J169" s="9" t="inlineStr">
        <is>
          <t>cnt</t>
        </is>
      </c>
      <c r="K169" s="9" t="n">
        <v>1.38</v>
      </c>
    </row>
    <row r="170" customFormat="1" s="4">
      <c r="A170" s="81" t="n">
        <v>45997</v>
      </c>
      <c r="B170" s="82" t="n">
        <v>0.7902777777777777</v>
      </c>
      <c r="C170" s="5" t="inlineStr">
        <is>
          <t>Cherry Creek Parking Lot</t>
        </is>
      </c>
      <c r="D170" s="5" t="n"/>
      <c r="E170" s="5" t="n">
        <v>1</v>
      </c>
      <c r="F170" s="6" t="n">
        <v>67970</v>
      </c>
      <c r="G170" s="10" t="n"/>
      <c r="H170" s="9" t="inlineStr">
        <is>
          <t>Cherry Creek Shopping Center Parking -- Stallings Barbershop Performance 17:27 - 18:58</t>
        </is>
      </c>
      <c r="I170" s="9" t="n">
        <v>1</v>
      </c>
      <c r="J170" s="9" t="inlineStr">
        <is>
          <t>cnt</t>
        </is>
      </c>
      <c r="K170" s="9" t="n">
        <v>3</v>
      </c>
    </row>
    <row r="171" customFormat="1" s="4">
      <c r="A171" s="81" t="n">
        <v>45997</v>
      </c>
      <c r="B171" s="82" t="n">
        <v>0.7902777777777777</v>
      </c>
      <c r="C171" s="5" t="inlineStr">
        <is>
          <t>Cherry Creek Parking Lot</t>
        </is>
      </c>
      <c r="D171" s="5" t="n"/>
      <c r="E171" s="5" t="n">
        <v>1</v>
      </c>
      <c r="F171" s="6" t="inlineStr">
        <is>
          <t>067974</t>
        </is>
      </c>
      <c r="G171" s="10" t="n"/>
      <c r="H171" s="9" t="inlineStr">
        <is>
          <t>Cherry Creek Shopping Center Parking -- Stallings Barbershop Performance 17:24 - 18:58</t>
        </is>
      </c>
      <c r="I171" s="9" t="n">
        <v>1</v>
      </c>
      <c r="J171" s="9" t="inlineStr">
        <is>
          <t>cnt</t>
        </is>
      </c>
      <c r="K171" s="9" t="n">
        <v>3</v>
      </c>
    </row>
    <row r="172" customFormat="1" s="4">
      <c r="A172" s="81" t="n">
        <v>45997</v>
      </c>
      <c r="B172" s="82" t="n">
        <v>0.7701388888888889</v>
      </c>
      <c r="C172" s="5" t="inlineStr">
        <is>
          <t>Tokyo Joe's</t>
        </is>
      </c>
      <c r="D172" s="5" t="n"/>
      <c r="E172" s="5" t="n">
        <v>1</v>
      </c>
      <c r="F172" s="6" t="inlineStr">
        <is>
          <t>10228</t>
        </is>
      </c>
      <c r="G172" s="10" t="n"/>
      <c r="H172" s="9" t="inlineStr">
        <is>
          <t>Edamame</t>
        </is>
      </c>
      <c r="I172" s="9" t="n">
        <v>1</v>
      </c>
      <c r="J172" s="9" t="inlineStr">
        <is>
          <t>cnt</t>
        </is>
      </c>
      <c r="K172" s="9" t="n">
        <v>3.95</v>
      </c>
    </row>
    <row r="173" customFormat="1" s="4">
      <c r="A173" s="81" t="n">
        <v>45997</v>
      </c>
      <c r="B173" s="82" t="n">
        <v>0.7701388888888889</v>
      </c>
      <c r="C173" s="5" t="inlineStr">
        <is>
          <t>Tokyo Joe's</t>
        </is>
      </c>
      <c r="D173" s="5" t="n"/>
      <c r="E173" s="5" t="n">
        <v>1</v>
      </c>
      <c r="F173" s="6" t="inlineStr">
        <is>
          <t>10228</t>
        </is>
      </c>
      <c r="G173" s="10" t="n"/>
      <c r="H173" s="9" t="inlineStr">
        <is>
          <t>Edamame</t>
        </is>
      </c>
      <c r="I173" s="9" t="n">
        <v>1</v>
      </c>
      <c r="J173" s="9" t="inlineStr">
        <is>
          <t>cnt</t>
        </is>
      </c>
      <c r="K173" s="9" t="n">
        <v>3.95</v>
      </c>
    </row>
    <row r="174" customFormat="1" s="4">
      <c r="A174" s="81" t="n">
        <v>45997</v>
      </c>
      <c r="B174" s="82" t="n">
        <v>0.7701388888888889</v>
      </c>
      <c r="C174" s="5" t="inlineStr">
        <is>
          <t>Tokyo Joe's</t>
        </is>
      </c>
      <c r="D174" s="5" t="n"/>
      <c r="E174" s="5" t="n">
        <v>1</v>
      </c>
      <c r="F174" s="6" t="inlineStr">
        <is>
          <t>10228</t>
        </is>
      </c>
      <c r="G174" s="10" t="n"/>
      <c r="H174" s="9" t="inlineStr">
        <is>
          <t>Salmon Poke Bowl: brown rice, mango, cucumber, soy ginger sauce in side, 2 ginger, 2 macadamia</t>
        </is>
      </c>
      <c r="I174" s="9" t="n">
        <v>1</v>
      </c>
      <c r="J174" s="9" t="inlineStr">
        <is>
          <t>cnt</t>
        </is>
      </c>
      <c r="K174" s="9" t="n">
        <v>14.85</v>
      </c>
    </row>
    <row r="175" customFormat="1" s="4">
      <c r="A175" s="81" t="n">
        <v>45997</v>
      </c>
      <c r="B175" s="82" t="n">
        <v>0.7701388888888889</v>
      </c>
      <c r="C175" s="5" t="inlineStr">
        <is>
          <t>Tokyo Joe's</t>
        </is>
      </c>
      <c r="D175" s="5" t="n"/>
      <c r="E175" s="5" t="n">
        <v>1</v>
      </c>
      <c r="F175" s="6" t="inlineStr">
        <is>
          <t>10228</t>
        </is>
      </c>
      <c r="G175" s="10" t="n"/>
      <c r="H175" s="9" t="inlineStr">
        <is>
          <t>Tax</t>
        </is>
      </c>
      <c r="I175" s="9" t="n">
        <v>3</v>
      </c>
      <c r="J175" s="9" t="inlineStr">
        <is>
          <t>cnt</t>
        </is>
      </c>
      <c r="K175" s="9" t="n">
        <v>1.82</v>
      </c>
    </row>
    <row r="176" customFormat="1" s="4">
      <c r="A176" s="81" t="n">
        <v>45997</v>
      </c>
      <c r="B176" s="82" t="n">
        <v>0.7301157407407407</v>
      </c>
      <c r="C176" s="5" t="inlineStr">
        <is>
          <t>Venmo</t>
        </is>
      </c>
      <c r="D176" s="5" t="n">
        <v>1</v>
      </c>
      <c r="E176" s="5" t="n"/>
      <c r="F176" s="6" t="inlineStr">
        <is>
          <t>4482028905813863430</t>
        </is>
      </c>
      <c r="G176" s="10" t="n"/>
      <c r="H176" s="9" t="inlineStr">
        <is>
          <t>Chips/Dip Pottery Bowl by Allie Elliot -- thank you gift for Mary Wu</t>
        </is>
      </c>
      <c r="I176" s="9" t="n">
        <v>1</v>
      </c>
      <c r="J176" s="9" t="inlineStr">
        <is>
          <t>cnt</t>
        </is>
      </c>
      <c r="K176" s="9" t="n">
        <v>45</v>
      </c>
    </row>
    <row r="177" customFormat="1" s="4">
      <c r="A177" s="81" t="n">
        <v>45997</v>
      </c>
      <c r="B177" s="82" t="n">
        <v>0.6138888888888889</v>
      </c>
      <c r="C177" s="5" t="inlineStr">
        <is>
          <t>Costco</t>
        </is>
      </c>
      <c r="D177" s="5" t="n"/>
      <c r="E177" s="5" t="n">
        <v>1</v>
      </c>
      <c r="F177" s="6" t="inlineStr">
        <is>
          <t>439 207 191 707</t>
        </is>
      </c>
      <c r="G177" s="10" t="inlineStr">
        <is>
          <t>E 1495250</t>
        </is>
      </c>
      <c r="H177" s="9" t="inlineStr">
        <is>
          <t>Kirkland Signature, Organic Coconut Water, 33.8 fl oz, 9-count</t>
        </is>
      </c>
      <c r="I177" s="9" t="n">
        <v>9</v>
      </c>
      <c r="J177" s="9" t="inlineStr">
        <is>
          <t>liter</t>
        </is>
      </c>
      <c r="K177" s="9" t="n">
        <v>23.99</v>
      </c>
    </row>
    <row r="178" customFormat="1" s="4">
      <c r="A178" s="81" t="n">
        <v>45997</v>
      </c>
      <c r="B178" s="82" t="n">
        <v>0.6138888888888889</v>
      </c>
      <c r="C178" s="5" t="inlineStr">
        <is>
          <t>Costco</t>
        </is>
      </c>
      <c r="D178" s="5" t="n"/>
      <c r="E178" s="5" t="n">
        <v>1</v>
      </c>
      <c r="F178" s="6" t="inlineStr">
        <is>
          <t>439 207 191 707</t>
        </is>
      </c>
      <c r="G178" s="10" t="inlineStr">
        <is>
          <t>E 33845</t>
        </is>
      </c>
      <c r="H178" s="9" t="inlineStr">
        <is>
          <t>fryer thighs chicken</t>
        </is>
      </c>
      <c r="I178" s="9" t="n"/>
      <c r="J178" s="9" t="n"/>
      <c r="K178" s="9" t="n">
        <v>19.58</v>
      </c>
    </row>
    <row r="179" customFormat="1" s="4">
      <c r="A179" s="81" t="n">
        <v>45997</v>
      </c>
      <c r="B179" s="82" t="n">
        <v>0.6138888888888889</v>
      </c>
      <c r="C179" s="5" t="inlineStr">
        <is>
          <t>Costco</t>
        </is>
      </c>
      <c r="D179" s="5" t="n"/>
      <c r="E179" s="5" t="n">
        <v>1</v>
      </c>
      <c r="F179" s="6" t="inlineStr">
        <is>
          <t>439 207 191 707</t>
        </is>
      </c>
      <c r="G179" s="10" t="inlineStr">
        <is>
          <t>E 1169942</t>
        </is>
      </c>
      <c r="H179" s="9" t="inlineStr">
        <is>
          <t>Fever-Tree Premium Ginger Beer, Non-Alcoholic, 9.3 fl oz, 12 ct</t>
        </is>
      </c>
      <c r="I179" s="9" t="n">
        <v>111.6</v>
      </c>
      <c r="J179" s="9" t="inlineStr">
        <is>
          <t>fl oz</t>
        </is>
      </c>
      <c r="K179" s="9" t="inlineStr">
        <is>
          <t>15.99 EF</t>
        </is>
      </c>
    </row>
    <row r="180" customFormat="1" s="4">
      <c r="A180" s="81" t="n">
        <v>45997</v>
      </c>
      <c r="B180" s="82" t="n">
        <v>0.6138888888888889</v>
      </c>
      <c r="C180" s="5" t="inlineStr">
        <is>
          <t>Costco</t>
        </is>
      </c>
      <c r="D180" s="5" t="n"/>
      <c r="E180" s="5" t="n">
        <v>1</v>
      </c>
      <c r="F180" s="6" t="inlineStr">
        <is>
          <t>439 207 191 707</t>
        </is>
      </c>
      <c r="G180" s="10" t="inlineStr">
        <is>
          <t>E 0000365951</t>
        </is>
      </c>
      <c r="H180" s="9" t="inlineStr">
        <is>
          <t>**DISCOUNT** /1169942 ginger beer</t>
        </is>
      </c>
      <c r="I180" s="9" t="n">
        <v>111.6</v>
      </c>
      <c r="J180" s="9" t="inlineStr">
        <is>
          <t>fl oz</t>
        </is>
      </c>
      <c r="K180" s="9" t="inlineStr">
        <is>
          <t>5.0-EF</t>
        </is>
      </c>
    </row>
    <row r="181" customFormat="1" s="4">
      <c r="A181" s="81" t="n">
        <v>45997</v>
      </c>
      <c r="B181" s="82" t="n">
        <v>0.6138888888888889</v>
      </c>
      <c r="C181" s="5" t="inlineStr">
        <is>
          <t>Costco</t>
        </is>
      </c>
      <c r="D181" s="5" t="n"/>
      <c r="E181" s="5" t="n">
        <v>1</v>
      </c>
      <c r="F181" s="6" t="inlineStr">
        <is>
          <t>439 207 191 707</t>
        </is>
      </c>
      <c r="G181" s="10" t="inlineStr">
        <is>
          <t>E 1564153</t>
        </is>
      </c>
      <c r="H181" s="9" t="inlineStr">
        <is>
          <t>Avocado Mayo Chosen Foods</t>
        </is>
      </c>
      <c r="I181" s="9" t="n">
        <v>32</v>
      </c>
      <c r="J181" s="9" t="inlineStr">
        <is>
          <t>fl oz</t>
        </is>
      </c>
      <c r="K181" s="9" t="n">
        <v>9.49</v>
      </c>
    </row>
    <row r="182" customFormat="1" s="4">
      <c r="A182" s="81" t="n">
        <v>45997</v>
      </c>
      <c r="B182" s="82" t="n">
        <v>0.6138888888888889</v>
      </c>
      <c r="C182" s="5" t="inlineStr">
        <is>
          <t>Costco</t>
        </is>
      </c>
      <c r="D182" s="5" t="n"/>
      <c r="E182" s="5" t="n">
        <v>1</v>
      </c>
      <c r="F182" s="6" t="inlineStr">
        <is>
          <t>439 207 191 707</t>
        </is>
      </c>
      <c r="G182" s="10" t="inlineStr">
        <is>
          <t>E 203444</t>
        </is>
      </c>
      <c r="H182" s="9" t="inlineStr">
        <is>
          <t>KS Pecans</t>
        </is>
      </c>
      <c r="I182" s="9" t="n">
        <v>2</v>
      </c>
      <c r="J182" s="9" t="inlineStr">
        <is>
          <t>lb</t>
        </is>
      </c>
      <c r="K182" s="9" t="n">
        <v>12.99</v>
      </c>
    </row>
    <row r="183" customFormat="1" s="4">
      <c r="A183" s="81" t="n">
        <v>45997</v>
      </c>
      <c r="B183" s="82" t="n">
        <v>0.6138888888888889</v>
      </c>
      <c r="C183" s="5" t="inlineStr">
        <is>
          <t>Costco</t>
        </is>
      </c>
      <c r="D183" s="5" t="n"/>
      <c r="E183" s="5" t="n">
        <v>1</v>
      </c>
      <c r="F183" s="6" t="inlineStr">
        <is>
          <t>439 207 191 707</t>
        </is>
      </c>
      <c r="G183" s="10" t="inlineStr">
        <is>
          <t>E 1336068</t>
        </is>
      </c>
      <c r="H183" s="9" t="inlineStr">
        <is>
          <t>Org Avocado Cups 2 oz x 16 cnt</t>
        </is>
      </c>
      <c r="I183" s="9" t="n">
        <v>32</v>
      </c>
      <c r="J183" s="9" t="inlineStr">
        <is>
          <t>oz</t>
        </is>
      </c>
      <c r="K183" s="9" t="n">
        <v>13.99</v>
      </c>
    </row>
    <row r="184" customFormat="1" s="4">
      <c r="A184" s="81" t="n">
        <v>45997</v>
      </c>
      <c r="B184" s="82" t="n">
        <v>0.6138888888888889</v>
      </c>
      <c r="C184" s="5" t="inlineStr">
        <is>
          <t>Costco</t>
        </is>
      </c>
      <c r="D184" s="5" t="n"/>
      <c r="E184" s="5" t="n">
        <v>1</v>
      </c>
      <c r="F184" s="6" t="inlineStr">
        <is>
          <t>439 207 191 707</t>
        </is>
      </c>
      <c r="G184" s="10" t="inlineStr">
        <is>
          <t>E 34778</t>
        </is>
      </c>
      <c r="H184" s="9" t="inlineStr">
        <is>
          <t>Kirkland Signature Parmigiano Reggiano Straveccho Stravecchio @$16.29/lb</t>
        </is>
      </c>
      <c r="I184" s="9" t="n">
        <v>1.45</v>
      </c>
      <c r="J184" s="9" t="inlineStr">
        <is>
          <t>lb</t>
        </is>
      </c>
      <c r="K184" s="9" t="n">
        <v>23.62</v>
      </c>
    </row>
    <row r="185" customFormat="1" s="4">
      <c r="A185" s="81" t="n">
        <v>45997</v>
      </c>
      <c r="B185" s="82" t="n">
        <v>0.6138888888888889</v>
      </c>
      <c r="C185" s="5" t="inlineStr">
        <is>
          <t>Costco</t>
        </is>
      </c>
      <c r="D185" s="5" t="n"/>
      <c r="E185" s="5" t="n">
        <v>1</v>
      </c>
      <c r="F185" s="6" t="inlineStr">
        <is>
          <t>439 207 191 707</t>
        </is>
      </c>
      <c r="G185" s="10" t="inlineStr">
        <is>
          <t>E 4164501</t>
        </is>
      </c>
      <c r="H185" s="9" t="inlineStr">
        <is>
          <t>Kirkland Signature Sparkling Water, Variety Pack, 12 fl oz, 35 ct</t>
        </is>
      </c>
      <c r="I185" s="9" t="n">
        <v>420</v>
      </c>
      <c r="J185" s="9" t="inlineStr">
        <is>
          <t>fl oz</t>
        </is>
      </c>
      <c r="K185" s="9" t="inlineStr">
        <is>
          <t>11.99 A</t>
        </is>
      </c>
    </row>
    <row r="186" customFormat="1" s="4">
      <c r="A186" s="81" t="n">
        <v>45997</v>
      </c>
      <c r="B186" s="82" t="n">
        <v>0.6138888888888889</v>
      </c>
      <c r="C186" s="5" t="inlineStr">
        <is>
          <t>Costco</t>
        </is>
      </c>
      <c r="D186" s="5" t="n"/>
      <c r="E186" s="5" t="n">
        <v>1</v>
      </c>
      <c r="F186" s="6" t="inlineStr">
        <is>
          <t>439 207 191 707</t>
        </is>
      </c>
      <c r="G186" s="10" t="inlineStr">
        <is>
          <t>E 0000368931</t>
        </is>
      </c>
      <c r="H186" s="9" t="inlineStr">
        <is>
          <t>**DISCOUNT** /4164501 sparking water</t>
        </is>
      </c>
      <c r="I186" s="9" t="n">
        <v>420</v>
      </c>
      <c r="J186" s="9" t="inlineStr">
        <is>
          <t>fl oz</t>
        </is>
      </c>
      <c r="K186" s="9" t="inlineStr">
        <is>
          <t>2.50-A</t>
        </is>
      </c>
    </row>
    <row r="187" customFormat="1" s="4">
      <c r="A187" s="81" t="n">
        <v>45997</v>
      </c>
      <c r="B187" s="82" t="n">
        <v>0.6138888888888889</v>
      </c>
      <c r="C187" s="5" t="inlineStr">
        <is>
          <t>Costco</t>
        </is>
      </c>
      <c r="D187" s="5" t="n"/>
      <c r="E187" s="5" t="n">
        <v>1</v>
      </c>
      <c r="F187" s="6" t="inlineStr">
        <is>
          <t>439 207 191 707</t>
        </is>
      </c>
      <c r="G187" s="15" t="inlineStr">
        <is>
          <t>87507</t>
        </is>
      </c>
      <c r="H187" s="9" t="inlineStr">
        <is>
          <t>Kirkland Signature 10-Gallon Wastebasket Liner, Clear, 500-count</t>
        </is>
      </c>
      <c r="I187" s="9" t="n">
        <v>500</v>
      </c>
      <c r="J187" s="9" t="inlineStr">
        <is>
          <t>cnt</t>
        </is>
      </c>
      <c r="K187" s="9" t="inlineStr">
        <is>
          <t>11.99 A</t>
        </is>
      </c>
    </row>
    <row r="188" customFormat="1" s="4">
      <c r="A188" s="81" t="n">
        <v>45997</v>
      </c>
      <c r="B188" s="82" t="n">
        <v>0.6138888888888889</v>
      </c>
      <c r="C188" s="5" t="inlineStr">
        <is>
          <t>Costco</t>
        </is>
      </c>
      <c r="D188" s="5" t="n"/>
      <c r="E188" s="5" t="n">
        <v>1</v>
      </c>
      <c r="F188" s="6" t="inlineStr">
        <is>
          <t>439 207 191 707</t>
        </is>
      </c>
      <c r="G188" s="10" t="inlineStr">
        <is>
          <t>E 2</t>
        </is>
      </c>
      <c r="H188" s="9" t="inlineStr">
        <is>
          <t>Whole Milk</t>
        </is>
      </c>
      <c r="I188" s="9" t="n">
        <v>2</v>
      </c>
      <c r="J188" s="9" t="inlineStr">
        <is>
          <t>gal</t>
        </is>
      </c>
      <c r="K188" s="9" t="n">
        <v>6.39</v>
      </c>
    </row>
    <row r="189" customFormat="1" s="4">
      <c r="A189" s="81" t="n">
        <v>45997</v>
      </c>
      <c r="B189" s="82" t="n">
        <v>0.6138888888888889</v>
      </c>
      <c r="C189" s="5" t="inlineStr">
        <is>
          <t>Costco</t>
        </is>
      </c>
      <c r="D189" s="5" t="n"/>
      <c r="E189" s="5" t="n">
        <v>1</v>
      </c>
      <c r="F189" s="6" t="inlineStr">
        <is>
          <t>439 207 191 707</t>
        </is>
      </c>
      <c r="G189" s="10" t="n"/>
      <c r="H189" s="9" t="inlineStr">
        <is>
          <t>Tax A 8.00%</t>
        </is>
      </c>
      <c r="I189" s="9" t="n">
        <v>2</v>
      </c>
      <c r="J189" s="9" t="inlineStr">
        <is>
          <t>cnt</t>
        </is>
      </c>
      <c r="K189" s="9" t="n">
        <v>1.72</v>
      </c>
    </row>
    <row r="190" customFormat="1" s="4">
      <c r="A190" s="81" t="n">
        <v>45997</v>
      </c>
      <c r="B190" s="82" t="n">
        <v>0.6138888888888889</v>
      </c>
      <c r="C190" s="5" t="inlineStr">
        <is>
          <t>Costco</t>
        </is>
      </c>
      <c r="D190" s="5" t="n"/>
      <c r="E190" s="5" t="n">
        <v>1</v>
      </c>
      <c r="F190" s="6" t="inlineStr">
        <is>
          <t>439 207 191 707</t>
        </is>
      </c>
      <c r="G190" s="10" t="n"/>
      <c r="H190" s="9" t="inlineStr">
        <is>
          <t>Tax E 3.75%</t>
        </is>
      </c>
      <c r="I190" s="9" t="n">
        <v>1</v>
      </c>
      <c r="J190" s="9" t="inlineStr">
        <is>
          <t>cnt</t>
        </is>
      </c>
      <c r="K190" s="9" t="n">
        <v>0.41</v>
      </c>
    </row>
    <row r="191" customFormat="1" s="4">
      <c r="A191" s="81" t="n">
        <v>45997</v>
      </c>
      <c r="B191" s="82" t="n">
        <v>0.6138888888888889</v>
      </c>
      <c r="C191" s="5" t="inlineStr">
        <is>
          <t>Costco</t>
        </is>
      </c>
      <c r="D191" s="5" t="n"/>
      <c r="E191" s="5" t="n">
        <v>1</v>
      </c>
      <c r="F191" s="6" t="inlineStr">
        <is>
          <t>439 207 191 707</t>
        </is>
      </c>
      <c r="G191" s="10" t="n"/>
      <c r="H191" s="9" t="inlineStr">
        <is>
          <t>Tax F 4.00%</t>
        </is>
      </c>
      <c r="I191" s="9" t="n">
        <v>1</v>
      </c>
      <c r="J191" s="9" t="inlineStr">
        <is>
          <t>cnt</t>
        </is>
      </c>
      <c r="K191" s="9" t="n">
        <v>0.44</v>
      </c>
    </row>
    <row r="192" customFormat="1" s="4">
      <c r="A192" s="81" t="n">
        <v>45997</v>
      </c>
      <c r="B192" s="82" t="n">
        <v>0.6138888888888889</v>
      </c>
      <c r="C192" s="5" t="inlineStr">
        <is>
          <t>Costco</t>
        </is>
      </c>
      <c r="D192" s="5" t="n"/>
      <c r="E192" s="5" t="n">
        <v>1</v>
      </c>
      <c r="F192" s="6" t="inlineStr">
        <is>
          <t>439 207 191 707</t>
        </is>
      </c>
      <c r="G192" s="10" t="n"/>
      <c r="H192" s="9" t="inlineStr">
        <is>
          <t>Mary Wu Treat!</t>
        </is>
      </c>
      <c r="I192" s="9" t="n">
        <v>10</v>
      </c>
      <c r="J192" s="9" t="inlineStr">
        <is>
          <t>cnt</t>
        </is>
      </c>
      <c r="K192" s="9" t="n">
        <v>-145.09</v>
      </c>
    </row>
    <row r="193" customFormat="1" s="4">
      <c r="A193" s="81" t="n">
        <v>45996</v>
      </c>
      <c r="B193" s="78" t="n">
        <v>0.6395833333333333</v>
      </c>
      <c r="C193" s="5" t="inlineStr">
        <is>
          <t>Accelerate Health</t>
        </is>
      </c>
      <c r="D193" s="5" t="n">
        <v>1</v>
      </c>
      <c r="E193" s="5" t="n"/>
      <c r="F193" s="6" t="inlineStr">
        <is>
          <t>1205222144</t>
        </is>
      </c>
      <c r="G193" s="6" t="inlineStr">
        <is>
          <t>2025329BJ4191</t>
        </is>
      </c>
      <c r="H193" s="9" t="inlineStr">
        <is>
          <t>11/20 Lydia chiro 30 minute postpartum visit 1 Dr. Kelly</t>
        </is>
      </c>
      <c r="I193" s="5" t="n"/>
      <c r="J193" s="5" t="n"/>
      <c r="K193" s="5" t="n">
        <v>228</v>
      </c>
    </row>
    <row r="194" customFormat="1" s="4">
      <c r="A194" s="81" t="n">
        <v>45996</v>
      </c>
      <c r="B194" s="78" t="n">
        <v>0.6395833333333333</v>
      </c>
      <c r="C194" s="5" t="inlineStr">
        <is>
          <t>Accelerate Health</t>
        </is>
      </c>
      <c r="D194" s="5" t="n">
        <v>1</v>
      </c>
      <c r="E194" s="5" t="n"/>
      <c r="F194" s="6" t="inlineStr">
        <is>
          <t>1205222144</t>
        </is>
      </c>
      <c r="G194" s="6" t="inlineStr">
        <is>
          <t>2025329BJ4191</t>
        </is>
      </c>
      <c r="H194" s="9" t="inlineStr">
        <is>
          <t>Insurance adjustment</t>
        </is>
      </c>
      <c r="I194" s="5" t="n"/>
      <c r="J194" s="5" t="n"/>
      <c r="K194" s="5" t="n">
        <v>-121.13</v>
      </c>
    </row>
    <row r="195" customFormat="1" s="4">
      <c r="A195" s="81" t="n">
        <v>45996</v>
      </c>
      <c r="B195" s="78" t="n">
        <v>0.6395833333333333</v>
      </c>
      <c r="C195" s="5" t="inlineStr">
        <is>
          <t>Accelerate Health</t>
        </is>
      </c>
      <c r="D195" s="5" t="n">
        <v>1</v>
      </c>
      <c r="E195" s="5" t="n"/>
      <c r="F195" s="6" t="inlineStr">
        <is>
          <t>1205222144</t>
        </is>
      </c>
      <c r="G195" s="6" t="inlineStr">
        <is>
          <t>2025329BJ4191</t>
        </is>
      </c>
      <c r="H195" s="9" t="inlineStr">
        <is>
          <t>Insurance paid</t>
        </is>
      </c>
      <c r="I195" s="5" t="n"/>
      <c r="J195" s="5" t="n"/>
      <c r="K195" s="5" t="n">
        <v>-85.5</v>
      </c>
    </row>
    <row r="196" customFormat="1" s="4">
      <c r="A196" s="81" t="n">
        <v>45996</v>
      </c>
      <c r="B196" s="82" t="n">
        <v>0.2833333333333333</v>
      </c>
      <c r="C196" s="5" t="inlineStr">
        <is>
          <t>Xfinity</t>
        </is>
      </c>
      <c r="D196" s="5" t="n">
        <v>1</v>
      </c>
      <c r="E196" s="5" t="n"/>
      <c r="F196" s="6" t="n"/>
      <c r="G196" s="10" t="n"/>
      <c r="H196" s="9" t="inlineStr">
        <is>
          <t>Internet Nov 14 - Dec 13</t>
        </is>
      </c>
      <c r="I196" s="9" t="n"/>
      <c r="J196" s="9" t="n"/>
      <c r="K196" s="9" t="n">
        <v>110</v>
      </c>
    </row>
    <row r="197" customFormat="1" s="4">
      <c r="A197" s="81" t="n">
        <v>45996</v>
      </c>
      <c r="B197" s="82" t="n">
        <v>0.2833333333333333</v>
      </c>
      <c r="C197" s="5" t="inlineStr">
        <is>
          <t>Xfinity</t>
        </is>
      </c>
      <c r="D197" s="5" t="n">
        <v>1</v>
      </c>
      <c r="E197" s="5" t="n"/>
      <c r="F197" s="6" t="n"/>
      <c r="G197" s="10" t="n"/>
      <c r="H197" s="9" t="inlineStr">
        <is>
          <t>**DISCOUNT** 1 year (expires Sep 13 2026) Discount</t>
        </is>
      </c>
      <c r="I197" s="9" t="n"/>
      <c r="J197" s="9" t="n"/>
      <c r="K197" s="9" t="n">
        <v>-50</v>
      </c>
    </row>
    <row r="198" customFormat="1" s="4">
      <c r="A198" s="81" t="n">
        <v>45996</v>
      </c>
      <c r="B198" s="82" t="n">
        <v>0.2833333333333333</v>
      </c>
      <c r="C198" s="5" t="inlineStr">
        <is>
          <t>Xfinity</t>
        </is>
      </c>
      <c r="D198" s="5" t="n">
        <v>1</v>
      </c>
      <c r="E198" s="5" t="n"/>
      <c r="F198" s="6" t="n"/>
      <c r="G198" s="10" t="n"/>
      <c r="H198" s="9" t="inlineStr">
        <is>
          <t>**DISCOUNT** Autopay from Bank + Paperless Billing</t>
        </is>
      </c>
      <c r="I198" s="9" t="n"/>
      <c r="J198" s="9" t="n"/>
      <c r="K198" s="9" t="n">
        <v>-10</v>
      </c>
    </row>
    <row r="199" customFormat="1" s="4">
      <c r="A199" s="81" t="n">
        <v>45996</v>
      </c>
      <c r="B199" s="82" t="n">
        <v>0.2833333333333333</v>
      </c>
      <c r="C199" s="5" t="inlineStr">
        <is>
          <t>Xfinity</t>
        </is>
      </c>
      <c r="D199" s="5" t="n">
        <v>1</v>
      </c>
      <c r="E199" s="5" t="n"/>
      <c r="F199" s="6" t="n"/>
      <c r="G199" s="10" t="n"/>
      <c r="H199" s="9" t="inlineStr">
        <is>
          <t>Taxs, fees, and other charges</t>
        </is>
      </c>
      <c r="I199" s="9" t="n"/>
      <c r="J199" s="9" t="n"/>
      <c r="K199" s="9" t="n">
        <v>1.21</v>
      </c>
    </row>
    <row r="200" customFormat="1" s="4">
      <c r="A200" s="81" t="n">
        <v>45996</v>
      </c>
      <c r="B200" s="82" t="n">
        <v>0.1090277777777778</v>
      </c>
      <c r="C200" s="5" t="inlineStr">
        <is>
          <t>Amazon</t>
        </is>
      </c>
      <c r="D200" s="5" t="n">
        <v>1</v>
      </c>
      <c r="E200" s="5" t="n"/>
      <c r="F200" s="6" t="inlineStr">
        <is>
          <t>111-4710493-6451417</t>
        </is>
      </c>
      <c r="G200" s="10" t="n"/>
      <c r="H200" s="18" t="inlineStr">
        <is>
          <t>**REFUNDED** Sombra Warm Pain Relief Gel, Warm Relief for Arthritis and Chronic Pain Pre-Workout Muscle Rub Vegan Formula Free of Artificial Fragrances, Dyes, NSAIDs, Wax, Petroleum, Alcohol - 8oz Jar Sold by: VerSure</t>
        </is>
      </c>
      <c r="I200" s="9" t="n">
        <v>8</v>
      </c>
      <c r="J200" s="9" t="inlineStr">
        <is>
          <t>oz</t>
        </is>
      </c>
      <c r="K200" s="9" t="n">
        <v>-22.99</v>
      </c>
    </row>
    <row r="201" customFormat="1" s="4">
      <c r="A201" s="81" t="n">
        <v>45996</v>
      </c>
      <c r="B201" s="82" t="n">
        <v>0.1090277777777778</v>
      </c>
      <c r="C201" s="5" t="inlineStr">
        <is>
          <t>Amazon</t>
        </is>
      </c>
      <c r="D201" s="5" t="n">
        <v>1</v>
      </c>
      <c r="E201" s="5" t="n"/>
      <c r="F201" s="6" t="inlineStr">
        <is>
          <t>111-4710493-6451417</t>
        </is>
      </c>
      <c r="G201" s="10" t="n"/>
      <c r="H201" s="18" t="inlineStr">
        <is>
          <t>**REFUNDED** Tax</t>
        </is>
      </c>
      <c r="I201" s="9" t="n">
        <v>8</v>
      </c>
      <c r="J201" s="9" t="inlineStr">
        <is>
          <t>oz</t>
        </is>
      </c>
      <c r="K201" s="9" t="n">
        <v>-1.84</v>
      </c>
    </row>
    <row r="202" customFormat="1" s="4">
      <c r="A202" s="81" t="n">
        <v>45995</v>
      </c>
      <c r="B202" s="82" t="n">
        <v>0.4270833333333333</v>
      </c>
      <c r="C202" s="5" t="inlineStr">
        <is>
          <t>NFCU</t>
        </is>
      </c>
      <c r="D202" s="5" t="n">
        <v>1</v>
      </c>
      <c r="E202" s="5" t="n"/>
      <c r="F202" s="6" t="n"/>
      <c r="G202" s="10" t="n"/>
      <c r="H202" s="9" t="inlineStr">
        <is>
          <t>**GIFT** Nonnie and Papa - Zelle</t>
        </is>
      </c>
      <c r="I202" s="9" t="n"/>
      <c r="J202" s="9" t="n"/>
      <c r="K202" s="9" t="n">
        <v>-100</v>
      </c>
    </row>
    <row r="203" customFormat="1" s="4">
      <c r="A203" s="81" t="n">
        <v>45994</v>
      </c>
      <c r="B203" s="82" t="n">
        <v>0.7048611111111112</v>
      </c>
      <c r="C203" s="5" t="inlineStr">
        <is>
          <t>Costco</t>
        </is>
      </c>
      <c r="D203" s="5" t="n"/>
      <c r="E203" s="5" t="n">
        <v>1</v>
      </c>
      <c r="F203" s="6" t="inlineStr">
        <is>
          <t>439 226 103 822</t>
        </is>
      </c>
      <c r="G203" s="15" t="inlineStr">
        <is>
          <t>6262016</t>
        </is>
      </c>
      <c r="H203" s="18" t="inlineStr">
        <is>
          <t>KS Bath Tissue</t>
        </is>
      </c>
      <c r="I203" s="9" t="n">
        <v>1</v>
      </c>
      <c r="J203" s="9" t="inlineStr">
        <is>
          <t>cnt</t>
        </is>
      </c>
      <c r="K203" s="9" t="n">
        <v>20.99</v>
      </c>
    </row>
    <row r="204" customFormat="1" s="4">
      <c r="A204" s="81" t="n">
        <v>45994</v>
      </c>
      <c r="B204" s="82" t="n">
        <v>0.7048611111111112</v>
      </c>
      <c r="C204" s="5" t="inlineStr">
        <is>
          <t>Costco</t>
        </is>
      </c>
      <c r="D204" s="5" t="n"/>
      <c r="E204" s="5" t="n">
        <v>1</v>
      </c>
      <c r="F204" s="6" t="inlineStr">
        <is>
          <t>439 226 103 822</t>
        </is>
      </c>
      <c r="G204" s="10" t="n"/>
      <c r="H204" s="18" t="inlineStr">
        <is>
          <t>Tax A 8.00%</t>
        </is>
      </c>
      <c r="I204" s="9" t="n">
        <v>1</v>
      </c>
      <c r="J204" s="9" t="inlineStr">
        <is>
          <t>cnt</t>
        </is>
      </c>
      <c r="K204" s="9" t="n">
        <v>1.68</v>
      </c>
    </row>
    <row r="205" customFormat="1" s="4">
      <c r="A205" s="81" t="n">
        <v>45994</v>
      </c>
      <c r="B205" s="82" t="n">
        <v>0.5611111111111111</v>
      </c>
      <c r="C205" s="5" t="inlineStr">
        <is>
          <t>Safeway</t>
        </is>
      </c>
      <c r="D205" s="5" t="n"/>
      <c r="E205" s="5" t="n">
        <v>1</v>
      </c>
      <c r="F205" s="6" t="inlineStr">
        <is>
          <t>822826475480</t>
        </is>
      </c>
      <c r="G205" s="15" t="n"/>
      <c r="H205" s="9" t="inlineStr">
        <is>
          <t>Pep Farm Bread Seedless Rye</t>
        </is>
      </c>
      <c r="I205" s="9" t="n"/>
      <c r="J205" s="9" t="n"/>
      <c r="K205" s="9" t="n">
        <v>4.99</v>
      </c>
    </row>
    <row r="206" customFormat="1" s="4">
      <c r="A206" s="81" t="n">
        <v>45994</v>
      </c>
      <c r="B206" s="82" t="n">
        <v>0.5611111111111111</v>
      </c>
      <c r="C206" s="5" t="inlineStr">
        <is>
          <t>Safeway</t>
        </is>
      </c>
      <c r="D206" s="5" t="n"/>
      <c r="E206" s="5" t="n">
        <v>1</v>
      </c>
      <c r="F206" s="6" t="inlineStr">
        <is>
          <t>822826475480</t>
        </is>
      </c>
      <c r="G206" s="15" t="n"/>
      <c r="H206" s="9" t="inlineStr">
        <is>
          <t>Mixed Roasted Chicken 8 Count Hot</t>
        </is>
      </c>
      <c r="I206" s="9" t="n">
        <v>1</v>
      </c>
      <c r="J206" s="9" t="inlineStr">
        <is>
          <t>lb</t>
        </is>
      </c>
      <c r="K206" s="9" t="n">
        <v>9.99</v>
      </c>
    </row>
    <row r="207" customFormat="1" s="4">
      <c r="A207" s="81" t="n">
        <v>45994</v>
      </c>
      <c r="B207" s="82" t="n">
        <v>0.5611111111111111</v>
      </c>
      <c r="C207" s="5" t="inlineStr">
        <is>
          <t>Safeway</t>
        </is>
      </c>
      <c r="D207" s="5" t="n"/>
      <c r="E207" s="5" t="n">
        <v>1</v>
      </c>
      <c r="F207" s="6" t="inlineStr">
        <is>
          <t>822826475480</t>
        </is>
      </c>
      <c r="G207" s="15" t="n"/>
      <c r="H207" s="9" t="inlineStr">
        <is>
          <t>"Item Name Not Found" tomato paste?</t>
        </is>
      </c>
      <c r="I207" s="9" t="n">
        <v>8</v>
      </c>
      <c r="J207" s="9" t="inlineStr">
        <is>
          <t>oz</t>
        </is>
      </c>
      <c r="K207" s="9" t="n">
        <v>1.29</v>
      </c>
    </row>
    <row r="208" customFormat="1" s="4">
      <c r="A208" s="81" t="n">
        <v>45994</v>
      </c>
      <c r="B208" s="82" t="n">
        <v>0.5611111111111111</v>
      </c>
      <c r="C208" s="5" t="inlineStr">
        <is>
          <t>Safeway</t>
        </is>
      </c>
      <c r="D208" s="5" t="n"/>
      <c r="E208" s="5" t="n">
        <v>1</v>
      </c>
      <c r="F208" s="6" t="inlineStr">
        <is>
          <t>822826475480</t>
        </is>
      </c>
      <c r="G208" s="15" t="n"/>
      <c r="H208" s="9" t="inlineStr">
        <is>
          <t>Bobs Red Mill Pearl Barley</t>
        </is>
      </c>
      <c r="I208" s="9" t="n"/>
      <c r="J208" s="9" t="n"/>
      <c r="K208" s="9" t="n">
        <v>4.29</v>
      </c>
    </row>
    <row r="209" customFormat="1" s="4">
      <c r="A209" s="81" t="n">
        <v>45994</v>
      </c>
      <c r="B209" s="82" t="n">
        <v>0.5611111111111111</v>
      </c>
      <c r="C209" s="5" t="inlineStr">
        <is>
          <t>Safeway</t>
        </is>
      </c>
      <c r="D209" s="5" t="n"/>
      <c r="E209" s="5" t="n">
        <v>1</v>
      </c>
      <c r="F209" s="6" t="inlineStr">
        <is>
          <t>822826475480</t>
        </is>
      </c>
      <c r="G209" s="15" t="n"/>
      <c r="H209" s="9" t="inlineStr">
        <is>
          <t>Juanitas Specialty Food Mexican Style Hominy</t>
        </is>
      </c>
      <c r="I209" s="9" t="n"/>
      <c r="J209" s="9" t="n"/>
      <c r="K209" s="9" t="n">
        <v>2.49</v>
      </c>
    </row>
    <row r="210" customFormat="1" s="4">
      <c r="A210" s="81" t="n">
        <v>45994</v>
      </c>
      <c r="B210" s="82" t="n">
        <v>0.5611111111111111</v>
      </c>
      <c r="C210" s="5" t="inlineStr">
        <is>
          <t>Safeway</t>
        </is>
      </c>
      <c r="D210" s="5" t="n"/>
      <c r="E210" s="5" t="n">
        <v>1</v>
      </c>
      <c r="F210" s="6" t="inlineStr">
        <is>
          <t>822826475480</t>
        </is>
      </c>
      <c r="G210" s="15" t="n"/>
      <c r="H210" s="9" t="inlineStr">
        <is>
          <t>Tomatillos</t>
        </is>
      </c>
      <c r="I210" s="9" t="n">
        <v>0.72</v>
      </c>
      <c r="J210" s="9" t="inlineStr">
        <is>
          <t>lb</t>
        </is>
      </c>
      <c r="K210" s="9" t="n">
        <v>1.43</v>
      </c>
    </row>
    <row r="211" customFormat="1" s="4">
      <c r="A211" s="81" t="n">
        <v>45994</v>
      </c>
      <c r="B211" s="82" t="n">
        <v>0.5611111111111111</v>
      </c>
      <c r="C211" s="5" t="inlineStr">
        <is>
          <t>Safeway</t>
        </is>
      </c>
      <c r="D211" s="5" t="n"/>
      <c r="E211" s="5" t="n">
        <v>1</v>
      </c>
      <c r="F211" s="6" t="inlineStr">
        <is>
          <t>822826475480</t>
        </is>
      </c>
      <c r="G211" s="15" t="n"/>
      <c r="H211" s="9" t="inlineStr">
        <is>
          <t>Sicilia Organic Lemon Juice</t>
        </is>
      </c>
      <c r="I211" s="9" t="n"/>
      <c r="J211" s="9" t="n"/>
      <c r="K211" s="9" t="n">
        <v>1.69</v>
      </c>
    </row>
    <row r="212" customFormat="1" s="4">
      <c r="A212" s="81" t="n">
        <v>45994</v>
      </c>
      <c r="B212" s="82" t="n">
        <v>0.5611111111111111</v>
      </c>
      <c r="C212" s="5" t="inlineStr">
        <is>
          <t>Safeway</t>
        </is>
      </c>
      <c r="D212" s="5" t="n"/>
      <c r="E212" s="5" t="n">
        <v>1</v>
      </c>
      <c r="F212" s="6" t="inlineStr">
        <is>
          <t>822826475480</t>
        </is>
      </c>
      <c r="G212" s="15" t="n"/>
      <c r="H212" s="9" t="inlineStr">
        <is>
          <t>Green Kale Bunch Organic</t>
        </is>
      </c>
      <c r="I212" s="9" t="n">
        <v>3</v>
      </c>
      <c r="J212" s="9" t="inlineStr">
        <is>
          <t>cnt</t>
        </is>
      </c>
      <c r="K212" s="9" t="n">
        <v>8.369999999999999</v>
      </c>
    </row>
    <row r="213" customFormat="1" s="4">
      <c r="A213" s="81" t="n">
        <v>45994</v>
      </c>
      <c r="B213" s="82" t="n">
        <v>0.5611111111111111</v>
      </c>
      <c r="C213" s="5" t="inlineStr">
        <is>
          <t>Safeway</t>
        </is>
      </c>
      <c r="D213" s="5" t="n"/>
      <c r="E213" s="5" t="n">
        <v>1</v>
      </c>
      <c r="F213" s="6" t="inlineStr">
        <is>
          <t>822826475480</t>
        </is>
      </c>
      <c r="G213" s="15" t="n"/>
      <c r="H213" s="9" t="inlineStr">
        <is>
          <t>Peppers Pasilla Tote</t>
        </is>
      </c>
      <c r="I213" s="9" t="n"/>
      <c r="J213" s="9" t="n"/>
      <c r="K213" s="9" t="n">
        <v>4.99</v>
      </c>
    </row>
    <row r="214" customFormat="1" s="4">
      <c r="A214" s="81" t="n">
        <v>45994</v>
      </c>
      <c r="B214" s="82" t="n">
        <v>0.5611111111111111</v>
      </c>
      <c r="C214" s="5" t="inlineStr">
        <is>
          <t>Safeway</t>
        </is>
      </c>
      <c r="D214" s="5" t="n"/>
      <c r="E214" s="5" t="n">
        <v>1</v>
      </c>
      <c r="F214" s="6" t="inlineStr">
        <is>
          <t>822826475480</t>
        </is>
      </c>
      <c r="G214" s="15" t="n"/>
      <c r="H214" s="9" t="inlineStr">
        <is>
          <t>Organic Butternut Squash</t>
        </is>
      </c>
      <c r="I214" s="9" t="n">
        <v>1.96</v>
      </c>
      <c r="J214" s="9" t="inlineStr">
        <is>
          <t>lb</t>
        </is>
      </c>
      <c r="K214" s="9" t="n">
        <v>4.88</v>
      </c>
    </row>
    <row r="215" customFormat="1" s="4">
      <c r="A215" s="81" t="n">
        <v>45994</v>
      </c>
      <c r="B215" s="82" t="n">
        <v>0.5611111111111111</v>
      </c>
      <c r="C215" s="5" t="inlineStr">
        <is>
          <t>Safeway</t>
        </is>
      </c>
      <c r="D215" s="5" t="n"/>
      <c r="E215" s="5" t="n">
        <v>1</v>
      </c>
      <c r="F215" s="6" t="inlineStr">
        <is>
          <t>822826475480</t>
        </is>
      </c>
      <c r="G215" s="15" t="n"/>
      <c r="H215" s="9" t="inlineStr">
        <is>
          <t>Lucerne 2% Calcium Fortified Cottage Cheese</t>
        </is>
      </c>
      <c r="I215" s="9" t="n">
        <v>16</v>
      </c>
      <c r="J215" s="9" t="inlineStr">
        <is>
          <t>oz</t>
        </is>
      </c>
      <c r="K215" s="9" t="n">
        <v>2.69</v>
      </c>
    </row>
    <row r="216" customFormat="1" s="4">
      <c r="A216" s="81" t="n">
        <v>45994</v>
      </c>
      <c r="B216" s="82" t="n">
        <v>0.5611111111111111</v>
      </c>
      <c r="C216" s="5" t="inlineStr">
        <is>
          <t>Safeway</t>
        </is>
      </c>
      <c r="D216" s="5" t="n"/>
      <c r="E216" s="5" t="n">
        <v>1</v>
      </c>
      <c r="F216" s="6" t="inlineStr">
        <is>
          <t>822826475480</t>
        </is>
      </c>
      <c r="G216" s="15" t="n"/>
      <c r="H216" s="9" t="inlineStr">
        <is>
          <t>Violife 100% Vegan Just Like Smoked Provolone Slices</t>
        </is>
      </c>
      <c r="I216" s="9" t="n"/>
      <c r="J216" s="9" t="n"/>
      <c r="K216" s="9" t="n">
        <v>6.99</v>
      </c>
    </row>
    <row r="217" customFormat="1" s="4">
      <c r="A217" s="81" t="n">
        <v>45994</v>
      </c>
      <c r="B217" s="82" t="n">
        <v>0.5611111111111111</v>
      </c>
      <c r="C217" s="5" t="inlineStr">
        <is>
          <t>Safeway</t>
        </is>
      </c>
      <c r="D217" s="5" t="n"/>
      <c r="E217" s="5" t="n">
        <v>1</v>
      </c>
      <c r="F217" s="6" t="inlineStr">
        <is>
          <t>822826475480</t>
        </is>
      </c>
      <c r="G217" s="15" t="n"/>
      <c r="H217" s="9" t="inlineStr">
        <is>
          <t>Violife 100% Vegan Just Like Cheddar Slices</t>
        </is>
      </c>
      <c r="I217" s="9" t="n"/>
      <c r="J217" s="9" t="n"/>
      <c r="K217" s="9" t="n">
        <v>6.99</v>
      </c>
    </row>
    <row r="218" customFormat="1" s="4">
      <c r="A218" s="81" t="n">
        <v>45994</v>
      </c>
      <c r="B218" s="82" t="n">
        <v>0.5611111111111111</v>
      </c>
      <c r="C218" s="5" t="inlineStr">
        <is>
          <t>Safeway</t>
        </is>
      </c>
      <c r="D218" s="5" t="n"/>
      <c r="E218" s="5" t="n">
        <v>1</v>
      </c>
      <c r="F218" s="6" t="inlineStr">
        <is>
          <t>822826475480</t>
        </is>
      </c>
      <c r="G218" s="15" t="n"/>
      <c r="H218" s="9" t="inlineStr">
        <is>
          <t>**DISCOUNT** Safeway4U savings</t>
        </is>
      </c>
      <c r="I218" s="9" t="n"/>
      <c r="J218" s="9" t="n"/>
      <c r="K218" s="9" t="n">
        <v>-7.57</v>
      </c>
    </row>
    <row r="219" customFormat="1" s="4">
      <c r="A219" s="81" t="n">
        <v>45994</v>
      </c>
      <c r="B219" s="82" t="n">
        <v>0.5611111111111111</v>
      </c>
      <c r="C219" s="5" t="inlineStr">
        <is>
          <t>Safeway</t>
        </is>
      </c>
      <c r="D219" s="5" t="n"/>
      <c r="E219" s="5" t="n">
        <v>1</v>
      </c>
      <c r="F219" s="6" t="inlineStr">
        <is>
          <t>822826475480</t>
        </is>
      </c>
      <c r="G219" s="15" t="n"/>
      <c r="H219" s="9" t="inlineStr">
        <is>
          <t>Tax</t>
        </is>
      </c>
      <c r="I219" s="9" t="n"/>
      <c r="J219" s="9" t="n"/>
      <c r="K219" s="9" t="n">
        <v>0.72</v>
      </c>
    </row>
    <row r="220" customFormat="1" s="4">
      <c r="A220" s="81" t="n">
        <v>45994</v>
      </c>
      <c r="B220" s="82" t="n">
        <v>0.5611111111111111</v>
      </c>
      <c r="C220" s="5" t="inlineStr">
        <is>
          <t>Safeway</t>
        </is>
      </c>
      <c r="D220" s="5" t="n"/>
      <c r="E220" s="5" t="n">
        <v>1</v>
      </c>
      <c r="F220" s="6" t="inlineStr">
        <is>
          <t>822826475480</t>
        </is>
      </c>
      <c r="G220" s="15" t="n"/>
      <c r="H220" s="9" t="inlineStr">
        <is>
          <t>Mary Wu Treat!</t>
        </is>
      </c>
      <c r="I220" s="9" t="n"/>
      <c r="J220" s="9" t="n"/>
      <c r="K220" s="9" t="n">
        <v>-54.23</v>
      </c>
    </row>
    <row r="221" customFormat="1" s="4">
      <c r="A221" s="81" t="n">
        <v>45994</v>
      </c>
      <c r="B221" s="82" t="n">
        <v>0.5349074074074074</v>
      </c>
      <c r="C221" s="5" t="inlineStr">
        <is>
          <t>H-Mart</t>
        </is>
      </c>
      <c r="D221" s="5" t="n"/>
      <c r="E221" s="5" t="n">
        <v>1</v>
      </c>
      <c r="F221" s="6" t="inlineStr">
        <is>
          <t>5505250138347</t>
        </is>
      </c>
      <c r="G221" s="15" t="n"/>
      <c r="H221" s="9" t="inlineStr">
        <is>
          <t>Chinese Eggplant USA/MEX @$1.78/lb -- 3 count</t>
        </is>
      </c>
      <c r="I221" s="9" t="n">
        <v>2.06</v>
      </c>
      <c r="J221" s="9" t="inlineStr">
        <is>
          <t>lb</t>
        </is>
      </c>
      <c r="K221" s="9" t="n">
        <v>3.67</v>
      </c>
    </row>
    <row r="222" customFormat="1" s="4">
      <c r="A222" s="81" t="n">
        <v>45994</v>
      </c>
      <c r="B222" s="82" t="n">
        <v>0.5349074074074074</v>
      </c>
      <c r="C222" s="5" t="inlineStr">
        <is>
          <t>H-Mart</t>
        </is>
      </c>
      <c r="D222" s="5" t="n"/>
      <c r="E222" s="5" t="n">
        <v>1</v>
      </c>
      <c r="F222" s="6" t="inlineStr">
        <is>
          <t>5505250138347</t>
        </is>
      </c>
      <c r="G222" s="15" t="n"/>
      <c r="H222" s="9" t="inlineStr">
        <is>
          <t>Cilantro USA/MEX $0.58/bunch</t>
        </is>
      </c>
      <c r="I222" s="9" t="n">
        <v>1</v>
      </c>
      <c r="J222" s="9" t="inlineStr">
        <is>
          <t>cnt</t>
        </is>
      </c>
      <c r="K222" s="9" t="n">
        <v>0.58</v>
      </c>
    </row>
    <row r="223" customFormat="1" s="4">
      <c r="A223" s="81" t="n">
        <v>45994</v>
      </c>
      <c r="B223" s="82" t="n">
        <v>0.5349074074074074</v>
      </c>
      <c r="C223" s="5" t="inlineStr">
        <is>
          <t>H-Mart</t>
        </is>
      </c>
      <c r="D223" s="5" t="n"/>
      <c r="E223" s="5" t="n">
        <v>1</v>
      </c>
      <c r="F223" s="6" t="inlineStr">
        <is>
          <t>5505250138347</t>
        </is>
      </c>
      <c r="G223" s="15" t="n"/>
      <c r="H223" s="9" t="inlineStr">
        <is>
          <t>Dill USA/MEX @$14.99/lb</t>
        </is>
      </c>
      <c r="I223" s="9" t="n">
        <v>0.29</v>
      </c>
      <c r="J223" s="9" t="inlineStr">
        <is>
          <t>lb</t>
        </is>
      </c>
      <c r="K223" s="9" t="n">
        <v>4.35</v>
      </c>
    </row>
    <row r="224" customFormat="1" s="4">
      <c r="A224" s="81" t="n">
        <v>45994</v>
      </c>
      <c r="B224" s="82" t="n">
        <v>0.5349074074074074</v>
      </c>
      <c r="C224" s="5" t="inlineStr">
        <is>
          <t>H-Mart</t>
        </is>
      </c>
      <c r="D224" s="5" t="n"/>
      <c r="E224" s="5" t="n">
        <v>1</v>
      </c>
      <c r="F224" s="6" t="inlineStr">
        <is>
          <t>5505250138347</t>
        </is>
      </c>
      <c r="G224" s="15" t="n"/>
      <c r="H224" s="9" t="inlineStr">
        <is>
          <t>American Celery USA/MEX</t>
        </is>
      </c>
      <c r="I224" s="9" t="n">
        <v>1</v>
      </c>
      <c r="J224" s="9" t="inlineStr">
        <is>
          <t>cnt</t>
        </is>
      </c>
      <c r="K224" s="9" t="n">
        <v>2.49</v>
      </c>
    </row>
    <row r="225" customFormat="1" s="4">
      <c r="A225" s="81" t="n">
        <v>45994</v>
      </c>
      <c r="B225" s="82" t="n">
        <v>0.5349074074074074</v>
      </c>
      <c r="C225" s="5" t="inlineStr">
        <is>
          <t>H-Mart</t>
        </is>
      </c>
      <c r="D225" s="5" t="n"/>
      <c r="E225" s="5" t="n">
        <v>1</v>
      </c>
      <c r="F225" s="6" t="inlineStr">
        <is>
          <t>5505250138347</t>
        </is>
      </c>
      <c r="G225" s="15" t="n"/>
      <c r="H225" s="9" t="inlineStr">
        <is>
          <t>GF Whole Carrots bag</t>
        </is>
      </c>
      <c r="I225" s="9" t="n">
        <v>1</v>
      </c>
      <c r="J225" s="9" t="inlineStr">
        <is>
          <t>lb</t>
        </is>
      </c>
      <c r="K225" s="9" t="n">
        <v>0.98</v>
      </c>
    </row>
    <row r="226" customFormat="1" s="4">
      <c r="A226" s="81" t="n">
        <v>45994</v>
      </c>
      <c r="B226" s="82" t="n">
        <v>0.5349074074074074</v>
      </c>
      <c r="C226" s="5" t="inlineStr">
        <is>
          <t>H-Mart</t>
        </is>
      </c>
      <c r="D226" s="5" t="n"/>
      <c r="E226" s="5" t="n">
        <v>1</v>
      </c>
      <c r="F226" s="6" t="inlineStr">
        <is>
          <t>5505250138347</t>
        </is>
      </c>
      <c r="G226" s="15" t="n"/>
      <c r="H226" s="9" t="inlineStr">
        <is>
          <t>GF Whole Carrots bag</t>
        </is>
      </c>
      <c r="I226" s="9" t="n">
        <v>1</v>
      </c>
      <c r="J226" s="9" t="inlineStr">
        <is>
          <t>lb</t>
        </is>
      </c>
      <c r="K226" s="9" t="n">
        <v>0.98</v>
      </c>
    </row>
    <row r="227" customFormat="1" s="4">
      <c r="A227" s="81" t="n">
        <v>45994</v>
      </c>
      <c r="B227" s="82" t="n">
        <v>0.5349074074074074</v>
      </c>
      <c r="C227" s="5" t="inlineStr">
        <is>
          <t>H-Mart</t>
        </is>
      </c>
      <c r="D227" s="5" t="n"/>
      <c r="E227" s="5" t="n">
        <v>1</v>
      </c>
      <c r="F227" s="6" t="inlineStr">
        <is>
          <t>5505250138347</t>
        </is>
      </c>
      <c r="G227" s="15" t="n"/>
      <c r="H227" s="9" t="inlineStr">
        <is>
          <t>Private Selection Jumbo Blueberries</t>
        </is>
      </c>
      <c r="I227" s="9" t="n">
        <v>9.800000000000001</v>
      </c>
      <c r="J227" s="9" t="inlineStr">
        <is>
          <t>oz</t>
        </is>
      </c>
      <c r="K227" s="9" t="n">
        <v>2.98</v>
      </c>
    </row>
    <row r="228" customFormat="1" s="4">
      <c r="A228" s="81" t="n">
        <v>45994</v>
      </c>
      <c r="B228" s="82" t="n">
        <v>0.5349074074074074</v>
      </c>
      <c r="C228" s="5" t="inlineStr">
        <is>
          <t>H-Mart</t>
        </is>
      </c>
      <c r="D228" s="5" t="n"/>
      <c r="E228" s="5" t="n">
        <v>1</v>
      </c>
      <c r="F228" s="6" t="inlineStr">
        <is>
          <t>5505250138347</t>
        </is>
      </c>
      <c r="G228" s="15" t="n"/>
      <c r="H228" s="9" t="inlineStr">
        <is>
          <t>Granny Smith Apple @$1.99/lb</t>
        </is>
      </c>
      <c r="I228" s="9" t="n">
        <v>0.55</v>
      </c>
      <c r="J228" s="9" t="inlineStr">
        <is>
          <t>lb</t>
        </is>
      </c>
      <c r="K228" s="9" t="n">
        <v>1.09</v>
      </c>
    </row>
    <row r="229" customFormat="1" s="4">
      <c r="A229" s="81" t="n">
        <v>45994</v>
      </c>
      <c r="B229" s="82" t="n">
        <v>0.5349074074074074</v>
      </c>
      <c r="C229" s="5" t="inlineStr">
        <is>
          <t>H-Mart</t>
        </is>
      </c>
      <c r="D229" s="5" t="n"/>
      <c r="E229" s="5" t="n">
        <v>1</v>
      </c>
      <c r="F229" s="6" t="inlineStr">
        <is>
          <t>5505250138347</t>
        </is>
      </c>
      <c r="G229" s="15" t="n"/>
      <c r="H229" s="9" t="inlineStr">
        <is>
          <t>Purple Potato USA @$2.49/lb</t>
        </is>
      </c>
      <c r="I229" s="9" t="n">
        <v>1.49</v>
      </c>
      <c r="J229" s="9" t="inlineStr">
        <is>
          <t>lb</t>
        </is>
      </c>
      <c r="K229" s="9" t="n">
        <v>3.71</v>
      </c>
    </row>
    <row r="230" customFormat="1" s="4">
      <c r="A230" s="81" t="n">
        <v>45994</v>
      </c>
      <c r="B230" s="82" t="n">
        <v>0.5349074074074074</v>
      </c>
      <c r="C230" s="5" t="inlineStr">
        <is>
          <t>H-Mart</t>
        </is>
      </c>
      <c r="D230" s="5" t="n"/>
      <c r="E230" s="5" t="n">
        <v>1</v>
      </c>
      <c r="F230" s="6" t="inlineStr">
        <is>
          <t>5505250138347</t>
        </is>
      </c>
      <c r="G230" s="15" t="n"/>
      <c r="H230" s="9" t="inlineStr">
        <is>
          <t xml:space="preserve">De La Casa Spices Whole Cloves packet </t>
        </is>
      </c>
      <c r="I230" s="9" t="n">
        <v>0.5</v>
      </c>
      <c r="J230" s="9" t="inlineStr">
        <is>
          <t>oz</t>
        </is>
      </c>
      <c r="K230" s="9" t="n">
        <v>1.79</v>
      </c>
    </row>
    <row r="231" customFormat="1" s="4">
      <c r="A231" s="81" t="n">
        <v>45994</v>
      </c>
      <c r="B231" s="82" t="n">
        <v>0.5349074074074074</v>
      </c>
      <c r="C231" s="5" t="inlineStr">
        <is>
          <t>H-Mart</t>
        </is>
      </c>
      <c r="D231" s="5" t="n"/>
      <c r="E231" s="5" t="n">
        <v>1</v>
      </c>
      <c r="F231" s="6" t="inlineStr">
        <is>
          <t>5505250138347</t>
        </is>
      </c>
      <c r="G231" s="15" t="n"/>
      <c r="H231" s="9" t="inlineStr">
        <is>
          <t>Organic Leek @$3.99/lb</t>
        </is>
      </c>
      <c r="I231" s="9" t="n">
        <v>2.17</v>
      </c>
      <c r="J231" s="9" t="n"/>
      <c r="K231" s="5" t="n">
        <v>8.66</v>
      </c>
    </row>
    <row r="232" customFormat="1" s="4">
      <c r="A232" s="81" t="n">
        <v>45994</v>
      </c>
      <c r="B232" s="82" t="n">
        <v>0.5349074074074074</v>
      </c>
      <c r="C232" s="5" t="inlineStr">
        <is>
          <t>H-Mart</t>
        </is>
      </c>
      <c r="D232" s="5" t="n"/>
      <c r="E232" s="5" t="n">
        <v>1</v>
      </c>
      <c r="F232" s="6" t="inlineStr">
        <is>
          <t>5505250138347</t>
        </is>
      </c>
      <c r="G232" s="15" t="n"/>
      <c r="H232" s="9" t="inlineStr">
        <is>
          <t>Pineapple @$4.98/ea</t>
        </is>
      </c>
      <c r="I232" s="9" t="n">
        <v>1</v>
      </c>
      <c r="J232" s="9" t="inlineStr">
        <is>
          <t>lb</t>
        </is>
      </c>
      <c r="K232" s="9" t="n">
        <v>4.98</v>
      </c>
    </row>
    <row r="233" customFormat="1" s="4">
      <c r="A233" s="81" t="n">
        <v>45994</v>
      </c>
      <c r="B233" s="82" t="n">
        <v>0.5349074074074074</v>
      </c>
      <c r="C233" s="5" t="inlineStr">
        <is>
          <t>H-Mart</t>
        </is>
      </c>
      <c r="D233" s="5" t="n"/>
      <c r="E233" s="5" t="n">
        <v>1</v>
      </c>
      <c r="F233" s="6" t="inlineStr">
        <is>
          <t>5505250138347</t>
        </is>
      </c>
      <c r="G233" s="15" t="n"/>
      <c r="H233" s="9" t="inlineStr">
        <is>
          <t>Tax</t>
        </is>
      </c>
      <c r="I233" s="9" t="n">
        <v>13</v>
      </c>
      <c r="J233" s="9" t="inlineStr">
        <is>
          <t>cnt</t>
        </is>
      </c>
      <c r="K233" s="9" t="n">
        <v>0</v>
      </c>
    </row>
    <row r="234" customFormat="1" s="4">
      <c r="A234" s="81" t="n">
        <v>45994</v>
      </c>
      <c r="B234" s="82" t="n">
        <v>0.5349074074074074</v>
      </c>
      <c r="C234" s="5" t="inlineStr">
        <is>
          <t>H-Mart</t>
        </is>
      </c>
      <c r="D234" s="5" t="n"/>
      <c r="E234" s="5" t="n">
        <v>1</v>
      </c>
      <c r="F234" s="6" t="inlineStr">
        <is>
          <t>5505250138347</t>
        </is>
      </c>
      <c r="G234" s="15" t="n"/>
      <c r="H234" s="9" t="inlineStr">
        <is>
          <t>Mary Wu Treat!</t>
        </is>
      </c>
      <c r="I234" s="9" t="n">
        <v>13</v>
      </c>
      <c r="J234" s="9" t="inlineStr">
        <is>
          <t>cnt</t>
        </is>
      </c>
      <c r="K234" s="9" t="n">
        <v>-36.26</v>
      </c>
    </row>
    <row r="235" customFormat="1" s="4">
      <c r="A235" s="81" t="n">
        <v>45994</v>
      </c>
      <c r="B235" s="82" t="n">
        <v>0.4096759259259259</v>
      </c>
      <c r="C235" s="5" t="inlineStr">
        <is>
          <t>Agape Chiropractic</t>
        </is>
      </c>
      <c r="D235" s="5" t="n"/>
      <c r="E235" s="5" t="n">
        <v>1</v>
      </c>
      <c r="F235" s="6" t="inlineStr">
        <is>
          <t>2 962 2 013094</t>
        </is>
      </c>
      <c r="G235" s="15" t="n"/>
      <c r="H235" s="9" t="inlineStr">
        <is>
          <t>Two "initial child" exams ft. Dr. Hug</t>
        </is>
      </c>
      <c r="I235" s="9" t="n">
        <v>2</v>
      </c>
      <c r="J235" s="9" t="inlineStr">
        <is>
          <t>cnt</t>
        </is>
      </c>
      <c r="K235" s="9" t="n">
        <v>70</v>
      </c>
    </row>
    <row r="236" customFormat="1" s="4">
      <c r="A236" s="81" t="n">
        <v>45994</v>
      </c>
      <c r="B236" s="82" t="n">
        <v>0.3194444444444444</v>
      </c>
      <c r="C236" s="5" t="inlineStr">
        <is>
          <t>Panera Bread</t>
        </is>
      </c>
      <c r="D236" s="5" t="n"/>
      <c r="E236" s="5" t="n">
        <v>1</v>
      </c>
      <c r="F236" s="6" t="inlineStr">
        <is>
          <t>NA_IwasntThere</t>
        </is>
      </c>
      <c r="G236" s="15" t="n"/>
      <c r="H236" s="9" t="inlineStr">
        <is>
          <t>Chipotle Chicken, Scrambled Egg, Avocado on Ciabatta + extra sliced tomatos, arugula, everything bagel seasoning</t>
        </is>
      </c>
      <c r="I236" s="9" t="n">
        <v>1</v>
      </c>
      <c r="J236" s="9" t="inlineStr">
        <is>
          <t>cnt</t>
        </is>
      </c>
      <c r="K236" s="9" t="n">
        <v>7.59</v>
      </c>
    </row>
    <row r="237" customFormat="1" s="4">
      <c r="A237" s="81" t="n">
        <v>45994</v>
      </c>
      <c r="B237" s="82" t="n">
        <v>0.3194444444444444</v>
      </c>
      <c r="C237" s="5" t="inlineStr">
        <is>
          <t>Panera Bread</t>
        </is>
      </c>
      <c r="D237" s="5" t="n"/>
      <c r="E237" s="5" t="n">
        <v>1</v>
      </c>
      <c r="F237" s="6" t="inlineStr">
        <is>
          <t>NA_IwasntThere</t>
        </is>
      </c>
      <c r="G237" s="15" t="n"/>
      <c r="H237" s="9" t="inlineStr">
        <is>
          <t>Chipotle Chicken, Scrambled Egg, Avocado on Ciabatta + extra sliced tomatos, arugula, everything bagel seasoning + NO CHEESE</t>
        </is>
      </c>
      <c r="I237" s="9" t="n">
        <v>1</v>
      </c>
      <c r="J237" s="9" t="inlineStr">
        <is>
          <t>cnt</t>
        </is>
      </c>
      <c r="K237" s="9" t="n">
        <v>7.59</v>
      </c>
    </row>
    <row r="238" customFormat="1" s="4">
      <c r="A238" s="81" t="n">
        <v>45994</v>
      </c>
      <c r="B238" s="82" t="n">
        <v>0.3194444444444444</v>
      </c>
      <c r="C238" s="5" t="inlineStr">
        <is>
          <t>Panera Bread</t>
        </is>
      </c>
      <c r="D238" s="5" t="n"/>
      <c r="E238" s="5" t="n">
        <v>1</v>
      </c>
      <c r="F238" s="6" t="inlineStr">
        <is>
          <t>NA_IwasntThere</t>
        </is>
      </c>
      <c r="G238" s="15" t="n"/>
      <c r="H238" s="9" t="inlineStr">
        <is>
          <t>Mary Wu Treat!</t>
        </is>
      </c>
      <c r="I238" s="9" t="n">
        <v>2</v>
      </c>
      <c r="J238" s="9" t="inlineStr">
        <is>
          <t>cnt</t>
        </is>
      </c>
      <c r="K238" s="9" t="n">
        <v>-15.18</v>
      </c>
    </row>
    <row r="239" customFormat="1" s="4">
      <c r="A239" s="81" t="n">
        <v>45994</v>
      </c>
      <c r="B239" s="82" t="n">
        <v>0.2916666666666667</v>
      </c>
      <c r="C239" s="5" t="inlineStr">
        <is>
          <t>Amazon</t>
        </is>
      </c>
      <c r="D239" s="5" t="n">
        <v>1</v>
      </c>
      <c r="E239" s="5" t="n"/>
      <c r="F239" s="6" t="inlineStr">
        <is>
          <t>113-9405606-1482622</t>
        </is>
      </c>
      <c r="G239" s="15" t="n"/>
      <c r="H239" s="9" t="inlineStr">
        <is>
          <t>Inca's Food Maiz Morado -- product of peru</t>
        </is>
      </c>
      <c r="I239" s="9" t="n">
        <v>15</v>
      </c>
      <c r="J239" s="9" t="inlineStr">
        <is>
          <t>oz</t>
        </is>
      </c>
      <c r="K239" s="9" t="n">
        <v>14.71</v>
      </c>
    </row>
    <row r="240" customFormat="1" s="4">
      <c r="A240" s="81" t="n">
        <v>45994</v>
      </c>
      <c r="B240" s="82" t="n">
        <v>0.2916666666666667</v>
      </c>
      <c r="C240" s="5" t="inlineStr">
        <is>
          <t>Amazon</t>
        </is>
      </c>
      <c r="D240" s="5" t="n">
        <v>1</v>
      </c>
      <c r="E240" s="5" t="n"/>
      <c r="F240" s="6" t="inlineStr">
        <is>
          <t>113-9405606-1482622</t>
        </is>
      </c>
      <c r="G240" s="15" t="n"/>
      <c r="H240" s="9" t="inlineStr">
        <is>
          <t>Tax</t>
        </is>
      </c>
      <c r="I240" s="9" t="n">
        <v>15</v>
      </c>
      <c r="J240" s="9" t="inlineStr">
        <is>
          <t>oz</t>
        </is>
      </c>
      <c r="K240" s="9" t="n">
        <v>0</v>
      </c>
    </row>
    <row r="241" customFormat="1" s="4">
      <c r="A241" s="81" t="n">
        <v>45994</v>
      </c>
      <c r="B241" s="82" t="n">
        <v>0.2916666666666667</v>
      </c>
      <c r="C241" s="5" t="inlineStr">
        <is>
          <t>Amazon</t>
        </is>
      </c>
      <c r="D241" s="5" t="n">
        <v>1</v>
      </c>
      <c r="E241" s="5" t="n"/>
      <c r="F241" s="6" t="inlineStr">
        <is>
          <t>113-9405606-1482622</t>
        </is>
      </c>
      <c r="G241" s="15" t="n"/>
      <c r="H241" s="9" t="inlineStr">
        <is>
          <t>Mary Wu Treat!</t>
        </is>
      </c>
      <c r="I241" s="9" t="n">
        <v>15</v>
      </c>
      <c r="J241" s="9" t="inlineStr">
        <is>
          <t>oz</t>
        </is>
      </c>
      <c r="K241" s="9" t="n">
        <v>-14.71</v>
      </c>
    </row>
    <row r="242" customFormat="1" s="4">
      <c r="A242" s="81" t="n">
        <v>45993</v>
      </c>
      <c r="B242" s="82" t="n">
        <v>0.5875</v>
      </c>
      <c r="C242" s="5" t="inlineStr">
        <is>
          <t>Costco</t>
        </is>
      </c>
      <c r="D242" s="5" t="n"/>
      <c r="E242" s="5" t="n">
        <v>1</v>
      </c>
      <c r="F242" s="6" t="inlineStr">
        <is>
          <t>439 6 149 37</t>
        </is>
      </c>
      <c r="G242" s="15" t="inlineStr">
        <is>
          <t>955483</t>
        </is>
      </c>
      <c r="H242" s="9" t="inlineStr">
        <is>
          <t>Huggies Size 1 192 count</t>
        </is>
      </c>
      <c r="I242" s="9" t="n">
        <v>192</v>
      </c>
      <c r="J242" s="9" t="inlineStr">
        <is>
          <t>cnt</t>
        </is>
      </c>
      <c r="K242" s="9" t="inlineStr">
        <is>
          <t>39.99B</t>
        </is>
      </c>
    </row>
    <row r="243" customFormat="1" s="4">
      <c r="A243" s="81" t="n">
        <v>45993</v>
      </c>
      <c r="B243" s="82" t="n">
        <v>0.5875</v>
      </c>
      <c r="C243" s="5" t="inlineStr">
        <is>
          <t>Costco</t>
        </is>
      </c>
      <c r="D243" s="5" t="n"/>
      <c r="E243" s="5" t="n">
        <v>1</v>
      </c>
      <c r="F243" s="6" t="inlineStr">
        <is>
          <t>439 6 149 37</t>
        </is>
      </c>
      <c r="G243" s="15" t="inlineStr">
        <is>
          <t>E 15698</t>
        </is>
      </c>
      <c r="H243" s="9" t="inlineStr">
        <is>
          <t>Ground Turkey, 4 packs of 1.7lb</t>
        </is>
      </c>
      <c r="I243" s="9" t="n">
        <v>6.8</v>
      </c>
      <c r="J243" s="9" t="inlineStr">
        <is>
          <t>lb</t>
        </is>
      </c>
      <c r="K243" s="9" t="n">
        <v>24.99</v>
      </c>
    </row>
    <row r="244" customFormat="1" s="4">
      <c r="A244" s="81" t="n">
        <v>45993</v>
      </c>
      <c r="B244" s="82" t="n">
        <v>0.5875</v>
      </c>
      <c r="C244" s="5" t="inlineStr">
        <is>
          <t>Costco</t>
        </is>
      </c>
      <c r="D244" s="5" t="n"/>
      <c r="E244" s="5" t="n">
        <v>1</v>
      </c>
      <c r="F244" s="6" t="inlineStr">
        <is>
          <t>439 6 149 37</t>
        </is>
      </c>
      <c r="G244" s="15" t="inlineStr">
        <is>
          <t>E 26802</t>
        </is>
      </c>
      <c r="H244" s="9" t="inlineStr">
        <is>
          <t>President Feta Cheese Crumbles, 24 oz</t>
        </is>
      </c>
      <c r="I244" s="9" t="n">
        <v>24</v>
      </c>
      <c r="J244" s="9" t="inlineStr">
        <is>
          <t>oz</t>
        </is>
      </c>
      <c r="K244" s="9" t="n">
        <v>6.999</v>
      </c>
    </row>
    <row r="245" customFormat="1" s="4">
      <c r="A245" s="81" t="n">
        <v>45993</v>
      </c>
      <c r="B245" s="82" t="n">
        <v>0.5875</v>
      </c>
      <c r="C245" s="5" t="inlineStr">
        <is>
          <t>Costco</t>
        </is>
      </c>
      <c r="D245" s="5" t="n"/>
      <c r="E245" s="5" t="n">
        <v>1</v>
      </c>
      <c r="F245" s="6" t="inlineStr">
        <is>
          <t>439 6 149 37</t>
        </is>
      </c>
      <c r="G245" s="15" t="inlineStr">
        <is>
          <t>E 7947</t>
        </is>
      </c>
      <c r="H245" s="9" t="inlineStr">
        <is>
          <t>4lb Fuji apples</t>
        </is>
      </c>
      <c r="I245" s="9" t="n">
        <v>4</v>
      </c>
      <c r="J245" s="9" t="inlineStr">
        <is>
          <t>lb</t>
        </is>
      </c>
      <c r="K245" s="9" t="n">
        <v>4.89</v>
      </c>
    </row>
    <row r="246" customFormat="1" s="4">
      <c r="A246" s="81" t="n">
        <v>45993</v>
      </c>
      <c r="B246" s="82" t="n">
        <v>0.5875</v>
      </c>
      <c r="C246" s="5" t="inlineStr">
        <is>
          <t>Costco</t>
        </is>
      </c>
      <c r="D246" s="5" t="n"/>
      <c r="E246" s="5" t="n">
        <v>1</v>
      </c>
      <c r="F246" s="6" t="inlineStr">
        <is>
          <t>439 6 149 37</t>
        </is>
      </c>
      <c r="G246" s="15" t="inlineStr">
        <is>
          <t>E 1605476</t>
        </is>
      </c>
      <c r="H246" s="9" t="inlineStr">
        <is>
          <t>Kirkland Signature Organic Green Beans, Extra Fine, 5 lbs</t>
        </is>
      </c>
      <c r="I246" s="9" t="n">
        <v>5</v>
      </c>
      <c r="J246" s="9" t="inlineStr">
        <is>
          <t>lb</t>
        </is>
      </c>
      <c r="K246" s="9" t="n">
        <v>9.99</v>
      </c>
    </row>
    <row r="247" customFormat="1" s="4">
      <c r="A247" s="81" t="n">
        <v>45993</v>
      </c>
      <c r="B247" s="82" t="n">
        <v>0.5875</v>
      </c>
      <c r="C247" s="5" t="inlineStr">
        <is>
          <t>Costco</t>
        </is>
      </c>
      <c r="D247" s="5" t="n"/>
      <c r="E247" s="5" t="n">
        <v>1</v>
      </c>
      <c r="F247" s="6" t="inlineStr">
        <is>
          <t>439 6 149 37</t>
        </is>
      </c>
      <c r="G247" s="15" t="inlineStr">
        <is>
          <t>E 1010598</t>
        </is>
      </c>
      <c r="H247" s="9" t="inlineStr">
        <is>
          <t xml:space="preserve">Kirkland Signature Three Berry Blend, 4 lbs </t>
        </is>
      </c>
      <c r="I247" s="9" t="n">
        <v>4</v>
      </c>
      <c r="J247" s="9" t="inlineStr">
        <is>
          <t>lb</t>
        </is>
      </c>
      <c r="K247" s="9" t="n">
        <v>11.99</v>
      </c>
    </row>
    <row r="248" customFormat="1" s="4">
      <c r="A248" s="81" t="n">
        <v>45993</v>
      </c>
      <c r="B248" s="82" t="n">
        <v>0.5875</v>
      </c>
      <c r="C248" s="5" t="inlineStr">
        <is>
          <t>Costco</t>
        </is>
      </c>
      <c r="D248" s="5" t="n"/>
      <c r="E248" s="5" t="n">
        <v>1</v>
      </c>
      <c r="F248" s="6" t="inlineStr">
        <is>
          <t>439 6 149 37</t>
        </is>
      </c>
      <c r="G248" s="15" t="inlineStr">
        <is>
          <t>E 45590</t>
        </is>
      </c>
      <c r="H248" s="9" t="inlineStr">
        <is>
          <t>POM Pomegranate Arils, 4 containers</t>
        </is>
      </c>
      <c r="I248" s="9" t="n">
        <v>1</v>
      </c>
      <c r="J248" s="9" t="inlineStr">
        <is>
          <t>lb</t>
        </is>
      </c>
      <c r="K248" s="9" t="n">
        <v>8.99</v>
      </c>
    </row>
    <row r="249" customFormat="1" s="4">
      <c r="A249" s="81" t="n">
        <v>45993</v>
      </c>
      <c r="B249" s="82" t="n">
        <v>0.5875</v>
      </c>
      <c r="C249" s="5" t="inlineStr">
        <is>
          <t>Costco</t>
        </is>
      </c>
      <c r="D249" s="5" t="n"/>
      <c r="E249" s="5" t="n">
        <v>1</v>
      </c>
      <c r="F249" s="6" t="inlineStr">
        <is>
          <t>439 6 149 37</t>
        </is>
      </c>
      <c r="G249" s="15" t="inlineStr">
        <is>
          <t>E 568915</t>
        </is>
      </c>
      <c r="H249" s="9" t="inlineStr">
        <is>
          <t>Organic Cucumber, 3 cucs</t>
        </is>
      </c>
      <c r="I249" s="9" t="n"/>
      <c r="J249" s="9" t="n"/>
      <c r="K249" s="9" t="n">
        <v>5.99</v>
      </c>
    </row>
    <row r="250" customFormat="1" s="4">
      <c r="A250" s="81" t="n">
        <v>45993</v>
      </c>
      <c r="B250" s="82" t="n">
        <v>0.5875</v>
      </c>
      <c r="C250" s="5" t="inlineStr">
        <is>
          <t>Costco</t>
        </is>
      </c>
      <c r="D250" s="5" t="n"/>
      <c r="E250" s="5" t="n">
        <v>1</v>
      </c>
      <c r="F250" s="6" t="inlineStr">
        <is>
          <t>439 6 149 37</t>
        </is>
      </c>
      <c r="G250" s="15" t="inlineStr">
        <is>
          <t>E 25595</t>
        </is>
      </c>
      <c r="H250" s="9" t="inlineStr">
        <is>
          <t>Cocktail Tomato</t>
        </is>
      </c>
      <c r="I250" s="9" t="n">
        <v>2</v>
      </c>
      <c r="J250" s="9" t="inlineStr">
        <is>
          <t>lb</t>
        </is>
      </c>
      <c r="K250" s="9" t="n">
        <v>5.99</v>
      </c>
    </row>
    <row r="251" customFormat="1" s="4">
      <c r="A251" s="81" t="n">
        <v>45993</v>
      </c>
      <c r="B251" s="82" t="n">
        <v>0.5875</v>
      </c>
      <c r="C251" s="5" t="inlineStr">
        <is>
          <t>Costco</t>
        </is>
      </c>
      <c r="D251" s="5" t="n"/>
      <c r="E251" s="5" t="n">
        <v>1</v>
      </c>
      <c r="F251" s="6" t="inlineStr">
        <is>
          <t>439 6 149 37</t>
        </is>
      </c>
      <c r="G251" s="15" t="inlineStr">
        <is>
          <t>E 6148</t>
        </is>
      </c>
      <c r="H251" s="9" t="inlineStr">
        <is>
          <t>Persimmons 2lb</t>
        </is>
      </c>
      <c r="I251" s="9" t="n">
        <v>2</v>
      </c>
      <c r="J251" s="9" t="inlineStr">
        <is>
          <t>lb</t>
        </is>
      </c>
      <c r="K251" s="9" t="n">
        <v>4.99</v>
      </c>
    </row>
    <row r="252" customFormat="1" s="4">
      <c r="A252" s="81" t="n">
        <v>45993</v>
      </c>
      <c r="B252" s="82" t="n">
        <v>0.5875</v>
      </c>
      <c r="C252" s="5" t="inlineStr">
        <is>
          <t>Costco</t>
        </is>
      </c>
      <c r="D252" s="5" t="n"/>
      <c r="E252" s="5" t="n">
        <v>1</v>
      </c>
      <c r="F252" s="6" t="inlineStr">
        <is>
          <t>439 6 149 37</t>
        </is>
      </c>
      <c r="G252" s="15" t="inlineStr">
        <is>
          <t>1742398</t>
        </is>
      </c>
      <c r="H252" s="9" t="inlineStr">
        <is>
          <t>youtheory Ashwagandha 1000 mg, 180 Vegetarian Capsules</t>
        </is>
      </c>
      <c r="I252" s="9" t="n">
        <v>180</v>
      </c>
      <c r="J252" s="9" t="inlineStr">
        <is>
          <t>cnt</t>
        </is>
      </c>
      <c r="K252" s="9" t="inlineStr">
        <is>
          <t>21.99 A</t>
        </is>
      </c>
    </row>
    <row r="253" customFormat="1" s="4">
      <c r="A253" s="81" t="n">
        <v>45993</v>
      </c>
      <c r="B253" s="82" t="n">
        <v>0.5875</v>
      </c>
      <c r="C253" s="5" t="inlineStr">
        <is>
          <t>Costco</t>
        </is>
      </c>
      <c r="D253" s="5" t="n"/>
      <c r="E253" s="5" t="n">
        <v>1</v>
      </c>
      <c r="F253" s="6" t="inlineStr">
        <is>
          <t>439 6 149 37</t>
        </is>
      </c>
      <c r="G253" s="15" t="inlineStr">
        <is>
          <t>E 1312260</t>
        </is>
      </c>
      <c r="H253" s="9" t="inlineStr">
        <is>
          <t>Sliced Sourdough Izzio, 2 loaves</t>
        </is>
      </c>
      <c r="I253" s="9" t="n">
        <v>24</v>
      </c>
      <c r="J253" s="9" t="inlineStr">
        <is>
          <t>oz</t>
        </is>
      </c>
      <c r="K253" s="9" t="n">
        <v>8.99</v>
      </c>
    </row>
    <row r="254" customFormat="1" s="4">
      <c r="A254" s="81" t="n">
        <v>45993</v>
      </c>
      <c r="B254" s="82" t="n">
        <v>0.5875</v>
      </c>
      <c r="C254" s="5" t="inlineStr">
        <is>
          <t>Costco</t>
        </is>
      </c>
      <c r="D254" s="5" t="n"/>
      <c r="E254" s="5" t="n">
        <v>1</v>
      </c>
      <c r="F254" s="6" t="inlineStr">
        <is>
          <t>439 6 149 37</t>
        </is>
      </c>
      <c r="G254" s="15" t="inlineStr">
        <is>
          <t>E 30669</t>
        </is>
      </c>
      <c r="H254" s="9" t="inlineStr">
        <is>
          <t>Bananas</t>
        </is>
      </c>
      <c r="I254" s="9" t="n">
        <v>3</v>
      </c>
      <c r="J254" s="9" t="inlineStr">
        <is>
          <t>lb</t>
        </is>
      </c>
      <c r="K254" s="9" t="n">
        <v>1.49</v>
      </c>
    </row>
    <row r="255" customFormat="1" s="4">
      <c r="A255" s="81" t="n">
        <v>45993</v>
      </c>
      <c r="B255" s="82" t="n">
        <v>0.5875</v>
      </c>
      <c r="C255" s="5" t="inlineStr">
        <is>
          <t>Costco</t>
        </is>
      </c>
      <c r="D255" s="5" t="n"/>
      <c r="E255" s="5" t="n">
        <v>1</v>
      </c>
      <c r="F255" s="6" t="inlineStr">
        <is>
          <t>439 6 149 37</t>
        </is>
      </c>
      <c r="G255" s="15" t="n"/>
      <c r="H255" s="9" t="inlineStr">
        <is>
          <t>Tax A 8.00%</t>
        </is>
      </c>
      <c r="I255" s="9" t="n">
        <v>1</v>
      </c>
      <c r="J255" s="9" t="inlineStr">
        <is>
          <t>cnt</t>
        </is>
      </c>
      <c r="K255" s="9" t="n">
        <v>1.76</v>
      </c>
    </row>
    <row r="256" customFormat="1" s="4">
      <c r="A256" s="81" t="n">
        <v>45993</v>
      </c>
      <c r="B256" s="82" t="n">
        <v>0.5875</v>
      </c>
      <c r="C256" s="5" t="inlineStr">
        <is>
          <t>Costco</t>
        </is>
      </c>
      <c r="D256" s="5" t="n"/>
      <c r="E256" s="5" t="n">
        <v>1</v>
      </c>
      <c r="F256" s="6" t="inlineStr">
        <is>
          <t>439 6 149 37</t>
        </is>
      </c>
      <c r="G256" s="15" t="n"/>
      <c r="H256" s="9" t="inlineStr">
        <is>
          <t>Tax B 0.25%</t>
        </is>
      </c>
      <c r="I256" s="9" t="n">
        <v>1</v>
      </c>
      <c r="J256" s="9" t="inlineStr">
        <is>
          <t>cnt</t>
        </is>
      </c>
      <c r="K256" s="9" t="n">
        <v>0.1</v>
      </c>
    </row>
    <row r="257" customFormat="1" s="4">
      <c r="A257" s="81" t="n">
        <v>45993</v>
      </c>
      <c r="B257" s="82" t="n">
        <v>0.5875</v>
      </c>
      <c r="C257" s="5" t="inlineStr">
        <is>
          <t>Costco</t>
        </is>
      </c>
      <c r="D257" s="5" t="n"/>
      <c r="E257" s="5" t="n">
        <v>1</v>
      </c>
      <c r="F257" s="6" t="inlineStr">
        <is>
          <t>439 6 149 37</t>
        </is>
      </c>
      <c r="G257" s="15" t="n"/>
      <c r="H257" s="9" t="inlineStr">
        <is>
          <t>Mary Wu Treat!</t>
        </is>
      </c>
      <c r="I257" s="9" t="n">
        <v>12</v>
      </c>
      <c r="J257" s="9" t="inlineStr">
        <is>
          <t>cnt</t>
        </is>
      </c>
      <c r="K257" s="9" t="n">
        <v>-40.09</v>
      </c>
    </row>
    <row r="258" customFormat="1" s="4">
      <c r="A258" s="81" t="n">
        <v>45993</v>
      </c>
      <c r="B258" s="82" t="n">
        <v>0.5875</v>
      </c>
      <c r="C258" s="5" t="inlineStr">
        <is>
          <t>Costco</t>
        </is>
      </c>
      <c r="D258" s="5" t="n"/>
      <c r="E258" s="5" t="n">
        <v>1</v>
      </c>
      <c r="F258" s="6" t="inlineStr">
        <is>
          <t>439 6 149 37</t>
        </is>
      </c>
      <c r="G258" s="15" t="n"/>
      <c r="H258" s="9" t="inlineStr">
        <is>
          <t>Mary Wu Treat!</t>
        </is>
      </c>
      <c r="I258" s="9" t="n">
        <v>1</v>
      </c>
      <c r="J258" s="9" t="inlineStr">
        <is>
          <t>cnt</t>
        </is>
      </c>
      <c r="K258" s="9" t="n">
        <v>-119.05</v>
      </c>
    </row>
    <row r="259" customFormat="1" s="4">
      <c r="A259" s="81" t="n">
        <v>45993</v>
      </c>
      <c r="B259" s="82" t="n">
        <v>0.5708333333333333</v>
      </c>
      <c r="C259" s="5" t="inlineStr">
        <is>
          <t>Costco</t>
        </is>
      </c>
      <c r="D259" s="5" t="n"/>
      <c r="E259" s="5" t="n">
        <v>1</v>
      </c>
      <c r="F259" s="6" t="inlineStr">
        <is>
          <t>439 91 50 79</t>
        </is>
      </c>
      <c r="G259" s="15" t="n"/>
      <c r="H259" s="9" t="inlineStr">
        <is>
          <t>Tovi RX insurance refund</t>
        </is>
      </c>
      <c r="I259" s="9" t="n">
        <v>1</v>
      </c>
      <c r="J259" s="9" t="inlineStr">
        <is>
          <t>cnt</t>
        </is>
      </c>
      <c r="K259" s="9" t="n">
        <v>-28.33</v>
      </c>
    </row>
    <row r="260" customFormat="1" s="4">
      <c r="A260" s="81" t="n">
        <v>45993</v>
      </c>
      <c r="B260" s="82" t="n">
        <v>0.4145833333333334</v>
      </c>
      <c r="C260" s="5" t="inlineStr">
        <is>
          <t>BooksRun</t>
        </is>
      </c>
      <c r="D260" s="5" t="n">
        <v>1</v>
      </c>
      <c r="E260" s="5" t="n"/>
      <c r="F260" s="6" t="n">
        <v>6355351</v>
      </c>
      <c r="G260" s="10" t="n"/>
      <c r="H260" s="9" t="inlineStr">
        <is>
          <t>**SELL** textbook -- confirmed</t>
        </is>
      </c>
      <c r="I260" s="9" t="n"/>
      <c r="J260" s="9" t="n"/>
      <c r="K260" s="9" t="n">
        <v>-25.72</v>
      </c>
    </row>
    <row r="261" customFormat="1" s="4">
      <c r="A261" s="81" t="n">
        <v>45992</v>
      </c>
      <c r="B261" s="82" t="n">
        <v>0.9055555555555556</v>
      </c>
      <c r="C261" s="5" t="inlineStr">
        <is>
          <t>Amazon</t>
        </is>
      </c>
      <c r="D261" s="5" t="n">
        <v>1</v>
      </c>
      <c r="E261" s="5" t="n"/>
      <c r="F261" s="6" t="inlineStr">
        <is>
          <t>111-7405830-8393027</t>
        </is>
      </c>
      <c r="G261" s="10" t="inlineStr">
        <is>
          <t>B</t>
        </is>
      </c>
      <c r="H261" s="9" t="inlineStr">
        <is>
          <t>**REFUND** DMI Waterproof Mattress Protector and Mattress Cover, Soft, Encased Zippered Fit, Twin, Packaging may vary Sold by: Amazon.com</t>
        </is>
      </c>
      <c r="I261" s="9" t="n">
        <v>1</v>
      </c>
      <c r="J261" s="9" t="inlineStr">
        <is>
          <t>cnt</t>
        </is>
      </c>
      <c r="K261" s="9" t="n">
        <v>-9.99</v>
      </c>
    </row>
    <row r="262" customFormat="1" s="4">
      <c r="A262" s="81" t="n">
        <v>45992</v>
      </c>
      <c r="B262" s="82" t="n">
        <v>0.9055555555555556</v>
      </c>
      <c r="C262" s="5" t="inlineStr">
        <is>
          <t>Amazon</t>
        </is>
      </c>
      <c r="D262" s="5" t="n">
        <v>1</v>
      </c>
      <c r="E262" s="5" t="n"/>
      <c r="F262" s="6" t="inlineStr">
        <is>
          <t>111-7405830-8393027</t>
        </is>
      </c>
      <c r="G262" s="10" t="inlineStr">
        <is>
          <t>B</t>
        </is>
      </c>
      <c r="H262" s="9" t="inlineStr">
        <is>
          <t>**REFUND** Tax for DMI</t>
        </is>
      </c>
      <c r="I262" s="9" t="n">
        <v>1</v>
      </c>
      <c r="J262" s="9" t="inlineStr">
        <is>
          <t>cnt</t>
        </is>
      </c>
      <c r="K262" s="9" t="n">
        <v>-0.68</v>
      </c>
    </row>
    <row r="263" customFormat="1" s="4">
      <c r="A263" s="81" t="n">
        <v>45992</v>
      </c>
      <c r="B263" s="82" t="n">
        <v>0.9055555555555556</v>
      </c>
      <c r="C263" s="5" t="inlineStr">
        <is>
          <t>Amazon</t>
        </is>
      </c>
      <c r="D263" s="5" t="n">
        <v>1</v>
      </c>
      <c r="E263" s="5" t="n"/>
      <c r="F263" s="6" t="inlineStr">
        <is>
          <t>111-7405830-8393027</t>
        </is>
      </c>
      <c r="G263" s="10" t="inlineStr">
        <is>
          <t>B</t>
        </is>
      </c>
      <c r="H263" s="9" t="inlineStr">
        <is>
          <t>**REFUND DEDUCTION** for promo</t>
        </is>
      </c>
      <c r="I263" s="9" t="n">
        <v>1</v>
      </c>
      <c r="J263" s="9" t="inlineStr">
        <is>
          <t>cnt</t>
        </is>
      </c>
      <c r="K263" s="9" t="n">
        <v>1.5</v>
      </c>
    </row>
    <row r="264" customFormat="1" s="4">
      <c r="A264" s="81" t="n">
        <v>45992</v>
      </c>
      <c r="B264" s="82" t="n">
        <v>0.9055555555555556</v>
      </c>
      <c r="C264" s="5" t="inlineStr">
        <is>
          <t>Amazon</t>
        </is>
      </c>
      <c r="D264" s="5" t="n"/>
      <c r="E264" s="5" t="n"/>
      <c r="F264" s="6" t="inlineStr">
        <is>
          <t>111-7405830-8393027</t>
        </is>
      </c>
      <c r="G264" s="10" t="inlineStr">
        <is>
          <t>B</t>
        </is>
      </c>
      <c r="H264" s="9" t="inlineStr">
        <is>
          <t>**REFUND DEDUCTION** for points</t>
        </is>
      </c>
      <c r="I264" s="9" t="n">
        <v>1</v>
      </c>
      <c r="J264" s="9" t="inlineStr">
        <is>
          <t>cnt</t>
        </is>
      </c>
      <c r="K264" s="9" t="n">
        <v>0.45</v>
      </c>
    </row>
    <row r="265" customFormat="1" s="4">
      <c r="A265" s="81" t="n">
        <v>45992</v>
      </c>
      <c r="B265" s="82" t="n">
        <v>0.8986111111111111</v>
      </c>
      <c r="C265" s="5" t="inlineStr">
        <is>
          <t>Amazon</t>
        </is>
      </c>
      <c r="D265" s="5" t="n">
        <v>1</v>
      </c>
      <c r="E265" s="5" t="n"/>
      <c r="F265" s="6" t="inlineStr">
        <is>
          <t>111-2706194-2975461</t>
        </is>
      </c>
      <c r="G265" s="10" t="n"/>
      <c r="H265" s="9" t="inlineStr">
        <is>
          <t>Dr. Bronner's Baby Unscented Gift Set - Pure-Castile Liquid and Bar Soaps, Organic Magic Balm, and 4-in-1 Organic Sugar Pump Soap Sold by: Dr. Bronner's Supplied by: Other</t>
        </is>
      </c>
      <c r="I265" s="9" t="n"/>
      <c r="J265" s="9" t="n"/>
      <c r="K265" s="9" t="n">
        <v>34.99</v>
      </c>
    </row>
    <row r="266" customFormat="1" s="4">
      <c r="A266" s="81" t="n">
        <v>45992</v>
      </c>
      <c r="B266" s="82" t="n">
        <v>0.8986111111111111</v>
      </c>
      <c r="C266" s="5" t="inlineStr">
        <is>
          <t>Amazon</t>
        </is>
      </c>
      <c r="D266" s="5" t="n">
        <v>1</v>
      </c>
      <c r="E266" s="5" t="n"/>
      <c r="F266" s="6" t="inlineStr">
        <is>
          <t>111-2706194-2975461</t>
        </is>
      </c>
      <c r="G266" s="10" t="n"/>
      <c r="H266" s="9" t="inlineStr">
        <is>
          <t>**DISCOUNT** Amazon Registry 15% discount</t>
        </is>
      </c>
      <c r="I266" s="9" t="n"/>
      <c r="J266" s="9" t="n"/>
      <c r="K266" s="9" t="n">
        <v>-5.25</v>
      </c>
    </row>
    <row r="267" customFormat="1" s="4">
      <c r="A267" s="81" t="n">
        <v>45992</v>
      </c>
      <c r="B267" s="82" t="n">
        <v>0.8986111111111111</v>
      </c>
      <c r="C267" s="5" t="inlineStr">
        <is>
          <t>Amazon</t>
        </is>
      </c>
      <c r="D267" s="5" t="n">
        <v>1</v>
      </c>
      <c r="E267" s="5" t="n"/>
      <c r="F267" s="6" t="inlineStr">
        <is>
          <t>111-2706194-2975461</t>
        </is>
      </c>
      <c r="G267" s="10" t="n"/>
      <c r="H267" s="9" t="inlineStr">
        <is>
          <t>Tax</t>
        </is>
      </c>
      <c r="I267" s="9" t="n"/>
      <c r="J267" s="9" t="n"/>
      <c r="K267" s="9" t="n">
        <v>1.58</v>
      </c>
    </row>
    <row r="268" customFormat="1" s="4">
      <c r="A268" s="81" t="n">
        <v>45992</v>
      </c>
      <c r="B268" s="82" t="n">
        <v>0.8833333333333333</v>
      </c>
      <c r="C268" s="5" t="inlineStr">
        <is>
          <t>Amazon</t>
        </is>
      </c>
      <c r="D268" s="5" t="n">
        <v>1</v>
      </c>
      <c r="E268" s="5" t="n"/>
      <c r="F268" s="6" t="inlineStr">
        <is>
          <t>111-3617023-7098617</t>
        </is>
      </c>
      <c r="G268" s="10" t="inlineStr">
        <is>
          <t>B</t>
        </is>
      </c>
      <c r="H268" s="9" t="inlineStr">
        <is>
          <t>**DISCOUNT** Amazon Registry 15% discount</t>
        </is>
      </c>
      <c r="I268" s="9" t="n">
        <v>24</v>
      </c>
      <c r="J268" s="9" t="inlineStr">
        <is>
          <t>cnt</t>
        </is>
      </c>
      <c r="K268" s="9" t="n">
        <v>-2.09</v>
      </c>
    </row>
    <row r="269" customFormat="1" s="4">
      <c r="A269" s="81" t="n">
        <v>45992</v>
      </c>
      <c r="B269" s="82" t="n">
        <v>0.8833333333333333</v>
      </c>
      <c r="C269" s="5" t="inlineStr">
        <is>
          <t>Amazon</t>
        </is>
      </c>
      <c r="D269" s="5" t="n">
        <v>1</v>
      </c>
      <c r="E269" s="5" t="n"/>
      <c r="F269" s="6" t="inlineStr">
        <is>
          <t>111-3617023-7098617</t>
        </is>
      </c>
      <c r="G269" s="10" t="inlineStr">
        <is>
          <t>AB</t>
        </is>
      </c>
      <c r="H269" s="9" t="inlineStr">
        <is>
          <t>Tax</t>
        </is>
      </c>
      <c r="I269" s="9" t="n"/>
      <c r="J269" s="9" t="n"/>
      <c r="K269" s="9" t="n">
        <v>5.09</v>
      </c>
    </row>
    <row r="270" ht="15" customFormat="1" customHeight="1" s="5">
      <c r="A270" s="81" t="n">
        <v>45992</v>
      </c>
      <c r="B270" s="82" t="n">
        <v>0.8833333333333333</v>
      </c>
      <c r="C270" s="5" t="inlineStr">
        <is>
          <t>Amazon</t>
        </is>
      </c>
      <c r="D270" s="5" t="n">
        <v>1</v>
      </c>
      <c r="F270" s="6" t="inlineStr">
        <is>
          <t>111-3617023-7098617</t>
        </is>
      </c>
      <c r="G270" s="10" t="n"/>
      <c r="H270" s="9" t="inlineStr">
        <is>
          <t>Holy Week: An Emotions Primer (Baby Believer) Sold by: Seattlegoodwill Supplied by: Other Condition: Used - Acceptable</t>
        </is>
      </c>
      <c r="I270" s="9" t="n">
        <v>1</v>
      </c>
      <c r="J270" s="9" t="inlineStr">
        <is>
          <t>cnt</t>
        </is>
      </c>
      <c r="K270" s="9" t="n">
        <v>2.35</v>
      </c>
    </row>
    <row r="271" ht="15" customFormat="1" customHeight="1" s="5">
      <c r="A271" s="81" t="n">
        <v>45992</v>
      </c>
      <c r="B271" s="82" t="n">
        <v>0.8833333333333333</v>
      </c>
      <c r="C271" s="5" t="inlineStr">
        <is>
          <t>Amazon</t>
        </is>
      </c>
      <c r="D271" s="5" t="n">
        <v>1</v>
      </c>
      <c r="F271" s="6" t="inlineStr">
        <is>
          <t>111-3617023-7098617</t>
        </is>
      </c>
      <c r="G271" s="10" t="n"/>
      <c r="H271" s="9" t="inlineStr">
        <is>
          <t>Shipping &amp; Handling</t>
        </is>
      </c>
      <c r="I271" s="9" t="n">
        <v>1</v>
      </c>
      <c r="J271" s="9" t="inlineStr">
        <is>
          <t>cnt</t>
        </is>
      </c>
      <c r="K271" s="9" t="n">
        <v>3.99</v>
      </c>
    </row>
    <row r="272" ht="15" customFormat="1" customHeight="1" s="5">
      <c r="A272" s="81" t="n">
        <v>45992</v>
      </c>
      <c r="B272" s="82" t="n">
        <v>0.8833333333333333</v>
      </c>
      <c r="C272" s="5" t="inlineStr">
        <is>
          <t>Amazon</t>
        </is>
      </c>
      <c r="D272" s="5" t="n">
        <v>1</v>
      </c>
      <c r="F272" s="6" t="inlineStr">
        <is>
          <t>111-3617023-7098617</t>
        </is>
      </c>
      <c r="G272" s="10" t="n"/>
      <c r="H272" s="9" t="inlineStr">
        <is>
          <t>Co retail delivery fees</t>
        </is>
      </c>
      <c r="I272" s="9" t="n">
        <v>1</v>
      </c>
      <c r="J272" s="9" t="inlineStr">
        <is>
          <t>cnt</t>
        </is>
      </c>
      <c r="K272" s="9" t="n">
        <v>0.28</v>
      </c>
    </row>
    <row r="273" ht="15" customFormat="1" customHeight="1" s="5">
      <c r="A273" s="81" t="n">
        <v>45992</v>
      </c>
      <c r="B273" s="82" t="n">
        <v>0.8833333333333333</v>
      </c>
      <c r="C273" s="5" t="inlineStr">
        <is>
          <t>Amazon</t>
        </is>
      </c>
      <c r="D273" s="5" t="n">
        <v>1</v>
      </c>
      <c r="F273" s="6" t="inlineStr">
        <is>
          <t>111-3617023-7098617</t>
        </is>
      </c>
      <c r="G273" s="10" t="n"/>
      <c r="H273" s="9" t="inlineStr">
        <is>
          <t>Tax</t>
        </is>
      </c>
      <c r="I273" s="9" t="n">
        <v>1</v>
      </c>
      <c r="J273" s="9" t="inlineStr">
        <is>
          <t>cnt</t>
        </is>
      </c>
      <c r="K273" s="9" t="n">
        <v>0.51</v>
      </c>
    </row>
    <row r="274" ht="15" customFormat="1" customHeight="1" s="5">
      <c r="A274" s="81" t="n">
        <v>45992</v>
      </c>
      <c r="B274" s="82" t="n">
        <v>0.8833333333333333</v>
      </c>
      <c r="C274" s="5" t="inlineStr">
        <is>
          <t>Amazon</t>
        </is>
      </c>
      <c r="D274" s="5" t="n">
        <v>1</v>
      </c>
      <c r="F274" s="6" t="inlineStr">
        <is>
          <t>111-4628887-5329001</t>
        </is>
      </c>
      <c r="G274" s="10" t="inlineStr">
        <is>
          <t>A</t>
        </is>
      </c>
      <c r="H274" s="9" t="inlineStr">
        <is>
          <t>CzzzyL Women's Long Sleeve Nursing Dresses for Breastfeeding V Neck Flowy A Line Ruffle Wedding Guest with Pockets Wine Medium Sold by: CzzzyL</t>
        </is>
      </c>
      <c r="I274" s="9" t="n">
        <v>1</v>
      </c>
      <c r="J274" s="9" t="inlineStr">
        <is>
          <t>cnt</t>
        </is>
      </c>
      <c r="K274" s="9" t="n">
        <v>47.99</v>
      </c>
    </row>
    <row r="275" ht="15" customFormat="1" customHeight="1" s="5">
      <c r="A275" s="81" t="n">
        <v>45992</v>
      </c>
      <c r="B275" s="82" t="n">
        <v>0.8833333333333333</v>
      </c>
      <c r="C275" s="5" t="inlineStr">
        <is>
          <t>Amazon</t>
        </is>
      </c>
      <c r="D275" s="5" t="n">
        <v>1</v>
      </c>
      <c r="F275" s="6" t="inlineStr">
        <is>
          <t>111-4628887-5329001</t>
        </is>
      </c>
      <c r="G275" s="10" t="inlineStr">
        <is>
          <t>A</t>
        </is>
      </c>
      <c r="H275" s="9" t="inlineStr">
        <is>
          <t>**DISCOUNT** Amazon Registry 15% discount</t>
        </is>
      </c>
      <c r="I275" s="9" t="n">
        <v>1</v>
      </c>
      <c r="J275" s="9" t="inlineStr">
        <is>
          <t>cnt</t>
        </is>
      </c>
      <c r="K275" s="9" t="n">
        <v>-7.2</v>
      </c>
    </row>
    <row r="276" ht="15" customFormat="1" customHeight="1" s="5">
      <c r="A276" s="83" t="n">
        <v>45992</v>
      </c>
      <c r="B276" s="82" t="n">
        <v>0.8833333333333333</v>
      </c>
      <c r="C276" s="5" t="inlineStr">
        <is>
          <t>Amazon</t>
        </is>
      </c>
      <c r="D276" s="5" t="n">
        <v>1</v>
      </c>
      <c r="F276" s="6" t="inlineStr">
        <is>
          <t>111-4628887-5329001</t>
        </is>
      </c>
      <c r="G276" s="10" t="inlineStr">
        <is>
          <t>B</t>
        </is>
      </c>
      <c r="H276" s="9" t="inlineStr">
        <is>
          <t>Garbage Disposal Cleaner Deodorizer Tablets - 24 Pack, New Powerful XL Foaming Tablet - Fresh Citrus Foam Sink Garburator Disposer Freshener, Natural Kitchen Drain Cleaning Care - 1 Year Supply Sold by: ACTIVE Official</t>
        </is>
      </c>
      <c r="I276" s="9" t="n">
        <v>24</v>
      </c>
      <c r="J276" s="9" t="inlineStr">
        <is>
          <t>cnt</t>
        </is>
      </c>
      <c r="K276" s="9" t="n">
        <v>13.96</v>
      </c>
    </row>
    <row r="277" ht="15" customFormat="1" customHeight="1" s="5">
      <c r="A277" s="83" t="n">
        <v>45992</v>
      </c>
      <c r="B277" s="82" t="n">
        <v>0.8833333333333333</v>
      </c>
      <c r="C277" s="5" t="inlineStr">
        <is>
          <t>Amazon</t>
        </is>
      </c>
      <c r="D277" s="5" t="n">
        <v>1</v>
      </c>
      <c r="F277" s="6" t="inlineStr">
        <is>
          <t>111-4628887-5329001</t>
        </is>
      </c>
      <c r="G277" s="10" t="inlineStr">
        <is>
          <t>C</t>
        </is>
      </c>
      <c r="H277" s="9" t="inlineStr">
        <is>
          <t>Trendy Queen Womens Two 2 Piece Matching Lounge Sets 2025 Early Fall Fashion Must Haves Y2K Workout Gym Clothes Comfy Airport Travel Vacation Luxury Outfits Sweatsuit Winter Essential Clothing Sold by: TrendyQueen</t>
        </is>
      </c>
      <c r="I277" s="9" t="n">
        <v>2</v>
      </c>
      <c r="J277" s="9" t="inlineStr">
        <is>
          <t>cnt</t>
        </is>
      </c>
      <c r="K277" s="9" t="n">
        <v>44.97</v>
      </c>
    </row>
    <row r="278" ht="15" customFormat="1" customHeight="1" s="5">
      <c r="A278" s="83" t="n">
        <v>45992</v>
      </c>
      <c r="B278" s="82" t="n">
        <v>0.8833333333333333</v>
      </c>
      <c r="C278" s="5" t="inlineStr">
        <is>
          <t>Amazon</t>
        </is>
      </c>
      <c r="D278" s="5" t="n">
        <v>1</v>
      </c>
      <c r="F278" s="6" t="inlineStr">
        <is>
          <t>111-4628887-5329001</t>
        </is>
      </c>
      <c r="G278" s="10" t="inlineStr">
        <is>
          <t>C</t>
        </is>
      </c>
      <c r="H278" s="9" t="inlineStr">
        <is>
          <t>**DISCOUNT** Amazon Registry 15% discount</t>
        </is>
      </c>
      <c r="I278" s="9" t="n">
        <v>2</v>
      </c>
      <c r="J278" s="9" t="inlineStr">
        <is>
          <t>cnt</t>
        </is>
      </c>
      <c r="K278" s="9" t="n">
        <v>-6.75</v>
      </c>
    </row>
    <row r="279" ht="15" customFormat="1" customHeight="1" s="5">
      <c r="A279" s="81" t="n">
        <v>45992</v>
      </c>
      <c r="B279" s="82" t="n">
        <v>0.8833333333333333</v>
      </c>
      <c r="C279" s="5" t="inlineStr">
        <is>
          <t>Amazon</t>
        </is>
      </c>
      <c r="D279" s="5" t="n">
        <v>1</v>
      </c>
      <c r="F279" s="6" t="inlineStr">
        <is>
          <t>111-4628887-5329001</t>
        </is>
      </c>
      <c r="G279" s="10" t="inlineStr">
        <is>
          <t>D</t>
        </is>
      </c>
      <c r="H279" s="9" t="inlineStr">
        <is>
          <t>Vanhench 7Pcs 0.5mm Black Ink Gel Pens Quick Dry with Silicone Touch Barrel &amp; Fidget Stress Ball, Multifunction Writing Fine Point Smooth Writing Pens School Supplies Stocking Stuffers Gifts for Women Sold by: wangxiangcheng</t>
        </is>
      </c>
      <c r="I279" s="9" t="n">
        <v>7</v>
      </c>
      <c r="J279" s="9" t="inlineStr">
        <is>
          <t>cnt</t>
        </is>
      </c>
      <c r="K279" s="9" t="n">
        <v>7.99</v>
      </c>
    </row>
    <row r="280" ht="15" customFormat="1" customHeight="1" s="5">
      <c r="A280" s="81" t="n">
        <v>45992</v>
      </c>
      <c r="B280" s="82" t="n">
        <v>0.8833333333333333</v>
      </c>
      <c r="C280" s="5" t="inlineStr">
        <is>
          <t>Amazon</t>
        </is>
      </c>
      <c r="D280" s="5" t="n">
        <v>1</v>
      </c>
      <c r="F280" s="6" t="inlineStr">
        <is>
          <t>111-4628887-5329001</t>
        </is>
      </c>
      <c r="G280" s="10" t="inlineStr">
        <is>
          <t>CD</t>
        </is>
      </c>
      <c r="H280" s="9" t="inlineStr">
        <is>
          <t>Tax</t>
        </is>
      </c>
      <c r="I280" s="9" t="n"/>
      <c r="J280" s="9" t="n"/>
      <c r="K280" s="9" t="n">
        <v>4.11</v>
      </c>
    </row>
    <row r="281" ht="15" customFormat="1" customHeight="1" s="5">
      <c r="A281" s="81" t="n">
        <v>45992</v>
      </c>
      <c r="B281" s="82" t="n">
        <v>0.8798611111111111</v>
      </c>
      <c r="C281" s="5" t="inlineStr">
        <is>
          <t>Amazon</t>
        </is>
      </c>
      <c r="D281" s="5" t="n">
        <v>1</v>
      </c>
      <c r="F281" s="6" t="inlineStr">
        <is>
          <t>111-4117087-8910616</t>
        </is>
      </c>
      <c r="G281" s="10" t="n"/>
      <c r="H281" s="9" t="inlineStr">
        <is>
          <t>COSYLAND Kids Kitchen Step Stool，Toddler Standing Tower with CPC Certification, Removable Anti-Drop Railing Safety Rail Unique Patented Design Anti-tip Structure More Stable, 1.5-3 yrs Natural Bamboo Sold by: Cosyland Official</t>
        </is>
      </c>
      <c r="I281" s="9" t="n">
        <v>1</v>
      </c>
      <c r="J281" s="9" t="inlineStr">
        <is>
          <t>cnt</t>
        </is>
      </c>
      <c r="K281" s="9" t="n">
        <v>39.99</v>
      </c>
    </row>
    <row r="282" ht="15" customFormat="1" customHeight="1" s="5">
      <c r="A282" s="81" t="n">
        <v>45992</v>
      </c>
      <c r="B282" s="82" t="n">
        <v>0.8798611111111111</v>
      </c>
      <c r="C282" s="5" t="inlineStr">
        <is>
          <t>Amazon</t>
        </is>
      </c>
      <c r="D282" s="5" t="n">
        <v>1</v>
      </c>
      <c r="F282" s="6" t="inlineStr">
        <is>
          <t>111-4117087-8910616</t>
        </is>
      </c>
      <c r="G282" s="10" t="n"/>
      <c r="H282" s="9" t="inlineStr">
        <is>
          <t>**DISCOUNT** Amazon Registry 15% discount</t>
        </is>
      </c>
      <c r="I282" s="9" t="n">
        <v>1</v>
      </c>
      <c r="J282" s="9" t="inlineStr">
        <is>
          <t>cnt</t>
        </is>
      </c>
      <c r="K282" s="9" t="n">
        <v>-6</v>
      </c>
    </row>
    <row r="283" ht="15" customFormat="1" customHeight="1" s="5">
      <c r="A283" s="83" t="n">
        <v>45992</v>
      </c>
      <c r="B283" s="82" t="n">
        <v>0.8798611111111111</v>
      </c>
      <c r="C283" s="5" t="inlineStr">
        <is>
          <t>Amazon</t>
        </is>
      </c>
      <c r="D283" s="5" t="n">
        <v>1</v>
      </c>
      <c r="F283" s="6" t="inlineStr">
        <is>
          <t>111-4117087-8910616</t>
        </is>
      </c>
      <c r="G283" s="10" t="n"/>
      <c r="H283" s="9" t="inlineStr">
        <is>
          <t>Tax</t>
        </is>
      </c>
      <c r="I283" s="9" t="n">
        <v>1</v>
      </c>
      <c r="J283" s="9" t="inlineStr">
        <is>
          <t>cnt</t>
        </is>
      </c>
      <c r="K283" s="9" t="n">
        <v>3.2</v>
      </c>
    </row>
    <row r="284" ht="15" customFormat="1" customHeight="1" s="5">
      <c r="A284" s="83" t="n">
        <v>45992</v>
      </c>
      <c r="B284" s="82" t="n">
        <v>0.8798611111111111</v>
      </c>
      <c r="C284" s="5" t="inlineStr">
        <is>
          <t>Amazon</t>
        </is>
      </c>
      <c r="D284" s="5" t="n">
        <v>1</v>
      </c>
      <c r="F284" s="6" t="inlineStr">
        <is>
          <t>111-4117087-8910616</t>
        </is>
      </c>
      <c r="G284" s="10" t="n"/>
      <c r="H284" s="9" t="inlineStr">
        <is>
          <t>Co retail delivery fees</t>
        </is>
      </c>
      <c r="I284" s="9" t="n">
        <v>1</v>
      </c>
      <c r="J284" s="9" t="inlineStr">
        <is>
          <t>cnt</t>
        </is>
      </c>
      <c r="K284" s="9" t="n">
        <v>0.28</v>
      </c>
    </row>
    <row r="285" ht="15" customFormat="1" customHeight="1" s="5">
      <c r="A285" s="83" t="n">
        <v>45992</v>
      </c>
      <c r="B285" s="82" t="n">
        <v>0.8798611111111111</v>
      </c>
      <c r="C285" s="5" t="inlineStr">
        <is>
          <t>Amazon</t>
        </is>
      </c>
      <c r="D285" s="5" t="n">
        <v>1</v>
      </c>
      <c r="F285" s="6" t="inlineStr">
        <is>
          <t>111-8545514-9035468</t>
        </is>
      </c>
      <c r="G285" s="10" t="n"/>
      <c r="H285" s="9" t="inlineStr">
        <is>
          <t>Wooden Play Food Set for Kids Kitchen | Cutting Veggies &amp; Fruits Toy Food Set with Storage Case &amp; Bag, Play Kitchen Accessories, Pretend Play Food for Toddlers 3+ Sold by: WOODMAM DIRECT</t>
        </is>
      </c>
      <c r="I285" s="9" t="n">
        <v>1</v>
      </c>
      <c r="J285" s="9" t="inlineStr">
        <is>
          <t>cnt</t>
        </is>
      </c>
      <c r="K285" s="9" t="n">
        <v>20.69</v>
      </c>
    </row>
    <row r="286" ht="15" customFormat="1" customHeight="1" s="5">
      <c r="A286" s="83" t="n">
        <v>45992</v>
      </c>
      <c r="B286" s="82" t="n">
        <v>0.8798611111111111</v>
      </c>
      <c r="C286" s="5" t="inlineStr">
        <is>
          <t>Amazon</t>
        </is>
      </c>
      <c r="D286" s="5" t="n">
        <v>1</v>
      </c>
      <c r="F286" s="6" t="inlineStr">
        <is>
          <t>111-8545514-9035468</t>
        </is>
      </c>
      <c r="G286" s="10" t="n"/>
      <c r="H286" s="9" t="inlineStr">
        <is>
          <t>Genialba LCD Writing Board 16 Inches, Colourful Electronic Tablet, Portable Erasable Drawing Board, Graphic Tablet for Children's Games 3 4 5 6 7 Year Old Kid Boys Girls (Blue) Sold by: Genialba Direct</t>
        </is>
      </c>
      <c r="I286" s="9" t="n">
        <v>1</v>
      </c>
      <c r="J286" s="9" t="inlineStr">
        <is>
          <t>cnt</t>
        </is>
      </c>
      <c r="K286" s="9" t="n">
        <v>7.99</v>
      </c>
    </row>
    <row r="287" ht="15" customFormat="1" customHeight="1" s="5">
      <c r="A287" s="83" t="n">
        <v>45992</v>
      </c>
      <c r="B287" s="82" t="n">
        <v>0.8798611111111111</v>
      </c>
      <c r="C287" s="5" t="inlineStr">
        <is>
          <t>Amazon</t>
        </is>
      </c>
      <c r="D287" s="5" t="n">
        <v>1</v>
      </c>
      <c r="F287" s="6" t="inlineStr">
        <is>
          <t>111-8545514-9035468</t>
        </is>
      </c>
      <c r="G287" s="10" t="n"/>
      <c r="H287" s="9" t="inlineStr">
        <is>
          <t>Wooden Kids Safe Knife and Kids Baking Set for Real Cooking, 8 PCS Toddler Montessori Kitchen Tools, Cooking and Baking for Kids Little Chefs Montessori Kitchen Tools for Toddlers-Kids Cooking Sets Sold by: Brightdeer</t>
        </is>
      </c>
      <c r="I287" s="9" t="n">
        <v>8</v>
      </c>
      <c r="J287" s="9" t="inlineStr">
        <is>
          <t>cnt</t>
        </is>
      </c>
      <c r="K287" s="9" t="n">
        <v>17.42</v>
      </c>
    </row>
    <row r="288" ht="15" customFormat="1" customHeight="1" s="5">
      <c r="A288" s="81" t="n">
        <v>45992</v>
      </c>
      <c r="B288" s="82" t="n">
        <v>0.8798611111111111</v>
      </c>
      <c r="C288" s="5" t="inlineStr">
        <is>
          <t>Amazon</t>
        </is>
      </c>
      <c r="D288" s="5" t="n">
        <v>1</v>
      </c>
      <c r="F288" s="6" t="inlineStr">
        <is>
          <t>111-8545514-9035468</t>
        </is>
      </c>
      <c r="G288" s="10" t="n"/>
      <c r="H288" s="9" t="inlineStr">
        <is>
          <t>KYTE BABY Zippered Footie in Cardinal (0-3 Months) Sold by: Kyte Baby</t>
        </is>
      </c>
      <c r="I288" s="9" t="n">
        <v>1</v>
      </c>
      <c r="J288" s="9" t="inlineStr">
        <is>
          <t>cnt</t>
        </is>
      </c>
      <c r="K288" s="9" t="n">
        <v>37.99</v>
      </c>
    </row>
    <row r="289" ht="15" customFormat="1" customHeight="1" s="5">
      <c r="A289" s="81" t="n">
        <v>45992</v>
      </c>
      <c r="B289" s="82" t="n">
        <v>0.8798611111111111</v>
      </c>
      <c r="C289" s="5" t="inlineStr">
        <is>
          <t>Amazon</t>
        </is>
      </c>
      <c r="D289" s="5" t="n">
        <v>1</v>
      </c>
      <c r="F289" s="6" t="inlineStr">
        <is>
          <t>111-8545514-9035468</t>
        </is>
      </c>
      <c r="G289" s="10" t="n"/>
      <c r="H289" s="9" t="inlineStr">
        <is>
          <t>**DISCOUNT** Amazon Registry 15% discount</t>
        </is>
      </c>
      <c r="I289" s="9" t="n">
        <v>4</v>
      </c>
      <c r="J289" s="9" t="inlineStr">
        <is>
          <t>cnt</t>
        </is>
      </c>
      <c r="K289" s="9" t="n">
        <v>-5.7</v>
      </c>
    </row>
    <row r="290" ht="15" customFormat="1" customHeight="1" s="5">
      <c r="A290" s="81" t="n">
        <v>45992</v>
      </c>
      <c r="B290" s="82" t="n">
        <v>0.8798611111111111</v>
      </c>
      <c r="C290" s="5" t="inlineStr">
        <is>
          <t>Amazon</t>
        </is>
      </c>
      <c r="D290" s="5" t="n">
        <v>1</v>
      </c>
      <c r="F290" s="6" t="inlineStr">
        <is>
          <t>111-8545514-9035468</t>
        </is>
      </c>
      <c r="G290" s="10" t="n"/>
      <c r="H290" s="9" t="inlineStr">
        <is>
          <t>Tax</t>
        </is>
      </c>
      <c r="I290" s="9" t="n">
        <v>4</v>
      </c>
      <c r="J290" s="9" t="inlineStr">
        <is>
          <t>cnt</t>
        </is>
      </c>
      <c r="K290" s="9" t="n">
        <v>6.27</v>
      </c>
    </row>
    <row r="291" ht="15" customFormat="1" customHeight="1" s="5">
      <c r="A291" s="81" t="n">
        <v>45992</v>
      </c>
      <c r="B291" s="82" t="n">
        <v>0.8798611111111111</v>
      </c>
      <c r="C291" s="5" t="inlineStr">
        <is>
          <t>Amazon</t>
        </is>
      </c>
      <c r="D291" s="5" t="n">
        <v>1</v>
      </c>
      <c r="F291" s="6" t="inlineStr">
        <is>
          <t>111-8545514-9035468</t>
        </is>
      </c>
      <c r="G291" s="10" t="n"/>
      <c r="H291" s="9" t="inlineStr">
        <is>
          <t>Co retail delivery fees</t>
        </is>
      </c>
      <c r="I291" s="9" t="n"/>
      <c r="J291" s="9" t="n"/>
      <c r="K291" s="9" t="n">
        <v>0.28</v>
      </c>
    </row>
    <row r="292" ht="15" customFormat="1" customHeight="1" s="5">
      <c r="A292" s="81" t="n">
        <v>45992</v>
      </c>
      <c r="B292" s="82" t="n">
        <v>0.6631944444444444</v>
      </c>
      <c r="C292" s="5" t="inlineStr">
        <is>
          <t>Tyndall Green</t>
        </is>
      </c>
      <c r="D292" s="5" t="n">
        <v>1</v>
      </c>
      <c r="F292" s="6" t="inlineStr">
        <is>
          <t>405864850</t>
        </is>
      </c>
      <c r="G292" s="15" t="n"/>
      <c r="H292" s="9" t="inlineStr">
        <is>
          <t>HOA Tyndall Green November Payment</t>
        </is>
      </c>
      <c r="I292" s="9" t="n"/>
      <c r="J292" s="9" t="n"/>
      <c r="K292" s="9" t="n">
        <v>331.12</v>
      </c>
    </row>
    <row r="293" ht="15" customFormat="1" customHeight="1" s="5">
      <c r="A293" s="81" t="n">
        <v>45992</v>
      </c>
      <c r="B293" s="78" t="n">
        <v>0.5319560185185185</v>
      </c>
      <c r="C293" s="5" t="inlineStr">
        <is>
          <t>DoorDash</t>
        </is>
      </c>
      <c r="D293" s="5" t="n">
        <v>1</v>
      </c>
      <c r="F293" s="6" t="inlineStr">
        <is>
          <t>19B405250G218193N</t>
        </is>
      </c>
      <c r="G293" s="15" t="n"/>
      <c r="H293" s="9" t="inlineStr">
        <is>
          <t>**REFUND** incorrect dashPass charge from 11/22</t>
        </is>
      </c>
      <c r="K293" s="5" t="n">
        <v>-9.99</v>
      </c>
    </row>
    <row r="294" ht="15" customFormat="1" customHeight="1" s="5">
      <c r="A294" s="81" t="n">
        <v>45992</v>
      </c>
      <c r="B294" s="82" t="n">
        <v>0.4819444444444445</v>
      </c>
      <c r="C294" s="5" t="inlineStr">
        <is>
          <t>House Denver</t>
        </is>
      </c>
      <c r="D294" s="5" t="n">
        <v>1</v>
      </c>
      <c r="F294" s="6" t="n">
        <v>53852722946</v>
      </c>
      <c r="G294" s="10" t="n"/>
      <c r="H294" s="9" t="inlineStr">
        <is>
          <t>Monthly overflow chunk of 2025 tithe bunched into 2024. This transaction was actually made on 12/31/25, but it is logged against 2025 budget.</t>
        </is>
      </c>
      <c r="I294" s="9" t="n"/>
      <c r="J294" s="9" t="n"/>
      <c r="K294" s="9">
        <f>(9500-8750.43)/12</f>
        <v/>
      </c>
    </row>
    <row r="295" ht="15" customFormat="1" customHeight="1" s="5">
      <c r="A295" s="81" t="n">
        <v>45992</v>
      </c>
      <c r="B295" s="82" t="n">
        <v>0.4819444444444445</v>
      </c>
      <c r="C295" s="5" t="inlineStr">
        <is>
          <t>House Denver</t>
        </is>
      </c>
      <c r="D295" s="5" t="n">
        <v>1</v>
      </c>
      <c r="F295" s="6" t="n">
        <v>53852722946</v>
      </c>
      <c r="G295" s="10" t="n"/>
      <c r="H295" s="9" t="inlineStr">
        <is>
          <t>Monthly chunk of 2025 tithe bunched into 2024. This transaction was actually made on 12/31/25, but it is logged against 2025 budget.</t>
        </is>
      </c>
      <c r="I295" s="9" t="n"/>
      <c r="J295" s="9" t="n"/>
      <c r="K295" s="9" t="n">
        <v>658.7071247441078</v>
      </c>
    </row>
    <row r="296" ht="15" customFormat="1" customHeight="1" s="5">
      <c r="A296" s="81" t="n">
        <v>45992</v>
      </c>
      <c r="B296" s="82" t="n">
        <v>0.2916666666666667</v>
      </c>
      <c r="C296" s="5" t="inlineStr">
        <is>
          <t>Lakeview Mortgage (??)</t>
        </is>
      </c>
      <c r="D296" s="5" t="n">
        <v>1</v>
      </c>
      <c r="F296" s="6" t="inlineStr">
        <is>
          <t>0068721927_09</t>
        </is>
      </c>
      <c r="G296" s="10" t="n"/>
      <c r="H296" s="9" t="inlineStr">
        <is>
          <t>Interest</t>
        </is>
      </c>
      <c r="I296" s="9" t="n"/>
      <c r="J296" s="9" t="n"/>
      <c r="K296" s="9" t="n">
        <v>1144.61</v>
      </c>
    </row>
    <row r="297" ht="15" customFormat="1" customHeight="1" s="5">
      <c r="A297" s="81" t="n">
        <v>45992</v>
      </c>
      <c r="B297" s="82" t="n">
        <v>0.2916666666666667</v>
      </c>
      <c r="C297" s="5" t="inlineStr">
        <is>
          <t>Lakeview Mortgage (??)</t>
        </is>
      </c>
      <c r="D297" s="5" t="n">
        <v>1</v>
      </c>
      <c r="F297" s="6" t="inlineStr">
        <is>
          <t>0068721927_09</t>
        </is>
      </c>
      <c r="G297" s="10" t="n"/>
      <c r="H297" s="9" t="inlineStr">
        <is>
          <t>Principal</t>
        </is>
      </c>
      <c r="I297" s="9" t="n"/>
      <c r="J297" s="9" t="n"/>
      <c r="K297" s="9" t="n">
        <v>269.87</v>
      </c>
    </row>
    <row r="298" ht="15" customFormat="1" customHeight="1" s="5">
      <c r="A298" s="81" t="n">
        <v>45992</v>
      </c>
      <c r="B298" s="82" t="n">
        <v>0.2916666666666667</v>
      </c>
      <c r="C298" s="5" t="inlineStr">
        <is>
          <t>Lakeview Mortgage (??)</t>
        </is>
      </c>
      <c r="D298" s="5" t="n">
        <v>1</v>
      </c>
      <c r="F298" s="6" t="inlineStr">
        <is>
          <t>0068721927_09</t>
        </is>
      </c>
      <c r="G298" s="10" t="n"/>
      <c r="H298" s="9" t="inlineStr">
        <is>
          <t>Taxes and Insurance ESCROW</t>
        </is>
      </c>
      <c r="I298" s="9" t="n"/>
      <c r="J298" s="9" t="n"/>
      <c r="K298" s="9" t="n">
        <v>219.78</v>
      </c>
    </row>
    <row r="299" ht="15" customFormat="1" customHeight="1" s="5">
      <c r="A299" s="81" t="n">
        <v>45991</v>
      </c>
      <c r="B299" s="78" t="n">
        <v>0.6854166666666667</v>
      </c>
      <c r="C299" s="5" t="inlineStr">
        <is>
          <t>Panera Bread</t>
        </is>
      </c>
      <c r="D299" s="5" t="n">
        <v>1</v>
      </c>
      <c r="F299" s="6" t="inlineStr">
        <is>
          <t>#6051716023361362</t>
        </is>
      </c>
      <c r="G299" s="15" t="n"/>
      <c r="H299" s="9" t="inlineStr">
        <is>
          <t>Cranberry Walnut Chicken Salad: focaccia, cucumber, basil, cilantro, roasted corn, zesty sweet peppers + APPLE</t>
        </is>
      </c>
      <c r="K299" s="5" t="n">
        <v>11.99</v>
      </c>
    </row>
    <row r="300" ht="15" customFormat="1" customHeight="1" s="5">
      <c r="A300" s="81" t="n">
        <v>45991</v>
      </c>
      <c r="B300" s="78" t="n">
        <v>0.6854166666666667</v>
      </c>
      <c r="C300" s="5" t="inlineStr">
        <is>
          <t>Panera Bread</t>
        </is>
      </c>
      <c r="D300" s="5" t="n">
        <v>1</v>
      </c>
      <c r="F300" s="6" t="inlineStr">
        <is>
          <t>#6051716023361362</t>
        </is>
      </c>
      <c r="G300" s="15" t="n"/>
      <c r="H300" s="9" t="inlineStr">
        <is>
          <t>Tuna Salad: focaccia, cucumber, basil, extra tomatoes, zesty sweer peppers</t>
        </is>
      </c>
      <c r="K300" s="5" t="n">
        <v>11.49</v>
      </c>
    </row>
    <row r="301" ht="15" customFormat="1" customHeight="1" s="5">
      <c r="A301" s="81" t="n">
        <v>45991</v>
      </c>
      <c r="B301" s="78" t="n">
        <v>0.6854166666666667</v>
      </c>
      <c r="C301" s="5" t="inlineStr">
        <is>
          <t>Panera Bread</t>
        </is>
      </c>
      <c r="D301" s="5" t="n">
        <v>1</v>
      </c>
      <c r="F301" s="6" t="inlineStr">
        <is>
          <t>#6051716023361362</t>
        </is>
      </c>
      <c r="G301" s="15" t="n"/>
      <c r="H301" s="9" t="inlineStr">
        <is>
          <t>Cup of Hearty Fireside Chili + APPLE</t>
        </is>
      </c>
      <c r="K301" s="5" t="n">
        <v>7.59</v>
      </c>
    </row>
    <row r="302" ht="15" customFormat="1" customHeight="1" s="5">
      <c r="A302" s="81" t="n">
        <v>45991</v>
      </c>
      <c r="B302" s="78" t="n">
        <v>0.6854166666666667</v>
      </c>
      <c r="C302" s="5" t="inlineStr">
        <is>
          <t>Panera Bread</t>
        </is>
      </c>
      <c r="D302" s="5" t="n">
        <v>1</v>
      </c>
      <c r="F302" s="6" t="inlineStr">
        <is>
          <t>#6051716023361362</t>
        </is>
      </c>
      <c r="G302" s="15" t="n"/>
      <c r="H302" s="9" t="inlineStr">
        <is>
          <t>Pick 2: Half Balsamic Chicken Greens with Grains (zesty sweet peppers, red tomatoes, arugula, pickled red onions, basil), Half Grilled Chicken and Avo BLT (focaccia, zesty sweer peppers, caramelized onions, sliced pepperocini, basil) + APPLE</t>
        </is>
      </c>
      <c r="K302" s="5" t="n">
        <v>18.48</v>
      </c>
    </row>
    <row r="303" ht="15" customFormat="1" customHeight="1" s="5">
      <c r="A303" s="81" t="n">
        <v>45991</v>
      </c>
      <c r="B303" s="78" t="n">
        <v>0.6854166666666667</v>
      </c>
      <c r="C303" s="5" t="inlineStr">
        <is>
          <t>Panera Bread</t>
        </is>
      </c>
      <c r="D303" s="5" t="n">
        <v>1</v>
      </c>
      <c r="F303" s="6" t="inlineStr">
        <is>
          <t>#6051716023361362</t>
        </is>
      </c>
      <c r="G303" s="15" t="n"/>
      <c r="H303" s="9" t="inlineStr">
        <is>
          <t>**DISCOUNT** Cup of soup for $1 with whole sandwhich</t>
        </is>
      </c>
      <c r="K303" s="5" t="n">
        <v>-6.59</v>
      </c>
    </row>
    <row r="304" ht="15" customFormat="1" customHeight="1" s="5">
      <c r="A304" s="81" t="n">
        <v>45991</v>
      </c>
      <c r="B304" s="78" t="n">
        <v>0.6854166666666667</v>
      </c>
      <c r="C304" s="5" t="inlineStr">
        <is>
          <t>Panera Bread</t>
        </is>
      </c>
      <c r="D304" s="5" t="n">
        <v>1</v>
      </c>
      <c r="F304" s="6" t="inlineStr">
        <is>
          <t>#6051716023361362</t>
        </is>
      </c>
      <c r="G304" s="15" t="n"/>
      <c r="H304" s="9" t="inlineStr">
        <is>
          <t xml:space="preserve">Tax </t>
        </is>
      </c>
      <c r="K304" s="5" t="n">
        <v>3.44</v>
      </c>
    </row>
    <row r="305" ht="15" customFormat="1" customHeight="1" s="5">
      <c r="A305" s="81" t="n">
        <v>45991</v>
      </c>
      <c r="B305" s="78" t="n">
        <v>0.6854166666666667</v>
      </c>
      <c r="C305" s="5" t="inlineStr">
        <is>
          <t>Panera Bread</t>
        </is>
      </c>
      <c r="D305" s="5" t="n">
        <v>1</v>
      </c>
      <c r="F305" s="6" t="inlineStr">
        <is>
          <t>#6051716023361362</t>
        </is>
      </c>
      <c r="G305" s="15" t="n"/>
      <c r="H305" s="9" t="inlineStr">
        <is>
          <t>GIFT CARD -- RITA STAGG</t>
        </is>
      </c>
      <c r="K305" s="5" t="n">
        <v>-14.43</v>
      </c>
    </row>
    <row r="306" ht="15" customFormat="1" customHeight="1" s="5">
      <c r="A306" s="81" t="n">
        <v>45991</v>
      </c>
      <c r="B306" s="82" t="n">
        <v>0.4979166666666667</v>
      </c>
      <c r="C306" s="5" t="inlineStr">
        <is>
          <t>Labcorp OnDemand</t>
        </is>
      </c>
      <c r="D306" s="5" t="n">
        <v>1</v>
      </c>
      <c r="F306" s="6" t="inlineStr">
        <is>
          <t>15761984</t>
        </is>
      </c>
      <c r="G306" s="15" t="inlineStr">
        <is>
          <t>2025321BG5628</t>
        </is>
      </c>
      <c r="H306" s="9" t="inlineStr">
        <is>
          <t>11/12 A1C lab testing for Eli specimen number 531616600320</t>
        </is>
      </c>
      <c r="I306" s="9" t="n">
        <v>1</v>
      </c>
      <c r="J306" s="9" t="inlineStr">
        <is>
          <t>cnt</t>
        </is>
      </c>
      <c r="K306" s="9" t="n">
        <v>4.95</v>
      </c>
    </row>
    <row r="307" ht="15" customFormat="1" customHeight="1" s="5">
      <c r="A307" s="81" t="n">
        <v>45990</v>
      </c>
      <c r="B307" s="78" t="n">
        <v>0.7303472222222223</v>
      </c>
      <c r="C307" s="5" t="inlineStr">
        <is>
          <t>Five Guys</t>
        </is>
      </c>
      <c r="E307" s="5" t="n">
        <v>1</v>
      </c>
      <c r="F307" s="6" t="inlineStr">
        <is>
          <t>AAB8ZNCAAEB7</t>
        </is>
      </c>
      <c r="G307" s="15" t="n"/>
      <c r="H307" s="9" t="inlineStr">
        <is>
          <t>Little Hamburger: All the Way + raw onions, jalapeno peppers, green peppers</t>
        </is>
      </c>
      <c r="I307" s="5" t="n">
        <v>1</v>
      </c>
      <c r="J307" s="5" t="inlineStr">
        <is>
          <t>cnt</t>
        </is>
      </c>
      <c r="K307" s="5" t="n">
        <v>8.19</v>
      </c>
    </row>
    <row r="308" ht="15" customFormat="1" customHeight="1" s="5">
      <c r="A308" s="81" t="n">
        <v>45990</v>
      </c>
      <c r="B308" s="78" t="n">
        <v>0.7303472222222223</v>
      </c>
      <c r="C308" s="5" t="inlineStr">
        <is>
          <t>Five Guys</t>
        </is>
      </c>
      <c r="E308" s="5" t="n">
        <v>1</v>
      </c>
      <c r="F308" s="6" t="inlineStr">
        <is>
          <t>AAB8ZNCAAEB7</t>
        </is>
      </c>
      <c r="G308" s="15" t="n"/>
      <c r="H308" s="9" t="inlineStr">
        <is>
          <t>Little Hamburger: Mayo, lettuce, pickles, EXTRA tomatoes, GRILLED green peppers</t>
        </is>
      </c>
      <c r="I308" s="5" t="n">
        <v>1</v>
      </c>
      <c r="J308" s="5" t="inlineStr">
        <is>
          <t>cnt</t>
        </is>
      </c>
      <c r="K308" s="5" t="n">
        <v>8.19</v>
      </c>
    </row>
    <row r="309" ht="15" customFormat="1" customHeight="1" s="5">
      <c r="A309" s="81" t="n">
        <v>45990</v>
      </c>
      <c r="B309" s="78" t="n">
        <v>0.7303472222222223</v>
      </c>
      <c r="C309" s="5" t="inlineStr">
        <is>
          <t>Five Guys</t>
        </is>
      </c>
      <c r="E309" s="5" t="n">
        <v>1</v>
      </c>
      <c r="F309" s="6" t="inlineStr">
        <is>
          <t>AAB8ZNCAAEB7</t>
        </is>
      </c>
      <c r="G309" s="15" t="n"/>
      <c r="H309" s="9" t="inlineStr">
        <is>
          <t>Sales Tax</t>
        </is>
      </c>
      <c r="I309" s="5" t="n">
        <v>2</v>
      </c>
      <c r="J309" s="5" t="inlineStr">
        <is>
          <t>cnt</t>
        </is>
      </c>
      <c r="K309" s="5" t="n">
        <v>1.35</v>
      </c>
    </row>
    <row r="310" ht="15" customFormat="1" customHeight="1" s="5">
      <c r="A310" s="81" t="n">
        <v>45990</v>
      </c>
      <c r="B310" s="78" t="n"/>
      <c r="C310" s="5" t="inlineStr">
        <is>
          <t>Home Depot</t>
        </is>
      </c>
      <c r="F310" s="6" t="n"/>
      <c r="G310" s="15" t="n"/>
      <c r="H310" s="9" t="n"/>
    </row>
    <row r="311" ht="15" customFormat="1" customHeight="1" s="5">
      <c r="A311" s="81" t="n">
        <v>45989</v>
      </c>
      <c r="B311" s="82" t="n">
        <v>0.9145833333333333</v>
      </c>
      <c r="C311" s="5" t="inlineStr">
        <is>
          <t>Amazon</t>
        </is>
      </c>
      <c r="D311" s="5" t="n">
        <v>1</v>
      </c>
      <c r="F311" s="6" t="inlineStr">
        <is>
          <t>111-9434955-4739462</t>
        </is>
      </c>
      <c r="G311" s="10" t="n"/>
      <c r="H311" s="18" t="inlineStr">
        <is>
          <t>Soup Containers with Lids Glass 32 oz, 4 Cup Borosilicate Glass Food Storage Containers, Microwave &amp; Freezer Safe Jars, Small Square Meal Prep Bowl for Salad, Fruit, Lunch, Ice Cream, Travel, 4 Pack Sold by: Susukkie Direct</t>
        </is>
      </c>
      <c r="I311" s="9" t="n">
        <v>32</v>
      </c>
      <c r="J311" s="9" t="inlineStr">
        <is>
          <t>oz</t>
        </is>
      </c>
      <c r="K311" s="9" t="n">
        <v>21.82</v>
      </c>
    </row>
    <row r="312" ht="15" customFormat="1" customHeight="1" s="5">
      <c r="A312" s="81" t="n">
        <v>45989</v>
      </c>
      <c r="B312" s="82" t="n">
        <v>0.9145833333333333</v>
      </c>
      <c r="C312" s="5" t="inlineStr">
        <is>
          <t>Amazon</t>
        </is>
      </c>
      <c r="D312" s="5" t="n">
        <v>1</v>
      </c>
      <c r="F312" s="6" t="inlineStr">
        <is>
          <t>111-9434955-4739462</t>
        </is>
      </c>
      <c r="G312" s="10" t="n"/>
      <c r="H312" s="18" t="inlineStr">
        <is>
          <t>Soup Containers with Lids Glass 32 oz, 4 Cup Borosilicate Glass Food Storage Containers, Microwave &amp; Freezer Safe Jars, Small Square Meal Prep Bowl for Salad, Fruit, Lunch, Ice Cream, Travel, 4 Pack Sold by: Susukkie Direct</t>
        </is>
      </c>
      <c r="I312" s="9" t="n">
        <v>32</v>
      </c>
      <c r="J312" s="9" t="inlineStr">
        <is>
          <t>oz</t>
        </is>
      </c>
      <c r="K312" s="9" t="n">
        <v>21.82</v>
      </c>
    </row>
    <row r="313" ht="15" customFormat="1" customHeight="1" s="5">
      <c r="A313" s="81" t="n">
        <v>45989</v>
      </c>
      <c r="B313" s="82" t="n">
        <v>0.9145833333333333</v>
      </c>
      <c r="C313" s="5" t="inlineStr">
        <is>
          <t>Amazon</t>
        </is>
      </c>
      <c r="D313" s="5" t="n">
        <v>1</v>
      </c>
      <c r="F313" s="6" t="inlineStr">
        <is>
          <t>111-9434955-4739462</t>
        </is>
      </c>
      <c r="G313" s="10" t="n"/>
      <c r="H313" s="9" t="inlineStr">
        <is>
          <t>Mensa 365 Brain Puzzlers Page-A-Day® Calendar 2026: Word Puzzles, Logic Challenges, Number Problems, and More Sold by: Amazon.com</t>
        </is>
      </c>
      <c r="I313" s="9" t="n">
        <v>1</v>
      </c>
      <c r="J313" s="9" t="inlineStr">
        <is>
          <t>cnt</t>
        </is>
      </c>
      <c r="K313" s="9" t="n">
        <v>17.99</v>
      </c>
    </row>
    <row r="314" ht="15" customFormat="1" customHeight="1" s="5">
      <c r="A314" s="81" t="n">
        <v>45989</v>
      </c>
      <c r="B314" s="82" t="n">
        <v>0.9145833333333333</v>
      </c>
      <c r="C314" s="5" t="inlineStr">
        <is>
          <t>Amazon</t>
        </is>
      </c>
      <c r="D314" s="5" t="n">
        <v>1</v>
      </c>
      <c r="F314" s="6" t="inlineStr">
        <is>
          <t>111-9434955-4739462</t>
        </is>
      </c>
      <c r="G314" s="10" t="n"/>
      <c r="H314" s="18" t="inlineStr">
        <is>
          <t>KBS Pro 710W Bread Maker, 2LB 17-in-1 Automatic Bread Machine with Healthy Ceramic Pan, Nut Dispenser, Tempered Glass Touch Panel, Stainless Steel Housing,3 Crust Colors, 15H Timer&amp;Keep-Warm, Recipe Sold by: KBS Direct</t>
        </is>
      </c>
      <c r="I314" s="9" t="n">
        <v>1</v>
      </c>
      <c r="J314" s="9" t="inlineStr">
        <is>
          <t>cnt</t>
        </is>
      </c>
      <c r="K314" s="9" t="n">
        <v>117.28</v>
      </c>
    </row>
    <row r="315" ht="15" customFormat="1" customHeight="1" s="5">
      <c r="A315" s="81" t="n">
        <v>45989</v>
      </c>
      <c r="B315" s="82" t="n">
        <v>0.9145833333333333</v>
      </c>
      <c r="C315" s="5" t="inlineStr">
        <is>
          <t>Amazon</t>
        </is>
      </c>
      <c r="D315" s="5" t="n">
        <v>1</v>
      </c>
      <c r="F315" s="6" t="inlineStr">
        <is>
          <t>111-9434955-4739462</t>
        </is>
      </c>
      <c r="G315" s="10" t="n"/>
      <c r="H315" s="18" t="inlineStr">
        <is>
          <t>16oz Glass Meal Prep Containers, Airtight 2 Cup Glass Storage Containers with Lids, Heat-Resistant BPA-Free Borosilicate Glass Soup Container for Leftover, Microwave, Dishwasher&amp;Freezer Safe (4 Packs) Sold by: Freshmage Direct</t>
        </is>
      </c>
      <c r="I315" s="9" t="n">
        <v>16</v>
      </c>
      <c r="J315" s="9" t="inlineStr">
        <is>
          <t>oz</t>
        </is>
      </c>
      <c r="K315" s="9" t="n">
        <v>18.03</v>
      </c>
    </row>
    <row r="316" ht="15" customFormat="1" customHeight="1" s="5">
      <c r="A316" s="81" t="n">
        <v>45989</v>
      </c>
      <c r="B316" s="82" t="n">
        <v>0.9145833333333333</v>
      </c>
      <c r="C316" s="5" t="inlineStr">
        <is>
          <t>Amazon</t>
        </is>
      </c>
      <c r="D316" s="5" t="n">
        <v>1</v>
      </c>
      <c r="F316" s="6" t="inlineStr">
        <is>
          <t>111-9434955-4739462</t>
        </is>
      </c>
      <c r="G316" s="10" t="n"/>
      <c r="H316" s="18" t="inlineStr">
        <is>
          <t>16oz Glass Meal Prep Containers, Airtight 2 Cup Glass Storage Containers with Lids, Heat-Resistant BPA-Free Borosilicate Glass Soup Container for Leftover, Microwave, Dishwasher&amp;Freezer Safe (4 Packs) Sold by: Freshmage Direct</t>
        </is>
      </c>
      <c r="I316" s="9" t="n">
        <v>16</v>
      </c>
      <c r="J316" s="9" t="inlineStr">
        <is>
          <t>oz</t>
        </is>
      </c>
      <c r="K316" s="9" t="n">
        <v>18.03</v>
      </c>
    </row>
    <row r="317" ht="15" customFormat="1" customHeight="1" s="5">
      <c r="A317" s="81" t="n">
        <v>45989</v>
      </c>
      <c r="B317" s="82" t="n">
        <v>0.9145833333333333</v>
      </c>
      <c r="C317" s="5" t="inlineStr">
        <is>
          <t>Amazon</t>
        </is>
      </c>
      <c r="D317" s="5" t="n">
        <v>1</v>
      </c>
      <c r="F317" s="6" t="inlineStr">
        <is>
          <t>111-9434955-4739462</t>
        </is>
      </c>
      <c r="G317" s="10" t="n"/>
      <c r="H317" s="9" t="inlineStr">
        <is>
          <t>Co retail delivery fees</t>
        </is>
      </c>
      <c r="I317" s="9" t="n">
        <v>1</v>
      </c>
      <c r="J317" s="9" t="inlineStr">
        <is>
          <t>cnt</t>
        </is>
      </c>
      <c r="K317" s="9" t="n">
        <v>0.28</v>
      </c>
    </row>
    <row r="318" ht="15" customFormat="1" customHeight="1" s="5">
      <c r="A318" s="81" t="n">
        <v>45989</v>
      </c>
      <c r="B318" s="82" t="n">
        <v>0.9145833333333333</v>
      </c>
      <c r="C318" s="5" t="inlineStr">
        <is>
          <t>Amazon</t>
        </is>
      </c>
      <c r="D318" s="5" t="n">
        <v>1</v>
      </c>
      <c r="F318" s="6" t="inlineStr">
        <is>
          <t>111-9434955-4739462</t>
        </is>
      </c>
      <c r="G318" s="10" t="n"/>
      <c r="H318" s="9" t="inlineStr">
        <is>
          <t>Tax</t>
        </is>
      </c>
      <c r="I318" s="9" t="n">
        <v>6</v>
      </c>
      <c r="J318" s="9" t="inlineStr">
        <is>
          <t>cnt</t>
        </is>
      </c>
      <c r="K318" s="9" t="n">
        <v>17.2</v>
      </c>
    </row>
    <row r="319" ht="15" customFormat="1" customHeight="1" s="5">
      <c r="A319" s="81" t="n">
        <v>45989</v>
      </c>
      <c r="B319" s="82" t="n">
        <v>0.5909722222222222</v>
      </c>
      <c r="C319" s="5" t="inlineStr">
        <is>
          <t>Amazon</t>
        </is>
      </c>
      <c r="D319" s="5" t="n">
        <v>1</v>
      </c>
      <c r="F319" s="6" t="inlineStr">
        <is>
          <t>D01-9362280-3088229</t>
        </is>
      </c>
      <c r="G319" s="10" t="n"/>
      <c r="H319" s="9" t="inlineStr">
        <is>
          <t>H&amp;R Block T*x Software Deluxe + State 2025 Win/Mac [PC/Mac Online Code] Sold by: Amazon.com Services LLC Supplied by: Other</t>
        </is>
      </c>
      <c r="I319" s="9" t="n">
        <v>1</v>
      </c>
      <c r="J319" s="9" t="inlineStr">
        <is>
          <t>cnt</t>
        </is>
      </c>
      <c r="K319" s="9" t="n">
        <v>29.99</v>
      </c>
    </row>
    <row r="320" ht="15" customFormat="1" customHeight="1" s="5">
      <c r="A320" s="81" t="n">
        <v>45989</v>
      </c>
      <c r="B320" s="82" t="n">
        <v>0.5909722222222222</v>
      </c>
      <c r="C320" s="5" t="inlineStr">
        <is>
          <t>Amazon</t>
        </is>
      </c>
      <c r="D320" s="5" t="n">
        <v>1</v>
      </c>
      <c r="F320" s="6" t="inlineStr">
        <is>
          <t>D01-9362280-3088229</t>
        </is>
      </c>
      <c r="G320" s="10" t="n"/>
      <c r="H320" s="9" t="inlineStr">
        <is>
          <t>Tax</t>
        </is>
      </c>
      <c r="I320" s="9" t="n">
        <v>1</v>
      </c>
      <c r="J320" s="9" t="inlineStr">
        <is>
          <t>cnt</t>
        </is>
      </c>
      <c r="K320" s="9" t="n">
        <v>1.12</v>
      </c>
    </row>
    <row r="321" ht="15" customFormat="1" customHeight="1" s="5">
      <c r="A321" s="81" t="n">
        <v>45989</v>
      </c>
      <c r="B321" s="78" t="n">
        <v>0.4534722222222222</v>
      </c>
      <c r="C321" s="5" t="inlineStr">
        <is>
          <t>Safeway</t>
        </is>
      </c>
      <c r="E321" s="5" t="n">
        <v>1</v>
      </c>
      <c r="F321" s="6" t="inlineStr">
        <is>
          <t>645343499920</t>
        </is>
      </c>
      <c r="G321" s="15" t="n"/>
      <c r="H321" s="9" t="inlineStr">
        <is>
          <t>O Organics Kale</t>
        </is>
      </c>
      <c r="I321" s="5" t="n">
        <v>24</v>
      </c>
      <c r="J321" s="5" t="inlineStr">
        <is>
          <t>oz</t>
        </is>
      </c>
      <c r="K321" s="5" t="n">
        <v>6.29</v>
      </c>
    </row>
    <row r="322" ht="15" customFormat="1" customHeight="1" s="5">
      <c r="A322" s="81" t="n">
        <v>45989</v>
      </c>
      <c r="B322" s="82" t="n">
        <v>0.3381944444444445</v>
      </c>
      <c r="C322" s="5" t="inlineStr">
        <is>
          <t>Costco</t>
        </is>
      </c>
      <c r="E322" s="5" t="n">
        <v>1</v>
      </c>
      <c r="F322" s="6" t="n"/>
      <c r="G322" s="10" t="n"/>
      <c r="H322" s="9" t="inlineStr">
        <is>
          <t>Subaru Gas 14.564 Gallons @ $1.899/gal</t>
        </is>
      </c>
      <c r="I322" s="9" t="n">
        <v>14.564</v>
      </c>
      <c r="J322" s="9" t="inlineStr">
        <is>
          <t>Gal</t>
        </is>
      </c>
      <c r="K322" s="9" t="n">
        <v>27.66</v>
      </c>
    </row>
    <row r="323" ht="15" customFormat="1" customHeight="1" s="5">
      <c r="A323" s="81" t="n">
        <v>45988</v>
      </c>
      <c r="B323" s="82" t="n">
        <v>0.5715277777777777</v>
      </c>
      <c r="C323" s="5" t="inlineStr">
        <is>
          <t>Mr. Bakery</t>
        </is>
      </c>
      <c r="E323" s="5" t="n">
        <v>1</v>
      </c>
      <c r="F323" s="6" t="inlineStr">
        <is>
          <t>000048</t>
        </is>
      </c>
      <c r="G323" s="10" t="n"/>
      <c r="H323" s="9" t="inlineStr">
        <is>
          <t>Coconut bun</t>
        </is>
      </c>
      <c r="I323" s="9" t="n"/>
      <c r="J323" s="9" t="n"/>
      <c r="K323" s="9" t="n">
        <v>2.5</v>
      </c>
    </row>
    <row r="324" ht="15" customFormat="1" customHeight="1" s="5">
      <c r="A324" s="81" t="n">
        <v>45988</v>
      </c>
      <c r="B324" s="82" t="n">
        <v>0.5715277777777777</v>
      </c>
      <c r="C324" s="5" t="inlineStr">
        <is>
          <t>Mr. Bakery</t>
        </is>
      </c>
      <c r="E324" s="5" t="n">
        <v>1</v>
      </c>
      <c r="F324" s="6" t="inlineStr">
        <is>
          <t>000048</t>
        </is>
      </c>
      <c r="G324" s="10" t="n"/>
      <c r="H324" s="9" t="inlineStr">
        <is>
          <t>horseshoe bun</t>
        </is>
      </c>
      <c r="I324" s="9" t="n"/>
      <c r="J324" s="9" t="n"/>
      <c r="K324" s="9" t="n">
        <v>3.5</v>
      </c>
    </row>
    <row r="325" ht="15" customFormat="1" customHeight="1" s="5">
      <c r="A325" s="81" t="n">
        <v>45988</v>
      </c>
      <c r="B325" s="78" t="n">
        <v>0.56875</v>
      </c>
      <c r="C325" s="5" t="inlineStr">
        <is>
          <t>New Canton BBQ</t>
        </is>
      </c>
      <c r="E325" s="5" t="n">
        <v>1</v>
      </c>
      <c r="F325" s="6" t="inlineStr">
        <is>
          <t>50 132 52</t>
        </is>
      </c>
      <c r="G325" s="15" t="n"/>
      <c r="H325" s="9" t="inlineStr">
        <is>
          <t>Half Duck</t>
        </is>
      </c>
      <c r="K325" s="5" t="n">
        <v>18.5</v>
      </c>
    </row>
    <row r="326" ht="15" customFormat="1" customHeight="1" s="5">
      <c r="A326" s="81" t="n">
        <v>45988</v>
      </c>
      <c r="B326" s="78" t="n">
        <v>0.56875</v>
      </c>
      <c r="C326" s="5" t="inlineStr">
        <is>
          <t>New Canton BBQ</t>
        </is>
      </c>
      <c r="E326" s="5" t="n">
        <v>1</v>
      </c>
      <c r="F326" s="6" t="inlineStr">
        <is>
          <t>50 132 52</t>
        </is>
      </c>
      <c r="G326" s="15" t="n"/>
      <c r="H326" s="9" t="inlineStr">
        <is>
          <t>Beef Chow Fun</t>
        </is>
      </c>
      <c r="K326" s="5" t="n">
        <v>15.95</v>
      </c>
    </row>
    <row r="327" ht="15" customFormat="1" customHeight="1" s="5">
      <c r="A327" s="81" t="n">
        <v>45988</v>
      </c>
      <c r="B327" s="78" t="n">
        <v>0.56875</v>
      </c>
      <c r="C327" s="5" t="inlineStr">
        <is>
          <t>New Canton BBQ</t>
        </is>
      </c>
      <c r="E327" s="5" t="n">
        <v>1</v>
      </c>
      <c r="F327" s="6" t="inlineStr">
        <is>
          <t>50 132 52</t>
        </is>
      </c>
      <c r="G327" s="15" t="n"/>
      <c r="H327" s="9" t="inlineStr">
        <is>
          <t>Beef Chow Fun -- no onion</t>
        </is>
      </c>
      <c r="K327" s="5" t="n">
        <v>15.95</v>
      </c>
    </row>
    <row r="328" ht="15" customFormat="1" customHeight="1" s="5">
      <c r="A328" s="81" t="n">
        <v>45988</v>
      </c>
      <c r="B328" s="78" t="n">
        <v>0.56875</v>
      </c>
      <c r="C328" s="5" t="inlineStr">
        <is>
          <t>New Canton BBQ</t>
        </is>
      </c>
      <c r="E328" s="5" t="n">
        <v>1</v>
      </c>
      <c r="F328" s="6" t="inlineStr">
        <is>
          <t>50 132 52</t>
        </is>
      </c>
      <c r="G328" s="15" t="n"/>
      <c r="H328" s="9" t="inlineStr">
        <is>
          <t>Bag Fee?</t>
        </is>
      </c>
      <c r="K328" s="5" t="n">
        <v>0.1</v>
      </c>
    </row>
    <row r="329" ht="15" customFormat="1" customHeight="1" s="5">
      <c r="A329" s="81" t="n">
        <v>45988</v>
      </c>
      <c r="B329" s="78" t="n">
        <v>0.56875</v>
      </c>
      <c r="C329" s="5" t="inlineStr">
        <is>
          <t>New Canton BBQ</t>
        </is>
      </c>
      <c r="E329" s="5" t="n">
        <v>1</v>
      </c>
      <c r="F329" s="6" t="inlineStr">
        <is>
          <t>50 132 52</t>
        </is>
      </c>
      <c r="G329" s="15" t="n"/>
      <c r="H329" s="9" t="inlineStr">
        <is>
          <t>Tax 1</t>
        </is>
      </c>
      <c r="K329" s="5" t="n">
        <v>4.04</v>
      </c>
    </row>
    <row r="330" ht="15" customFormat="1" customHeight="1" s="5">
      <c r="A330" s="81" t="n">
        <v>45988</v>
      </c>
      <c r="B330" s="78" t="n">
        <v>0.5679861111111111</v>
      </c>
      <c r="C330" s="5" t="inlineStr">
        <is>
          <t>H-Mart</t>
        </is>
      </c>
      <c r="E330" s="5" t="n">
        <v>1</v>
      </c>
      <c r="F330" s="6" t="inlineStr">
        <is>
          <t>5506250148265</t>
        </is>
      </c>
      <c r="G330" s="15" t="n"/>
      <c r="H330" s="9" t="inlineStr">
        <is>
          <t>Rosemary USA/MEX @$12.98/lb</t>
        </is>
      </c>
      <c r="I330" s="5" t="n">
        <v>0.09</v>
      </c>
      <c r="J330" s="5" t="inlineStr">
        <is>
          <t>lb</t>
        </is>
      </c>
      <c r="K330" s="5" t="n">
        <v>1.17</v>
      </c>
    </row>
    <row r="331" ht="15" customFormat="1" customHeight="1" s="5">
      <c r="A331" s="81" t="n">
        <v>45988</v>
      </c>
      <c r="B331" s="78" t="n">
        <v>0.5679861111111111</v>
      </c>
      <c r="C331" s="5" t="inlineStr">
        <is>
          <t>H-Mart</t>
        </is>
      </c>
      <c r="E331" s="5" t="n">
        <v>1</v>
      </c>
      <c r="F331" s="6" t="inlineStr">
        <is>
          <t>5506250148265</t>
        </is>
      </c>
      <c r="G331" s="15" t="n"/>
      <c r="H331" s="9" t="inlineStr">
        <is>
          <t>Curly Parsley USA @$0.99/bunch</t>
        </is>
      </c>
      <c r="I331" s="5" t="n">
        <v>1</v>
      </c>
      <c r="J331" s="5" t="inlineStr">
        <is>
          <t>cnt</t>
        </is>
      </c>
      <c r="K331" s="5" t="n">
        <v>0.99</v>
      </c>
    </row>
    <row r="332" ht="15" customFormat="1" customHeight="1" s="5">
      <c r="A332" s="81" t="n">
        <v>45988</v>
      </c>
      <c r="B332" s="78" t="n">
        <v>0.5679861111111111</v>
      </c>
      <c r="C332" s="5" t="inlineStr">
        <is>
          <t>H-Mart</t>
        </is>
      </c>
      <c r="E332" s="5" t="n">
        <v>1</v>
      </c>
      <c r="F332" s="6" t="inlineStr">
        <is>
          <t>5506250148265</t>
        </is>
      </c>
      <c r="G332" s="15" t="n"/>
      <c r="H332" s="9" t="inlineStr">
        <is>
          <t>Carrot Loose USA/MEX @$1.29/lb</t>
        </is>
      </c>
      <c r="I332" s="5" t="n">
        <v>1.69</v>
      </c>
      <c r="J332" s="5" t="inlineStr">
        <is>
          <t>lb</t>
        </is>
      </c>
      <c r="K332" s="5" t="n">
        <v>2.18</v>
      </c>
    </row>
    <row r="333" ht="15" customFormat="1" customHeight="1" s="5">
      <c r="A333" s="81" t="n">
        <v>45988</v>
      </c>
      <c r="B333" s="78" t="n">
        <v>0.5679861111111111</v>
      </c>
      <c r="C333" s="5" t="inlineStr">
        <is>
          <t>H-Mart</t>
        </is>
      </c>
      <c r="E333" s="5" t="n">
        <v>1</v>
      </c>
      <c r="F333" s="6" t="inlineStr">
        <is>
          <t>5506250148265</t>
        </is>
      </c>
      <c r="G333" s="15" t="n"/>
      <c r="H333" s="9" t="inlineStr">
        <is>
          <t>Thyme USA/MEX @$12.98/lb</t>
        </is>
      </c>
      <c r="I333" s="5" t="n">
        <v>0.09</v>
      </c>
      <c r="J333" s="5" t="inlineStr">
        <is>
          <t>lb</t>
        </is>
      </c>
      <c r="K333" s="5" t="n">
        <v>1.17</v>
      </c>
    </row>
    <row r="334" ht="15" customFormat="1" customHeight="1" s="5">
      <c r="A334" s="81" t="n">
        <v>45988</v>
      </c>
      <c r="B334" s="78" t="n">
        <v>0.5679861111111111</v>
      </c>
      <c r="C334" s="5" t="inlineStr">
        <is>
          <t>H-Mart</t>
        </is>
      </c>
      <c r="E334" s="5" t="n">
        <v>1</v>
      </c>
      <c r="F334" s="6" t="inlineStr">
        <is>
          <t>5506250148265</t>
        </is>
      </c>
      <c r="G334" s="15" t="n"/>
      <c r="H334" s="9" t="inlineStr">
        <is>
          <t>Purple Potato USA @$2.49/lb</t>
        </is>
      </c>
      <c r="I334" s="5" t="n">
        <v>0.89</v>
      </c>
      <c r="J334" s="5" t="inlineStr">
        <is>
          <t>lb</t>
        </is>
      </c>
      <c r="K334" s="5" t="n">
        <v>2.22</v>
      </c>
    </row>
    <row r="335" ht="15" customFormat="1" customHeight="1" s="5">
      <c r="A335" s="81" t="n">
        <v>45988</v>
      </c>
      <c r="B335" s="78" t="n">
        <v>0.5679861111111111</v>
      </c>
      <c r="C335" s="5" t="inlineStr">
        <is>
          <t>H-Mart</t>
        </is>
      </c>
      <c r="E335" s="5" t="n">
        <v>1</v>
      </c>
      <c r="F335" s="6" t="inlineStr">
        <is>
          <t>5506250148265</t>
        </is>
      </c>
      <c r="G335" s="15" t="n"/>
      <c r="H335" s="9" t="inlineStr">
        <is>
          <t>Yu Choy Sum USA @$1.78/lb</t>
        </is>
      </c>
      <c r="I335" s="5" t="n">
        <v>1.19</v>
      </c>
      <c r="J335" s="5" t="inlineStr">
        <is>
          <t>lb</t>
        </is>
      </c>
      <c r="K335" s="5" t="n">
        <v>2.12</v>
      </c>
    </row>
    <row r="336" ht="15" customFormat="1" customHeight="1" s="5">
      <c r="A336" s="81" t="n">
        <v>45988</v>
      </c>
      <c r="B336" s="78" t="n">
        <v>0.5679861111111111</v>
      </c>
      <c r="C336" s="5" t="inlineStr">
        <is>
          <t>H-Mart</t>
        </is>
      </c>
      <c r="E336" s="5" t="n">
        <v>1</v>
      </c>
      <c r="F336" s="6" t="inlineStr">
        <is>
          <t>5506250148265</t>
        </is>
      </c>
      <c r="G336" s="15" t="n"/>
      <c r="H336" s="9" t="inlineStr">
        <is>
          <t>LLF SlicedNApaKimchi</t>
        </is>
      </c>
      <c r="I336" s="5" t="n">
        <v>16</v>
      </c>
      <c r="J336" s="5" t="inlineStr">
        <is>
          <t>oz</t>
        </is>
      </c>
      <c r="K336" s="5" t="n">
        <v>6.48</v>
      </c>
    </row>
    <row r="337" ht="15" customFormat="1" customHeight="1" s="5">
      <c r="A337" s="81" t="n">
        <v>45988</v>
      </c>
      <c r="B337" s="78" t="n">
        <v>0.5679861111111111</v>
      </c>
      <c r="C337" s="5" t="inlineStr">
        <is>
          <t>H-Mart</t>
        </is>
      </c>
      <c r="E337" s="5" t="n">
        <v>1</v>
      </c>
      <c r="F337" s="6" t="inlineStr">
        <is>
          <t>5506250148265</t>
        </is>
      </c>
      <c r="G337" s="15" t="n"/>
      <c r="H337" s="9" t="inlineStr">
        <is>
          <t>Ginger CHINA/PERU @$1.99/lb</t>
        </is>
      </c>
      <c r="I337" s="5" t="n">
        <v>0.39</v>
      </c>
      <c r="J337" s="5" t="inlineStr">
        <is>
          <t>lb</t>
        </is>
      </c>
      <c r="K337" s="5" t="n">
        <v>0.78</v>
      </c>
    </row>
    <row r="338" ht="15" customFormat="1" customHeight="1" s="5">
      <c r="A338" s="81" t="n">
        <v>45988</v>
      </c>
      <c r="B338" s="78" t="n">
        <v>0.5679861111111111</v>
      </c>
      <c r="C338" s="5" t="inlineStr">
        <is>
          <t>H-Mart</t>
        </is>
      </c>
      <c r="E338" s="5" t="n">
        <v>1</v>
      </c>
      <c r="F338" s="6" t="inlineStr">
        <is>
          <t>5506250148265</t>
        </is>
      </c>
      <c r="G338" s="15" t="n"/>
      <c r="H338" s="9" t="inlineStr">
        <is>
          <t>AFC Medium Tofu UELLOW</t>
        </is>
      </c>
      <c r="I338" s="5" t="n">
        <v>19</v>
      </c>
      <c r="J338" s="5" t="inlineStr">
        <is>
          <t>oz</t>
        </is>
      </c>
      <c r="K338" s="5" t="n">
        <v>2.99</v>
      </c>
    </row>
    <row r="339" ht="15" customFormat="1" customHeight="1" s="5">
      <c r="A339" s="81" t="n">
        <v>45988</v>
      </c>
      <c r="B339" s="78" t="n">
        <v>0.5679861111111111</v>
      </c>
      <c r="C339" s="5" t="inlineStr">
        <is>
          <t>H-Mart</t>
        </is>
      </c>
      <c r="E339" s="5" t="n">
        <v>1</v>
      </c>
      <c r="F339" s="6" t="inlineStr">
        <is>
          <t>5506250148265</t>
        </is>
      </c>
      <c r="G339" s="15" t="n"/>
      <c r="H339" s="9" t="inlineStr">
        <is>
          <t>Lime USA/MEXICO @$0.20/each</t>
        </is>
      </c>
      <c r="I339" s="5" t="n">
        <v>1</v>
      </c>
      <c r="J339" s="5" t="inlineStr">
        <is>
          <t>cnt</t>
        </is>
      </c>
      <c r="K339" s="5" t="n">
        <v>0.2</v>
      </c>
    </row>
    <row r="340" ht="15" customFormat="1" customHeight="1" s="5">
      <c r="A340" s="81" t="n">
        <v>45988</v>
      </c>
      <c r="B340" s="78" t="n">
        <v>0.5679861111111111</v>
      </c>
      <c r="C340" s="5" t="inlineStr">
        <is>
          <t>H-Mart</t>
        </is>
      </c>
      <c r="E340" s="5" t="n">
        <v>1</v>
      </c>
      <c r="F340" s="6" t="inlineStr">
        <is>
          <t>5506250148265</t>
        </is>
      </c>
      <c r="G340" s="15" t="n"/>
      <c r="H340" s="9" t="inlineStr">
        <is>
          <t>Lime USA/MEXICO @$0.20/each</t>
        </is>
      </c>
      <c r="I340" s="5" t="n">
        <v>1</v>
      </c>
      <c r="J340" s="5" t="inlineStr">
        <is>
          <t>cnt</t>
        </is>
      </c>
      <c r="K340" s="5" t="n">
        <v>0.2</v>
      </c>
    </row>
    <row r="341" ht="15" customFormat="1" customHeight="1" s="5">
      <c r="A341" s="81" t="n">
        <v>45988</v>
      </c>
      <c r="B341" s="78" t="n">
        <v>0.5679861111111111</v>
      </c>
      <c r="C341" s="5" t="inlineStr">
        <is>
          <t>H-Mart</t>
        </is>
      </c>
      <c r="E341" s="5" t="n">
        <v>1</v>
      </c>
      <c r="F341" s="6" t="inlineStr">
        <is>
          <t>5506250148265</t>
        </is>
      </c>
      <c r="G341" s="15" t="n"/>
      <c r="H341" s="9" t="inlineStr">
        <is>
          <t>Tax</t>
        </is>
      </c>
      <c r="I341" s="5" t="n">
        <v>9</v>
      </c>
      <c r="J341" s="5" t="inlineStr">
        <is>
          <t>cnt</t>
        </is>
      </c>
      <c r="K341" s="5" t="n">
        <v>0</v>
      </c>
    </row>
    <row r="342" ht="15" customFormat="1" customHeight="1" s="5">
      <c r="A342" s="81" t="n">
        <v>45987</v>
      </c>
      <c r="B342" s="78" t="n">
        <v>0.758900462962963</v>
      </c>
      <c r="C342" s="5" t="inlineStr">
        <is>
          <t>IKEA</t>
        </is>
      </c>
      <c r="E342" s="5" t="n">
        <v>1</v>
      </c>
      <c r="F342" s="6" t="inlineStr">
        <is>
          <t>181806</t>
        </is>
      </c>
      <c r="G342" s="15" t="inlineStr">
        <is>
          <t>60279711</t>
        </is>
      </c>
      <c r="H342" s="9" t="inlineStr">
        <is>
          <t>IKEA 365+ glasses 15oz -- 6 pack</t>
        </is>
      </c>
      <c r="I342" s="5" t="n">
        <v>6</v>
      </c>
      <c r="J342" s="5" t="inlineStr">
        <is>
          <t>cnt</t>
        </is>
      </c>
      <c r="K342" s="5" t="n">
        <v>12.99</v>
      </c>
    </row>
    <row r="343" ht="15" customFormat="1" customHeight="1" s="5">
      <c r="A343" s="81" t="n">
        <v>45987</v>
      </c>
      <c r="B343" s="78" t="n">
        <v>0.758900462962963</v>
      </c>
      <c r="C343" s="5" t="inlineStr">
        <is>
          <t>IKEA</t>
        </is>
      </c>
      <c r="E343" s="5" t="n">
        <v>1</v>
      </c>
      <c r="F343" s="6" t="inlineStr">
        <is>
          <t>181806</t>
        </is>
      </c>
      <c r="G343" s="15" t="inlineStr">
        <is>
          <t>40577943</t>
        </is>
      </c>
      <c r="H343" s="9" t="inlineStr">
        <is>
          <t>IKEA 365+ Lid Rectangular</t>
        </is>
      </c>
      <c r="I343" s="5" t="n">
        <v>1</v>
      </c>
      <c r="J343" s="5" t="inlineStr">
        <is>
          <t>cnt</t>
        </is>
      </c>
      <c r="K343" s="5" t="n">
        <v>2</v>
      </c>
    </row>
    <row r="344" ht="15" customFormat="1" customHeight="1" s="5">
      <c r="A344" s="81" t="n">
        <v>45987</v>
      </c>
      <c r="B344" s="78" t="n">
        <v>0.758900462962963</v>
      </c>
      <c r="C344" s="5" t="inlineStr">
        <is>
          <t>IKEA</t>
        </is>
      </c>
      <c r="E344" s="5" t="n">
        <v>1</v>
      </c>
      <c r="F344" s="6" t="inlineStr">
        <is>
          <t>181806</t>
        </is>
      </c>
      <c r="G344" s="15" t="inlineStr">
        <is>
          <t>40577943</t>
        </is>
      </c>
      <c r="H344" s="9" t="inlineStr">
        <is>
          <t>IKEA 365+ Lid Rectangular</t>
        </is>
      </c>
      <c r="I344" s="5" t="n">
        <v>1</v>
      </c>
      <c r="J344" s="5" t="inlineStr">
        <is>
          <t>cnt</t>
        </is>
      </c>
      <c r="K344" s="5" t="n">
        <v>2</v>
      </c>
    </row>
    <row r="345" ht="15" customFormat="1" customHeight="1" s="5">
      <c r="A345" s="81" t="n">
        <v>45987</v>
      </c>
      <c r="B345" s="78" t="n">
        <v>0.758900462962963</v>
      </c>
      <c r="C345" s="5" t="inlineStr">
        <is>
          <t>IKEA</t>
        </is>
      </c>
      <c r="E345" s="5" t="n">
        <v>1</v>
      </c>
      <c r="F345" s="6" t="inlineStr">
        <is>
          <t>181806</t>
        </is>
      </c>
      <c r="G345" s="15" t="inlineStr">
        <is>
          <t>70359203</t>
        </is>
      </c>
      <c r="H345" s="9" t="inlineStr">
        <is>
          <t>IKEA 365+ Food Container GLASS 61 oz</t>
        </is>
      </c>
      <c r="I345" s="5" t="n">
        <v>61</v>
      </c>
      <c r="J345" s="5" t="inlineStr">
        <is>
          <t>oz</t>
        </is>
      </c>
      <c r="K345" s="5" t="n">
        <v>6.99</v>
      </c>
    </row>
    <row r="346" ht="15" customFormat="1" customHeight="1" s="5">
      <c r="A346" s="83" t="n">
        <v>45987</v>
      </c>
      <c r="B346" s="78" t="n">
        <v>0.758900462962963</v>
      </c>
      <c r="C346" s="5" t="inlineStr">
        <is>
          <t>IKEA</t>
        </is>
      </c>
      <c r="E346" s="5" t="n">
        <v>1</v>
      </c>
      <c r="F346" s="6" t="inlineStr">
        <is>
          <t>181806</t>
        </is>
      </c>
      <c r="G346" s="15" t="inlineStr">
        <is>
          <t>70359203</t>
        </is>
      </c>
      <c r="H346" s="9" t="inlineStr">
        <is>
          <t>IKEA 365+ Food Container GLASS 61 oz</t>
        </is>
      </c>
      <c r="I346" s="5" t="n">
        <v>61</v>
      </c>
      <c r="J346" s="5" t="inlineStr">
        <is>
          <t>oz</t>
        </is>
      </c>
      <c r="K346" s="5" t="n">
        <v>6.99</v>
      </c>
    </row>
    <row r="347" ht="15" customFormat="1" customHeight="1" s="5">
      <c r="A347" s="83" t="n">
        <v>45987</v>
      </c>
      <c r="B347" s="78" t="n">
        <v>0.758900462962963</v>
      </c>
      <c r="C347" s="5" t="inlineStr">
        <is>
          <t>IKEA</t>
        </is>
      </c>
      <c r="E347" s="5" t="n">
        <v>1</v>
      </c>
      <c r="F347" s="6" t="inlineStr">
        <is>
          <t>181806</t>
        </is>
      </c>
      <c r="G347" s="15" t="n"/>
      <c r="H347" s="9" t="inlineStr">
        <is>
          <t>Tax</t>
        </is>
      </c>
      <c r="I347" s="5" t="n">
        <v>5</v>
      </c>
      <c r="J347" s="5" t="inlineStr">
        <is>
          <t>cnt</t>
        </is>
      </c>
      <c r="K347" s="5" t="n">
        <v>2.09</v>
      </c>
    </row>
    <row r="348" ht="15" customFormat="1" customHeight="1" s="5">
      <c r="A348" s="83" t="n">
        <v>45987</v>
      </c>
      <c r="B348" s="78" t="n">
        <v>0.5972222222222222</v>
      </c>
      <c r="C348" s="5" t="inlineStr">
        <is>
          <t>Costco</t>
        </is>
      </c>
      <c r="E348" s="5" t="n">
        <v>1</v>
      </c>
      <c r="F348" s="6" t="inlineStr">
        <is>
          <t>439 4 234 8</t>
        </is>
      </c>
      <c r="G348" s="15" t="inlineStr">
        <is>
          <t>E 776948</t>
        </is>
      </c>
      <c r="H348" s="9" t="inlineStr">
        <is>
          <t>Starbucks Classic Hot Cocoa Mix 30 oz</t>
        </is>
      </c>
      <c r="I348" s="9" t="n">
        <v>30</v>
      </c>
      <c r="J348" s="9" t="inlineStr">
        <is>
          <t>oz</t>
        </is>
      </c>
      <c r="K348" s="9" t="n">
        <v>11.99</v>
      </c>
    </row>
    <row r="349" ht="15" customFormat="1" customHeight="1" s="5">
      <c r="A349" s="83" t="n">
        <v>45987</v>
      </c>
      <c r="B349" s="78" t="n">
        <v>0.5972222222222222</v>
      </c>
      <c r="C349" s="5" t="inlineStr">
        <is>
          <t>Costco</t>
        </is>
      </c>
      <c r="E349" s="5" t="n">
        <v>1</v>
      </c>
      <c r="F349" s="6" t="inlineStr">
        <is>
          <t>439 4 234 8</t>
        </is>
      </c>
      <c r="G349" s="15" t="n"/>
      <c r="H349" s="9" t="inlineStr">
        <is>
          <t>Tax</t>
        </is>
      </c>
      <c r="I349" s="9" t="n">
        <v>30</v>
      </c>
      <c r="J349" s="9" t="inlineStr">
        <is>
          <t>oz</t>
        </is>
      </c>
      <c r="K349" s="9" t="n">
        <v>0</v>
      </c>
    </row>
    <row r="350" ht="15" customFormat="1" customHeight="1" s="5">
      <c r="A350" s="83" t="n">
        <v>45987</v>
      </c>
      <c r="B350" s="82" t="n">
        <v>0.5263888888888889</v>
      </c>
      <c r="C350" s="5" t="inlineStr">
        <is>
          <t>Amazon</t>
        </is>
      </c>
      <c r="D350" s="5" t="n">
        <v>1</v>
      </c>
      <c r="F350" s="6" t="inlineStr">
        <is>
          <t>111-1788614-2065801</t>
        </is>
      </c>
      <c r="G350" s="10" t="n"/>
      <c r="H350" s="9" t="inlineStr">
        <is>
          <t>Thestoa Shower Curtain Rod Adjustable 43-78 inch, 1"Diameter Spring Tension Curtain Rod No Drill, Anti-Rust Non-Slip Shower Rod, Black Shower Curtain Rod for Bathroom Tension Sold by: FODA</t>
        </is>
      </c>
      <c r="I350" s="9" t="n"/>
      <c r="J350" s="9" t="n"/>
      <c r="K350" s="9" t="n">
        <v>13.29</v>
      </c>
    </row>
    <row r="351" ht="15" customFormat="1" customHeight="1" s="5">
      <c r="A351" s="83" t="n">
        <v>45987</v>
      </c>
      <c r="B351" s="82" t="n">
        <v>0.5263888888888889</v>
      </c>
      <c r="C351" s="5" t="inlineStr">
        <is>
          <t>Amazon</t>
        </is>
      </c>
      <c r="D351" s="5" t="n">
        <v>1</v>
      </c>
      <c r="F351" s="6" t="inlineStr">
        <is>
          <t>111-1788614-2065801</t>
        </is>
      </c>
      <c r="G351" s="10" t="n"/>
      <c r="H351" s="9" t="inlineStr">
        <is>
          <t>Tax</t>
        </is>
      </c>
      <c r="I351" s="9" t="n"/>
      <c r="J351" s="9" t="n"/>
      <c r="K351" s="9" t="n">
        <v>1.06</v>
      </c>
    </row>
    <row r="352" ht="15" customFormat="1" customHeight="1" s="5">
      <c r="A352" s="83" t="n">
        <v>45987</v>
      </c>
      <c r="B352" s="82" t="n">
        <v>0.4388888888888889</v>
      </c>
      <c r="C352" s="5" t="inlineStr">
        <is>
          <t>Safeway</t>
        </is>
      </c>
      <c r="E352" s="5" t="n">
        <v>1</v>
      </c>
      <c r="F352" s="6" t="inlineStr">
        <is>
          <t>573212499920</t>
        </is>
      </c>
      <c r="G352" s="10" t="n"/>
      <c r="H352" s="9" t="inlineStr">
        <is>
          <t>Signature Select Beans Pearl Barley Dry 16 Ounce</t>
        </is>
      </c>
      <c r="I352" s="9" t="n">
        <v>16</v>
      </c>
      <c r="J352" s="9" t="inlineStr">
        <is>
          <t>oz</t>
        </is>
      </c>
      <c r="K352" s="9" t="n">
        <v>1.58</v>
      </c>
    </row>
    <row r="353" ht="15" customFormat="1" customHeight="1" s="5">
      <c r="A353" s="83" t="n">
        <v>45987</v>
      </c>
      <c r="B353" s="82" t="n">
        <v>0.4388888888888889</v>
      </c>
      <c r="C353" s="5" t="inlineStr">
        <is>
          <t>Safeway</t>
        </is>
      </c>
      <c r="E353" s="5" t="n">
        <v>1</v>
      </c>
      <c r="F353" s="6" t="inlineStr">
        <is>
          <t>573212499920</t>
        </is>
      </c>
      <c r="G353" s="10" t="n"/>
      <c r="H353" s="9" t="inlineStr">
        <is>
          <t>Signature Select Beans Pearl Barley Dry 16 Ounce</t>
        </is>
      </c>
      <c r="I353" s="9" t="n">
        <v>16</v>
      </c>
      <c r="J353" s="9" t="inlineStr">
        <is>
          <t>oz</t>
        </is>
      </c>
      <c r="K353" s="9" t="n">
        <v>1.57</v>
      </c>
    </row>
    <row r="354" ht="15" customFormat="1" customHeight="1" s="5">
      <c r="A354" s="83" t="n">
        <v>45987</v>
      </c>
      <c r="B354" s="82" t="n">
        <v>0.4388888888888889</v>
      </c>
      <c r="C354" s="5" t="inlineStr">
        <is>
          <t>Safeway</t>
        </is>
      </c>
      <c r="E354" s="5" t="n">
        <v>1</v>
      </c>
      <c r="F354" s="6" t="inlineStr">
        <is>
          <t>573212499920</t>
        </is>
      </c>
      <c r="G354" s="10" t="n"/>
      <c r="H354" s="9" t="inlineStr">
        <is>
          <t>Signature Select Peas &amp; Carrots 32 Oz</t>
        </is>
      </c>
      <c r="I354" s="9" t="n">
        <v>32</v>
      </c>
      <c r="J354" s="9" t="inlineStr">
        <is>
          <t>oz</t>
        </is>
      </c>
      <c r="K354" s="9" t="n">
        <v>3.59</v>
      </c>
    </row>
    <row r="355" ht="15" customFormat="1" customHeight="1" s="5">
      <c r="A355" s="83" t="n">
        <v>45987</v>
      </c>
      <c r="B355" s="82" t="n">
        <v>0.4388888888888889</v>
      </c>
      <c r="C355" s="5" t="inlineStr">
        <is>
          <t>Safeway</t>
        </is>
      </c>
      <c r="E355" s="5" t="n">
        <v>1</v>
      </c>
      <c r="F355" s="6" t="inlineStr">
        <is>
          <t>573212499920</t>
        </is>
      </c>
      <c r="G355" s="10" t="n"/>
      <c r="H355" s="9" t="inlineStr">
        <is>
          <t>Tax</t>
        </is>
      </c>
      <c r="I355" s="9" t="n">
        <v>1</v>
      </c>
      <c r="J355" s="9" t="inlineStr">
        <is>
          <t>cnt</t>
        </is>
      </c>
      <c r="K355" s="9" t="n">
        <v>0</v>
      </c>
    </row>
    <row r="356" ht="15" customFormat="1" customHeight="1" s="5">
      <c r="A356" s="83" t="n">
        <v>45987</v>
      </c>
      <c r="B356" s="78" t="n">
        <v>0.4270833333333333</v>
      </c>
      <c r="C356" s="5" t="inlineStr">
        <is>
          <t>Costco</t>
        </is>
      </c>
      <c r="E356" s="5" t="n">
        <v>1</v>
      </c>
      <c r="F356" s="6" t="inlineStr">
        <is>
          <t>439 209 40 709</t>
        </is>
      </c>
      <c r="G356" s="15" t="inlineStr">
        <is>
          <t>E 5276</t>
        </is>
      </c>
      <c r="H356" s="9" t="inlineStr">
        <is>
          <t>Red Grapes</t>
        </is>
      </c>
      <c r="K356" s="5" t="n">
        <v>5.89</v>
      </c>
    </row>
    <row r="357" ht="15" customFormat="1" customHeight="1" s="5">
      <c r="A357" s="83" t="n">
        <v>45987</v>
      </c>
      <c r="B357" s="78" t="n">
        <v>0.4270833333333333</v>
      </c>
      <c r="C357" s="5" t="inlineStr">
        <is>
          <t>Costco</t>
        </is>
      </c>
      <c r="E357" s="5" t="n">
        <v>1</v>
      </c>
      <c r="F357" s="6" t="inlineStr">
        <is>
          <t>439 209 40 709</t>
        </is>
      </c>
      <c r="G357" s="15" t="inlineStr">
        <is>
          <t>E 633563</t>
        </is>
      </c>
      <c r="H357" s="9" t="inlineStr">
        <is>
          <t>KS Tomato Sauce</t>
        </is>
      </c>
      <c r="K357" s="5" t="n">
        <v>12.99</v>
      </c>
    </row>
    <row r="358" ht="15" customFormat="1" customHeight="1" s="5">
      <c r="A358" s="83" t="n">
        <v>45987</v>
      </c>
      <c r="B358" s="78" t="n">
        <v>0.4270833333333333</v>
      </c>
      <c r="C358" s="5" t="inlineStr">
        <is>
          <t>Costco</t>
        </is>
      </c>
      <c r="E358" s="5" t="n">
        <v>1</v>
      </c>
      <c r="F358" s="6" t="inlineStr">
        <is>
          <t>439 209 40 709</t>
        </is>
      </c>
      <c r="G358" s="15" t="inlineStr">
        <is>
          <t>E 1951950</t>
        </is>
      </c>
      <c r="H358" s="9" t="inlineStr">
        <is>
          <t>Brami Protein Pasta, Madein Italy, 2 boxes Fusilli, 2 baxes curly mac</t>
        </is>
      </c>
      <c r="I358" s="5" t="n">
        <v>4</v>
      </c>
      <c r="J358" s="5" t="inlineStr">
        <is>
          <t>lb</t>
        </is>
      </c>
      <c r="K358" s="5" t="n">
        <v>10.99</v>
      </c>
    </row>
    <row r="359" ht="15" customFormat="1" customHeight="1" s="5">
      <c r="A359" s="83" t="n">
        <v>45987</v>
      </c>
      <c r="B359" s="78" t="n">
        <v>0.4270833333333333</v>
      </c>
      <c r="C359" s="5" t="inlineStr">
        <is>
          <t>Costco</t>
        </is>
      </c>
      <c r="E359" s="5" t="n">
        <v>1</v>
      </c>
      <c r="F359" s="6" t="inlineStr">
        <is>
          <t>439 209 40 709</t>
        </is>
      </c>
      <c r="G359" s="15" t="inlineStr">
        <is>
          <t>E 1779179</t>
        </is>
      </c>
      <c r="H359" s="9" t="inlineStr">
        <is>
          <t>Vanilla Paste</t>
        </is>
      </c>
      <c r="K359" s="5" t="n">
        <v>19.99</v>
      </c>
    </row>
    <row r="360" ht="15" customFormat="1" customHeight="1" s="5">
      <c r="A360" s="83" t="n">
        <v>45987</v>
      </c>
      <c r="B360" s="78" t="n">
        <v>0.4270833333333333</v>
      </c>
      <c r="C360" s="5" t="inlineStr">
        <is>
          <t>Costco</t>
        </is>
      </c>
      <c r="E360" s="5" t="n">
        <v>1</v>
      </c>
      <c r="F360" s="6" t="inlineStr">
        <is>
          <t>439 209 40 709</t>
        </is>
      </c>
      <c r="G360" s="15" t="inlineStr">
        <is>
          <t>E 57554</t>
        </is>
      </c>
      <c r="H360" s="9" t="inlineStr">
        <is>
          <t>Blueberries</t>
        </is>
      </c>
      <c r="K360" s="5" t="n">
        <v>4.99</v>
      </c>
    </row>
    <row r="361" ht="15" customFormat="1" customHeight="1" s="5">
      <c r="A361" s="81" t="n">
        <v>45987</v>
      </c>
      <c r="B361" s="78" t="n">
        <v>0.4270833333333333</v>
      </c>
      <c r="C361" s="5" t="inlineStr">
        <is>
          <t>Costco</t>
        </is>
      </c>
      <c r="E361" s="5" t="n">
        <v>1</v>
      </c>
      <c r="F361" s="6" t="inlineStr">
        <is>
          <t>439 209 40 709</t>
        </is>
      </c>
      <c r="G361" s="15" t="inlineStr">
        <is>
          <t>E 9440</t>
        </is>
      </c>
      <c r="H361" s="9" t="inlineStr">
        <is>
          <t>Coconut Milk Canned Thai Kitchen</t>
        </is>
      </c>
      <c r="K361" s="5" t="n">
        <v>10.99</v>
      </c>
    </row>
    <row r="362" ht="15" customFormat="1" customHeight="1" s="5">
      <c r="A362" s="81" t="n">
        <v>45987</v>
      </c>
      <c r="B362" s="78" t="n">
        <v>0.4270833333333333</v>
      </c>
      <c r="C362" s="5" t="inlineStr">
        <is>
          <t>Costco</t>
        </is>
      </c>
      <c r="E362" s="5" t="n">
        <v>1</v>
      </c>
      <c r="F362" s="6" t="inlineStr">
        <is>
          <t>439 209 40 709</t>
        </is>
      </c>
      <c r="G362" s="15" t="inlineStr">
        <is>
          <t>E 1180452</t>
        </is>
      </c>
      <c r="H362" s="9" t="inlineStr">
        <is>
          <t>Organic Mango grozen chunks 5#</t>
        </is>
      </c>
      <c r="I362" s="5" t="n">
        <v>5</v>
      </c>
      <c r="J362" s="5" t="inlineStr">
        <is>
          <t>lb</t>
        </is>
      </c>
      <c r="K362" s="5" t="n">
        <v>10.39</v>
      </c>
    </row>
    <row r="363" ht="15" customFormat="1" customHeight="1" s="5">
      <c r="A363" s="81" t="n">
        <v>45987</v>
      </c>
      <c r="B363" s="78" t="n">
        <v>0.4270833333333333</v>
      </c>
      <c r="C363" s="5" t="inlineStr">
        <is>
          <t>Costco</t>
        </is>
      </c>
      <c r="E363" s="5" t="n">
        <v>1</v>
      </c>
      <c r="F363" s="6" t="inlineStr">
        <is>
          <t>439 209 40 709</t>
        </is>
      </c>
      <c r="G363" s="15" t="n"/>
      <c r="H363" s="9" t="inlineStr">
        <is>
          <t>Tax</t>
        </is>
      </c>
      <c r="I363" s="5" t="n">
        <v>7</v>
      </c>
      <c r="J363" s="5" t="inlineStr">
        <is>
          <t>cnt</t>
        </is>
      </c>
      <c r="K363" s="5" t="n">
        <v>0</v>
      </c>
    </row>
    <row r="364" ht="15" customFormat="1" customHeight="1" s="5">
      <c r="A364" s="81" t="n">
        <v>45987</v>
      </c>
      <c r="B364" s="82" t="n">
        <v>0.2916666666666667</v>
      </c>
      <c r="C364" s="5" t="inlineStr">
        <is>
          <t>US Tax Witholding</t>
        </is>
      </c>
      <c r="D364" s="5" t="n">
        <v>1</v>
      </c>
      <c r="F364" s="6" t="inlineStr">
        <is>
          <t>RTX_Paycheck_25_50</t>
        </is>
      </c>
      <c r="G364" s="7" t="n"/>
      <c r="H364" s="9" t="inlineStr">
        <is>
          <t>Federal Income Tax</t>
        </is>
      </c>
      <c r="I364" s="9" t="n"/>
      <c r="J364" s="9" t="n"/>
      <c r="K364" s="9" t="n">
        <v>467.33</v>
      </c>
    </row>
    <row r="365" ht="15" customFormat="1" customHeight="1" s="5">
      <c r="A365" s="81" t="n">
        <v>45987</v>
      </c>
      <c r="B365" s="82" t="n">
        <v>0.2916666666666667</v>
      </c>
      <c r="C365" s="5" t="inlineStr">
        <is>
          <t>US Tax Witholding</t>
        </is>
      </c>
      <c r="D365" s="5" t="n">
        <v>1</v>
      </c>
      <c r="F365" s="6" t="inlineStr">
        <is>
          <t>RTX_Paycheck_25_50</t>
        </is>
      </c>
      <c r="G365" s="7" t="n"/>
      <c r="H365" s="9" t="inlineStr">
        <is>
          <t>Social Security Tax</t>
        </is>
      </c>
      <c r="I365" s="9" t="n"/>
      <c r="J365" s="9" t="n"/>
      <c r="K365" s="9" t="n">
        <v>353.39</v>
      </c>
    </row>
    <row r="366" ht="15" customFormat="1" customHeight="1" s="5">
      <c r="A366" s="81" t="n">
        <v>45987</v>
      </c>
      <c r="B366" s="82" t="n">
        <v>0.2916666666666667</v>
      </c>
      <c r="C366" s="5" t="inlineStr">
        <is>
          <t>US Tax Witholding</t>
        </is>
      </c>
      <c r="D366" s="5" t="n">
        <v>1</v>
      </c>
      <c r="F366" s="6" t="inlineStr">
        <is>
          <t>RTX_Paycheck_25_50</t>
        </is>
      </c>
      <c r="G366" s="7" t="n"/>
      <c r="H366" s="9" t="inlineStr">
        <is>
          <t>Medicare Tax</t>
        </is>
      </c>
      <c r="I366" s="9" t="n"/>
      <c r="J366" s="9" t="n"/>
      <c r="K366" s="9" t="n">
        <v>82.65000000000001</v>
      </c>
    </row>
    <row r="367" ht="15" customFormat="1" customHeight="1" s="5">
      <c r="A367" s="81" t="n">
        <v>45987</v>
      </c>
      <c r="B367" s="82" t="n">
        <v>0.2916666666666667</v>
      </c>
      <c r="C367" s="5" t="inlineStr">
        <is>
          <t>Raytheon</t>
        </is>
      </c>
      <c r="D367" s="5" t="n">
        <v>1</v>
      </c>
      <c r="F367" s="6" t="inlineStr">
        <is>
          <t>RTX_Paycheck_25_50</t>
        </is>
      </c>
      <c r="G367" s="17" t="inlineStr">
        <is>
          <t>XXXX3523</t>
        </is>
      </c>
      <c r="H367" s="9" t="inlineStr">
        <is>
          <t>Net Paycheck [Nov 08 - Nov 21]</t>
        </is>
      </c>
      <c r="I367" s="9" t="n"/>
      <c r="J367" s="9" t="n"/>
      <c r="K367" s="9" t="n">
        <v>3298.01</v>
      </c>
    </row>
    <row r="368" ht="15" customFormat="1" customHeight="1" s="5">
      <c r="A368" s="81" t="n">
        <v>45987</v>
      </c>
      <c r="B368" s="82" t="n">
        <v>0.2916666666666667</v>
      </c>
      <c r="C368" s="5" t="inlineStr">
        <is>
          <t>Raytheon</t>
        </is>
      </c>
      <c r="D368" s="5" t="n">
        <v>1</v>
      </c>
      <c r="F368" s="6" t="inlineStr">
        <is>
          <t>RTX_Paycheck_25_50</t>
        </is>
      </c>
      <c r="G368" s="10" t="n"/>
      <c r="H368" s="9" t="inlineStr">
        <is>
          <t>RTX Direct Deposit -- cancelling offset</t>
        </is>
      </c>
      <c r="I368" s="9" t="n"/>
      <c r="J368" s="9" t="n"/>
      <c r="K368" s="9" t="n">
        <v>-3298.02</v>
      </c>
    </row>
    <row r="369" ht="15" customFormat="1" customHeight="1" s="5">
      <c r="A369" s="81" t="n">
        <v>45987</v>
      </c>
      <c r="B369" s="82" t="n">
        <v>0.2916666666666667</v>
      </c>
      <c r="C369" s="5" t="inlineStr">
        <is>
          <t>Raytheon</t>
        </is>
      </c>
      <c r="D369" s="5" t="n">
        <v>1</v>
      </c>
      <c r="F369" s="6" t="inlineStr">
        <is>
          <t>RTX_Paycheck_25_50</t>
        </is>
      </c>
      <c r="G369" s="10" t="n"/>
      <c r="H369" s="9" t="inlineStr">
        <is>
          <t>Gross Paycheck [Nov 08 - Nov 21] ($62.5000/hr)</t>
        </is>
      </c>
      <c r="I369" s="9" t="n"/>
      <c r="J369" s="9" t="n"/>
      <c r="K369" s="9" t="n">
        <v>-5948.83</v>
      </c>
    </row>
    <row r="370" ht="15" customFormat="1" customHeight="1" s="5">
      <c r="A370" s="81" t="n">
        <v>45987</v>
      </c>
      <c r="B370" s="82" t="n">
        <v>0.2916666666666667</v>
      </c>
      <c r="C370" s="5" t="inlineStr">
        <is>
          <t>Raytheon</t>
        </is>
      </c>
      <c r="D370" s="5" t="n">
        <v>1</v>
      </c>
      <c r="F370" s="6" t="inlineStr">
        <is>
          <t>RTX_Paycheck_25_50</t>
        </is>
      </c>
      <c r="G370" s="10" t="n"/>
      <c r="H370" s="9" t="inlineStr">
        <is>
          <t>Ed(ucation) Assi(tance) Offset</t>
        </is>
      </c>
      <c r="I370" s="9" t="n"/>
      <c r="J370" s="9" t="n"/>
      <c r="K370" s="9" t="n">
        <v>948.83</v>
      </c>
    </row>
    <row r="371" ht="15" customFormat="1" customHeight="1" s="5">
      <c r="A371" s="81" t="n">
        <v>45987</v>
      </c>
      <c r="B371" s="82" t="n">
        <v>0.2916666666666667</v>
      </c>
      <c r="C371" s="5" t="inlineStr">
        <is>
          <t>Parents Gift Account</t>
        </is>
      </c>
      <c r="D371" s="5" t="n">
        <v>1</v>
      </c>
      <c r="F371" s="6" t="inlineStr">
        <is>
          <t>RTX_Paycheck_25_50</t>
        </is>
      </c>
      <c r="G371" s="17" t="inlineStr">
        <is>
          <t>XXXX7146</t>
        </is>
      </c>
      <c r="H371" s="9" t="inlineStr">
        <is>
          <t>Contribution to Parents Gift Account</t>
        </is>
      </c>
      <c r="I371" s="9" t="n"/>
      <c r="J371" s="9" t="n"/>
      <c r="K371" s="9" t="n">
        <v>0.01</v>
      </c>
    </row>
    <row r="372" ht="15" customFormat="1" customHeight="1" s="5">
      <c r="A372" s="81" t="n">
        <v>45987</v>
      </c>
      <c r="B372" s="82" t="n">
        <v>0.2916666666666667</v>
      </c>
      <c r="C372" s="5" t="inlineStr">
        <is>
          <t>HSA</t>
        </is>
      </c>
      <c r="D372" s="5" t="n">
        <v>1</v>
      </c>
      <c r="F372" s="6" t="inlineStr">
        <is>
          <t>RTX_Paycheck_25_50</t>
        </is>
      </c>
      <c r="G372" s="10" t="n"/>
      <c r="H372" s="9" t="inlineStr">
        <is>
          <t>Personal contribution to HSA</t>
        </is>
      </c>
      <c r="I372" s="9" t="n"/>
      <c r="J372" s="9" t="n"/>
      <c r="K372" s="9" t="n">
        <v>115.73</v>
      </c>
    </row>
    <row r="373" ht="15" customFormat="1" customHeight="1" s="5">
      <c r="A373" s="81" t="n">
        <v>45987</v>
      </c>
      <c r="B373" s="82" t="n">
        <v>0.2916666666666667</v>
      </c>
      <c r="C373" s="5" t="inlineStr">
        <is>
          <t>Delta Dental</t>
        </is>
      </c>
      <c r="D373" s="5" t="n">
        <v>1</v>
      </c>
      <c r="F373" s="6" t="inlineStr">
        <is>
          <t>RTX_Paycheck_25_50</t>
        </is>
      </c>
      <c r="G373" s="10" t="n"/>
      <c r="H373" s="9" t="inlineStr">
        <is>
          <t>Dental Insurance</t>
        </is>
      </c>
      <c r="I373" s="9" t="n"/>
      <c r="J373" s="9" t="n"/>
      <c r="K373" s="9" t="n">
        <v>4.26</v>
      </c>
    </row>
    <row r="374" ht="15" customFormat="1" customHeight="1" s="5">
      <c r="A374" s="81" t="n">
        <v>45987</v>
      </c>
      <c r="B374" s="82" t="n">
        <v>0.2916666666666667</v>
      </c>
      <c r="C374" s="5" t="inlineStr">
        <is>
          <t>CO Tax Witholding</t>
        </is>
      </c>
      <c r="D374" s="5" t="n">
        <v>1</v>
      </c>
      <c r="F374" s="6" t="inlineStr">
        <is>
          <t>RTX_Paycheck_25_50</t>
        </is>
      </c>
      <c r="G374" s="7" t="n"/>
      <c r="H374" s="9" t="inlineStr">
        <is>
          <t>CO State Income Tax</t>
        </is>
      </c>
      <c r="I374" s="9" t="n"/>
      <c r="J374" s="9" t="n"/>
      <c r="K374" s="9" t="n">
        <v>220.57</v>
      </c>
    </row>
    <row r="375" ht="15" customFormat="1" customHeight="1" s="5">
      <c r="A375" s="81" t="n">
        <v>45987</v>
      </c>
      <c r="B375" s="82" t="n">
        <v>0.2916666666666667</v>
      </c>
      <c r="C375" s="5" t="inlineStr">
        <is>
          <t>CO Tax Witholding</t>
        </is>
      </c>
      <c r="D375" s="5" t="n">
        <v>1</v>
      </c>
      <c r="F375" s="6" t="inlineStr">
        <is>
          <t>RTX_Paycheck_25_50</t>
        </is>
      </c>
      <c r="G375" s="7" t="n"/>
      <c r="H375" s="9" t="inlineStr">
        <is>
          <t>CO Paid Family Leave Insurance</t>
        </is>
      </c>
      <c r="I375" s="9" t="n"/>
      <c r="J375" s="9" t="n"/>
      <c r="K375" s="9" t="n">
        <v>26.77</v>
      </c>
    </row>
    <row r="376" ht="15" customFormat="1" customHeight="1" s="5">
      <c r="A376" s="81" t="n">
        <v>45987</v>
      </c>
      <c r="B376" s="82" t="n">
        <v>0.2916666666666667</v>
      </c>
      <c r="C376" s="5" t="inlineStr">
        <is>
          <t>Anthem BcBs</t>
        </is>
      </c>
      <c r="D376" s="5" t="n">
        <v>1</v>
      </c>
      <c r="F376" s="6" t="inlineStr">
        <is>
          <t>RTX_Paycheck_25_50</t>
        </is>
      </c>
      <c r="G376" s="10" t="n"/>
      <c r="H376" s="9" t="inlineStr">
        <is>
          <t>Medical Insurance</t>
        </is>
      </c>
      <c r="I376" s="9" t="n"/>
      <c r="J376" s="9" t="n"/>
      <c r="K376" s="9" t="n">
        <v>131.28</v>
      </c>
    </row>
    <row r="377" ht="15" customFormat="1" customHeight="1" s="5">
      <c r="A377" s="81" t="n">
        <v>45987</v>
      </c>
      <c r="B377" s="82" t="n">
        <v>0.2916666666666667</v>
      </c>
      <c r="C377" s="5" t="inlineStr">
        <is>
          <t>Alight</t>
        </is>
      </c>
      <c r="D377" s="5" t="n">
        <v>1</v>
      </c>
      <c r="F377" s="6" t="inlineStr">
        <is>
          <t>RTX_Paycheck_25_50</t>
        </is>
      </c>
      <c r="G377" s="10" t="n"/>
      <c r="H377" s="9" t="inlineStr">
        <is>
          <t>401k Basic -- Traditional</t>
        </is>
      </c>
      <c r="I377" s="9" t="n"/>
      <c r="J377" s="9" t="n"/>
      <c r="K377" s="9" t="n">
        <v>300</v>
      </c>
    </row>
    <row r="378" ht="15" customFormat="1" customHeight="1" s="5">
      <c r="A378" s="81" t="n">
        <v>45987</v>
      </c>
      <c r="B378" s="82" t="n">
        <v>0.2916666666666667</v>
      </c>
      <c r="C378" s="5" t="inlineStr">
        <is>
          <t>Alight</t>
        </is>
      </c>
      <c r="D378" s="5" t="n">
        <v>1</v>
      </c>
      <c r="F378" s="6" t="inlineStr">
        <is>
          <t>RTX_Paycheck_25_50</t>
        </is>
      </c>
      <c r="G378" s="10" t="n"/>
      <c r="H378" s="9" t="inlineStr">
        <is>
          <t>Roth 401k Basic</t>
        </is>
      </c>
      <c r="I378" s="9" t="n"/>
      <c r="J378" s="9" t="n"/>
      <c r="K378" s="9" t="n">
        <v>0</v>
      </c>
    </row>
    <row r="379" ht="15" customFormat="1" customHeight="1" s="5">
      <c r="A379" s="81" t="n">
        <v>45987</v>
      </c>
      <c r="B379" s="82" t="n">
        <v>0.0798611111111111</v>
      </c>
      <c r="C379" s="5" t="inlineStr">
        <is>
          <t>Amazon</t>
        </is>
      </c>
      <c r="D379" s="5" t="n">
        <v>1</v>
      </c>
      <c r="F379" s="6" t="inlineStr">
        <is>
          <t>111-4710493-6451417</t>
        </is>
      </c>
      <c r="G379" s="10" t="n"/>
      <c r="H379" s="18" t="inlineStr">
        <is>
          <t>Miss Mouth's Messy Eater Stain Treater - 32oz Refill - Newborn &amp; Baby Essentials - No Dry Cleaning Food, Grease, Coffee Off Laundry, Underwear, Fabric Sold by: The Hate Stains Co.</t>
        </is>
      </c>
      <c r="I379" s="9" t="n">
        <v>32</v>
      </c>
      <c r="J379" s="9" t="inlineStr">
        <is>
          <t>oz</t>
        </is>
      </c>
      <c r="K379" s="9" t="n">
        <v>38.99</v>
      </c>
    </row>
    <row r="380" ht="15" customFormat="1" customHeight="1" s="5">
      <c r="A380" s="81" t="n">
        <v>45987</v>
      </c>
      <c r="B380" s="82" t="n">
        <v>0.0798611111111111</v>
      </c>
      <c r="C380" s="5" t="inlineStr">
        <is>
          <t>Amazon</t>
        </is>
      </c>
      <c r="D380" s="5" t="n">
        <v>1</v>
      </c>
      <c r="F380" s="6" t="inlineStr">
        <is>
          <t>111-4710493-6451417</t>
        </is>
      </c>
      <c r="G380" s="10" t="n"/>
      <c r="H380" s="9" t="inlineStr">
        <is>
          <t>**DISCOUNT** Amazon Registry 15% discount</t>
        </is>
      </c>
      <c r="I380" s="9" t="n">
        <v>32</v>
      </c>
      <c r="J380" s="9" t="inlineStr">
        <is>
          <t>oz</t>
        </is>
      </c>
      <c r="K380" s="9" t="n">
        <v>-5.85</v>
      </c>
    </row>
    <row r="381" ht="15" customFormat="1" customHeight="1" s="5">
      <c r="A381" s="83" t="n">
        <v>45987</v>
      </c>
      <c r="B381" s="82" t="n">
        <v>0.0798611111111111</v>
      </c>
      <c r="C381" s="5" t="inlineStr">
        <is>
          <t>Amazon</t>
        </is>
      </c>
      <c r="D381" s="5" t="n">
        <v>1</v>
      </c>
      <c r="F381" s="6" t="inlineStr">
        <is>
          <t>111-4710493-6451417</t>
        </is>
      </c>
      <c r="G381" s="10" t="n"/>
      <c r="H381" s="9" t="inlineStr">
        <is>
          <t>Enzyme Laundry Booster Odor Remover - 2 lbs Unscented Enzymatic Clothes Stain Cleaner Powder, Natural Deodorizer with Bio Active Enzymes, Detergent Additive Eliminator for Sweat, Oil, Blood - 64 Loads Sold by: ACTIVE Official</t>
        </is>
      </c>
      <c r="I381" s="9" t="n">
        <v>2</v>
      </c>
      <c r="J381" s="9" t="inlineStr">
        <is>
          <t>lb</t>
        </is>
      </c>
      <c r="K381" s="9" t="n">
        <v>13.96</v>
      </c>
    </row>
    <row r="382" ht="15" customFormat="1" customHeight="1" s="5">
      <c r="A382" s="83" t="n">
        <v>45987</v>
      </c>
      <c r="B382" s="82" t="n">
        <v>0.0798611111111111</v>
      </c>
      <c r="C382" s="5" t="inlineStr">
        <is>
          <t>Amazon</t>
        </is>
      </c>
      <c r="D382" s="5" t="n">
        <v>1</v>
      </c>
      <c r="F382" s="6" t="inlineStr">
        <is>
          <t>111-4710493-6451417</t>
        </is>
      </c>
      <c r="G382" s="10" t="n"/>
      <c r="H382" s="9" t="inlineStr">
        <is>
          <t>Sombra Warm Pain Relief Gel, Warm Relief for Arthritis and Chronic Pain Pre-Workout Muscle Rub Vegan Formula Free of Artificial Fragrances, Dyes, NSAIDs, Wax, Petroleum, Alcohol - 8oz Jar Sold by: VerSure</t>
        </is>
      </c>
      <c r="I382" s="9" t="n">
        <v>8</v>
      </c>
      <c r="J382" s="9" t="inlineStr">
        <is>
          <t>oz</t>
        </is>
      </c>
      <c r="K382" s="9" t="n">
        <v>22.99</v>
      </c>
    </row>
    <row r="383" ht="15" customFormat="1" customHeight="1" s="5">
      <c r="A383" s="83" t="n">
        <v>45987</v>
      </c>
      <c r="B383" s="82" t="n">
        <v>0.0798611111111111</v>
      </c>
      <c r="C383" s="5" t="inlineStr">
        <is>
          <t>Amazon</t>
        </is>
      </c>
      <c r="D383" s="5" t="n">
        <v>1</v>
      </c>
      <c r="F383" s="6" t="inlineStr">
        <is>
          <t>111-4710493-6451417</t>
        </is>
      </c>
      <c r="G383" s="10" t="n"/>
      <c r="H383" s="9" t="inlineStr">
        <is>
          <t>Co retail delivery fees</t>
        </is>
      </c>
      <c r="I383" s="9" t="n">
        <v>1</v>
      </c>
      <c r="J383" s="9" t="inlineStr">
        <is>
          <t>cnt</t>
        </is>
      </c>
      <c r="K383" s="9" t="n">
        <v>0.28</v>
      </c>
    </row>
    <row r="384" ht="15" customFormat="1" customHeight="1" s="5">
      <c r="A384" s="81" t="n">
        <v>45987</v>
      </c>
      <c r="B384" s="82" t="n">
        <v>0.0798611111111111</v>
      </c>
      <c r="C384" s="5" t="inlineStr">
        <is>
          <t>Amazon</t>
        </is>
      </c>
      <c r="D384" s="5" t="n">
        <v>1</v>
      </c>
      <c r="F384" s="6" t="inlineStr">
        <is>
          <t>111-4710493-6451417</t>
        </is>
      </c>
      <c r="G384" s="10" t="n"/>
      <c r="H384" s="9" t="inlineStr">
        <is>
          <t>Tax</t>
        </is>
      </c>
      <c r="I384" s="9" t="n">
        <v>3</v>
      </c>
      <c r="J384" s="9" t="inlineStr">
        <is>
          <t>cnt</t>
        </is>
      </c>
      <c r="K384" s="9" t="n">
        <v>6.08</v>
      </c>
    </row>
    <row r="385" ht="15" customFormat="1" customHeight="1" s="5">
      <c r="A385" s="81" t="n">
        <v>45987</v>
      </c>
      <c r="B385" s="82" t="n">
        <v>0.07777777777777778</v>
      </c>
      <c r="C385" s="5" t="inlineStr">
        <is>
          <t>Amazon</t>
        </is>
      </c>
      <c r="D385" s="5" t="n">
        <v>1</v>
      </c>
      <c r="F385" s="6" t="inlineStr">
        <is>
          <t>111-7405830-8393027</t>
        </is>
      </c>
      <c r="G385" s="10" t="inlineStr">
        <is>
          <t>A</t>
        </is>
      </c>
      <c r="H385" s="9" t="inlineStr">
        <is>
          <t>Cuisinart Ice Cream Maker Machine, 1.5 Quart Double Insulated Machine, Sorbet and Frozen Yogurt Maker, Ready in 20 Minutes, ICE-21P1, White Sold by: Amazon.com</t>
        </is>
      </c>
      <c r="I385" s="9" t="n">
        <v>1.5</v>
      </c>
      <c r="J385" s="9" t="inlineStr">
        <is>
          <t>quart</t>
        </is>
      </c>
      <c r="K385" s="9" t="n">
        <v>79.78</v>
      </c>
    </row>
    <row r="386" ht="15" customFormat="1" customHeight="1" s="5">
      <c r="A386" s="81" t="n">
        <v>45987</v>
      </c>
      <c r="B386" s="82" t="n">
        <v>0.07777777777777778</v>
      </c>
      <c r="C386" s="5" t="inlineStr">
        <is>
          <t>Amazon</t>
        </is>
      </c>
      <c r="D386" s="5" t="n">
        <v>1</v>
      </c>
      <c r="F386" s="6" t="inlineStr">
        <is>
          <t>111-7405830-8393027</t>
        </is>
      </c>
      <c r="G386" s="10" t="inlineStr">
        <is>
          <t>A</t>
        </is>
      </c>
      <c r="H386" s="9" t="inlineStr">
        <is>
          <t>**REFUND** Partial</t>
        </is>
      </c>
      <c r="I386" s="9" t="n">
        <v>1.5</v>
      </c>
      <c r="J386" s="9" t="inlineStr">
        <is>
          <t>quart</t>
        </is>
      </c>
      <c r="K386" s="9" t="n">
        <v>-17.07</v>
      </c>
    </row>
    <row r="387" ht="15" customFormat="1" customHeight="1" s="5">
      <c r="A387" s="81" t="n">
        <v>45987</v>
      </c>
      <c r="B387" s="82" t="n">
        <v>0.07777777777777778</v>
      </c>
      <c r="C387" s="5" t="inlineStr">
        <is>
          <t>Amazon</t>
        </is>
      </c>
      <c r="D387" s="5" t="n">
        <v>1</v>
      </c>
      <c r="F387" s="6" t="inlineStr">
        <is>
          <t>111-7405830-8393027</t>
        </is>
      </c>
      <c r="G387" s="10" t="inlineStr">
        <is>
          <t>B</t>
        </is>
      </c>
      <c r="H387" s="9" t="inlineStr">
        <is>
          <t>DMI Waterproof Mattress Protector and Mattress Cover, Soft, Encased Zippered Fit, Twin, Packaging may vary Sold by: Amazon.com</t>
        </is>
      </c>
      <c r="I387" s="9" t="n">
        <v>1</v>
      </c>
      <c r="J387" s="9" t="inlineStr">
        <is>
          <t>cnt</t>
        </is>
      </c>
      <c r="K387" s="9" t="n">
        <v>9.99</v>
      </c>
    </row>
    <row r="388" ht="15" customFormat="1" customHeight="1" s="5">
      <c r="A388" s="81" t="n">
        <v>45987</v>
      </c>
      <c r="B388" s="82" t="n">
        <v>0.07777777777777778</v>
      </c>
      <c r="C388" s="5" t="inlineStr">
        <is>
          <t>Amazon</t>
        </is>
      </c>
      <c r="D388" s="5" t="n">
        <v>1</v>
      </c>
      <c r="F388" s="6" t="inlineStr">
        <is>
          <t>111-7405830-8393027</t>
        </is>
      </c>
      <c r="G388" s="10" t="inlineStr">
        <is>
          <t>B</t>
        </is>
      </c>
      <c r="H388" s="9" t="inlineStr">
        <is>
          <t>**DISCOUNT** Amazon Registry 15% discount</t>
        </is>
      </c>
      <c r="I388" s="9" t="n">
        <v>1</v>
      </c>
      <c r="J388" s="9" t="inlineStr">
        <is>
          <t>cnt</t>
        </is>
      </c>
      <c r="K388" s="9" t="n">
        <v>-1.5</v>
      </c>
    </row>
    <row r="389" ht="15" customFormat="1" customHeight="1" s="5">
      <c r="A389" s="83" t="n">
        <v>45987</v>
      </c>
      <c r="B389" s="82" t="n">
        <v>0.07777777777777778</v>
      </c>
      <c r="C389" s="5" t="inlineStr">
        <is>
          <t>Amazon</t>
        </is>
      </c>
      <c r="D389" s="5" t="n">
        <v>1</v>
      </c>
      <c r="F389" s="6" t="inlineStr">
        <is>
          <t>111-7405830-8393027</t>
        </is>
      </c>
      <c r="G389" s="10" t="inlineStr">
        <is>
          <t>C</t>
        </is>
      </c>
      <c r="H389" s="9" t="inlineStr">
        <is>
          <t>RONXS Candle Lighter, Electric Lighter, Rechargeable Type C Lighters Arc Lighter with LED Battery Display, Flameless Long Lighters for Candles Grill BBQ Camping (Black) Sold by: YF US</t>
        </is>
      </c>
      <c r="I389" s="9" t="n">
        <v>1</v>
      </c>
      <c r="J389" s="9" t="inlineStr">
        <is>
          <t>cnt</t>
        </is>
      </c>
      <c r="K389" s="9" t="n">
        <v>6.83</v>
      </c>
    </row>
    <row r="390" ht="15" customFormat="1" customHeight="1" s="5">
      <c r="A390" s="81" t="n">
        <v>45987</v>
      </c>
      <c r="B390" s="82" t="n">
        <v>0.07777777777777778</v>
      </c>
      <c r="C390" s="5" t="inlineStr">
        <is>
          <t>Amazon</t>
        </is>
      </c>
      <c r="D390" s="5" t="n">
        <v>1</v>
      </c>
      <c r="F390" s="6" t="inlineStr">
        <is>
          <t>111-7405830-8393027</t>
        </is>
      </c>
      <c r="G390" s="10" t="inlineStr">
        <is>
          <t>D</t>
        </is>
      </c>
      <c r="H390" s="9" t="inlineStr">
        <is>
          <t>AWLKIM Meat Thermometer Digital - Instant Read Waterproof Food Thermometer with Backlight for Cooking, Grill, Candy, Kitchen &amp; Stocking Stuffers for Men - Red Sold by: AWLKIM</t>
        </is>
      </c>
      <c r="I390" s="9" t="n">
        <v>1</v>
      </c>
      <c r="J390" s="9" t="inlineStr">
        <is>
          <t>cnt</t>
        </is>
      </c>
      <c r="K390" s="9" t="n">
        <v>5.69</v>
      </c>
    </row>
    <row r="391" ht="15" customFormat="1" customHeight="1" s="5">
      <c r="A391" s="81" t="n">
        <v>45987</v>
      </c>
      <c r="B391" s="82" t="n">
        <v>0.07777777777777778</v>
      </c>
      <c r="C391" s="5" t="inlineStr">
        <is>
          <t>Amazon</t>
        </is>
      </c>
      <c r="D391" s="5" t="n">
        <v>1</v>
      </c>
      <c r="F391" s="6" t="inlineStr">
        <is>
          <t>111-7405830-8393027</t>
        </is>
      </c>
      <c r="G391" s="10" t="n"/>
      <c r="H391" s="9" t="inlineStr">
        <is>
          <t>Co retail delivery fees</t>
        </is>
      </c>
      <c r="I391" s="9" t="n">
        <v>4</v>
      </c>
      <c r="J391" s="9" t="inlineStr">
        <is>
          <t>cnt</t>
        </is>
      </c>
      <c r="K391" s="9" t="n">
        <v>0.28</v>
      </c>
    </row>
    <row r="392" ht="15" customFormat="1" customHeight="1" s="5">
      <c r="A392" s="81" t="n">
        <v>45987</v>
      </c>
      <c r="B392" s="82" t="n">
        <v>0.07777777777777778</v>
      </c>
      <c r="C392" s="5" t="inlineStr">
        <is>
          <t>Amazon</t>
        </is>
      </c>
      <c r="D392" s="5" t="n">
        <v>1</v>
      </c>
      <c r="F392" s="6" t="inlineStr">
        <is>
          <t>111-7405830-8393027</t>
        </is>
      </c>
      <c r="G392" s="10" t="n"/>
      <c r="H392" s="9" t="inlineStr">
        <is>
          <t>Tax</t>
        </is>
      </c>
      <c r="I392" s="9" t="n">
        <v>4</v>
      </c>
      <c r="J392" s="9" t="inlineStr">
        <is>
          <t>cnt</t>
        </is>
      </c>
      <c r="K392" s="9" t="n">
        <v>8.07</v>
      </c>
    </row>
    <row r="393" ht="15" customFormat="1" customHeight="1" s="5">
      <c r="A393" s="81" t="n">
        <v>45987</v>
      </c>
      <c r="B393" s="82" t="n">
        <v>0.07777777777777778</v>
      </c>
      <c r="C393" s="5" t="inlineStr">
        <is>
          <t>Amazon</t>
        </is>
      </c>
      <c r="D393" s="5" t="n">
        <v>1</v>
      </c>
      <c r="F393" s="6" t="inlineStr">
        <is>
          <t>111-7826497-1494606</t>
        </is>
      </c>
      <c r="G393" s="10" t="n"/>
      <c r="H393" s="18" t="inlineStr">
        <is>
          <t>Goldlion Stainless Steel Inner Pot Compatible with Ninja Foodi 6.5 Quart Accessories Replacement Insert Liner Sold by: Goldtiger</t>
        </is>
      </c>
      <c r="I393" s="9" t="n">
        <v>6.5</v>
      </c>
      <c r="J393" s="9" t="inlineStr">
        <is>
          <t>quart</t>
        </is>
      </c>
      <c r="K393" s="9" t="n">
        <v>32.99</v>
      </c>
    </row>
    <row r="394" ht="15" customFormat="1" customHeight="1" s="5">
      <c r="A394" s="81" t="n">
        <v>45987</v>
      </c>
      <c r="B394" s="82" t="n">
        <v>0.07777777777777778</v>
      </c>
      <c r="C394" s="5" t="inlineStr">
        <is>
          <t>Amazon</t>
        </is>
      </c>
      <c r="D394" s="5" t="n">
        <v>1</v>
      </c>
      <c r="F394" s="6" t="inlineStr">
        <is>
          <t>111-7826497-1494606</t>
        </is>
      </c>
      <c r="G394" s="10" t="n"/>
      <c r="H394" s="9" t="inlineStr">
        <is>
          <t>Tax</t>
        </is>
      </c>
      <c r="I394" s="9" t="n">
        <v>6.5</v>
      </c>
      <c r="J394" s="9" t="inlineStr">
        <is>
          <t>quart</t>
        </is>
      </c>
      <c r="K394" s="9" t="n">
        <v>2.64</v>
      </c>
    </row>
    <row r="395" ht="15" customFormat="1" customHeight="1" s="5">
      <c r="A395" s="81" t="n">
        <v>45986</v>
      </c>
      <c r="B395" s="78" t="n">
        <v>0.2916666666666667</v>
      </c>
      <c r="C395" s="5" t="inlineStr">
        <is>
          <t>CIT</t>
        </is>
      </c>
      <c r="D395" s="5" t="n">
        <v>1</v>
      </c>
      <c r="F395" s="6" t="n"/>
      <c r="G395" s="15" t="n"/>
      <c r="H395" s="9" t="inlineStr">
        <is>
          <t>Domestic Wire In: Nonnie and Papa "Trump's been good to our investments this year"</t>
        </is>
      </c>
      <c r="I395" s="5" t="n">
        <v>1</v>
      </c>
      <c r="J395" s="5" t="inlineStr">
        <is>
          <t>cnt</t>
        </is>
      </c>
      <c r="K395" s="5" t="n">
        <v>-35008</v>
      </c>
    </row>
    <row r="396" ht="15" customFormat="1" customHeight="1" s="5">
      <c r="A396" s="81" t="n">
        <v>45984</v>
      </c>
      <c r="B396" s="82" t="n">
        <v>0.2916666666666667</v>
      </c>
      <c r="C396" s="5" t="inlineStr">
        <is>
          <t>Fidelity</t>
        </is>
      </c>
      <c r="D396" s="5" t="n">
        <v>1</v>
      </c>
      <c r="F396" s="6" t="n"/>
      <c r="G396" s="10" t="n"/>
      <c r="H396" s="9" t="inlineStr">
        <is>
          <t>Traditional IRA Contribution (2025)</t>
        </is>
      </c>
      <c r="I396" s="9" t="n"/>
      <c r="J396" s="9" t="n"/>
      <c r="K396" s="9" t="n">
        <v>3000</v>
      </c>
    </row>
    <row r="397" ht="15" customFormat="1" customHeight="1" s="5">
      <c r="A397" s="81" t="n">
        <v>45983</v>
      </c>
      <c r="B397" s="78" t="n">
        <v>0.7395833333333334</v>
      </c>
      <c r="C397" s="5" t="inlineStr">
        <is>
          <t xml:space="preserve">King Sooper's </t>
        </is>
      </c>
      <c r="D397" s="5" t="n">
        <v>1</v>
      </c>
      <c r="F397" s="6" t="inlineStr">
        <is>
          <t>DoorDash_08</t>
        </is>
      </c>
      <c r="G397" s="15" t="n"/>
      <c r="H397" s="9" t="inlineStr">
        <is>
          <t>1× Tree Top 100% Apple Juice (1 gal)</t>
        </is>
      </c>
      <c r="I397" s="9" t="n">
        <v>1</v>
      </c>
      <c r="J397" s="9" t="inlineStr">
        <is>
          <t>gal</t>
        </is>
      </c>
      <c r="K397" s="9" t="n">
        <v>7.99</v>
      </c>
    </row>
    <row r="398" ht="15" customFormat="1" customHeight="1" s="5">
      <c r="A398" s="81" t="n">
        <v>45983</v>
      </c>
      <c r="B398" s="78" t="n">
        <v>0.7395833333333334</v>
      </c>
      <c r="C398" s="5" t="inlineStr">
        <is>
          <t xml:space="preserve">King Sooper's </t>
        </is>
      </c>
      <c r="D398" s="5" t="n">
        <v>1</v>
      </c>
      <c r="F398" s="6" t="inlineStr">
        <is>
          <t>DoorDash_08</t>
        </is>
      </c>
      <c r="G398" s="15" t="n"/>
      <c r="H398" s="9" t="inlineStr">
        <is>
          <t>1× Kroger 85% Lean Fresh Ground Turkey (48 oz)</t>
        </is>
      </c>
      <c r="I398" s="9" t="n">
        <v>48</v>
      </c>
      <c r="J398" s="9" t="inlineStr">
        <is>
          <t>oz</t>
        </is>
      </c>
      <c r="K398" s="9" t="n">
        <v>12.19</v>
      </c>
    </row>
    <row r="399" ht="15" customFormat="1" customHeight="1" s="5">
      <c r="A399" s="81" t="n">
        <v>45983</v>
      </c>
      <c r="B399" s="78" t="n">
        <v>0.7395833333333334</v>
      </c>
      <c r="C399" s="5" t="inlineStr">
        <is>
          <t xml:space="preserve">King Sooper's </t>
        </is>
      </c>
      <c r="D399" s="5" t="n">
        <v>1</v>
      </c>
      <c r="F399" s="6" t="inlineStr">
        <is>
          <t>DoorDash_08</t>
        </is>
      </c>
      <c r="G399" s="15" t="n"/>
      <c r="H399" s="9" t="inlineStr">
        <is>
          <t>2× Large Green Bell Pepper</t>
        </is>
      </c>
      <c r="I399" s="9" t="n">
        <v>2</v>
      </c>
      <c r="J399" s="9" t="inlineStr">
        <is>
          <t>cnt</t>
        </is>
      </c>
      <c r="K399" s="9" t="n">
        <v>1.78</v>
      </c>
    </row>
    <row r="400" ht="15" customFormat="1" customHeight="1" s="5">
      <c r="A400" s="81" t="n">
        <v>45983</v>
      </c>
      <c r="B400" s="78" t="n">
        <v>0.7395833333333334</v>
      </c>
      <c r="C400" s="5" t="inlineStr">
        <is>
          <t xml:space="preserve">King Sooper's </t>
        </is>
      </c>
      <c r="D400" s="5" t="n">
        <v>1</v>
      </c>
      <c r="F400" s="6" t="inlineStr">
        <is>
          <t>DoorDash_08</t>
        </is>
      </c>
      <c r="G400" s="15" t="n"/>
      <c r="H400" s="9" t="inlineStr">
        <is>
          <t>1× Organic Kale (16 oz)</t>
        </is>
      </c>
      <c r="I400" s="9" t="n">
        <v>16</v>
      </c>
      <c r="J400" s="9" t="inlineStr">
        <is>
          <t>oz</t>
        </is>
      </c>
      <c r="K400" s="9" t="n">
        <v>2.19</v>
      </c>
    </row>
    <row r="401" ht="15" customFormat="1" customHeight="1" s="5">
      <c r="A401" s="81" t="n">
        <v>45983</v>
      </c>
      <c r="B401" s="78" t="n">
        <v>0.7395833333333334</v>
      </c>
      <c r="C401" s="5" t="inlineStr">
        <is>
          <t xml:space="preserve">King Sooper's </t>
        </is>
      </c>
      <c r="D401" s="5" t="n">
        <v>1</v>
      </c>
      <c r="F401" s="6" t="inlineStr">
        <is>
          <t>DoorDash_08</t>
        </is>
      </c>
      <c r="G401" s="15" t="n"/>
      <c r="H401" s="9" t="inlineStr">
        <is>
          <t>1× Kroger Red Grapefruit Bag (5 lb)</t>
        </is>
      </c>
      <c r="I401" s="9" t="n">
        <v>5</v>
      </c>
      <c r="J401" s="9" t="inlineStr">
        <is>
          <t>lb</t>
        </is>
      </c>
      <c r="K401" s="9" t="n">
        <v>6.69</v>
      </c>
    </row>
    <row r="402" ht="15" customFormat="1" customHeight="1" s="5">
      <c r="A402" s="81" t="n">
        <v>45983</v>
      </c>
      <c r="B402" s="78" t="n">
        <v>0.7395833333333334</v>
      </c>
      <c r="C402" s="5" t="inlineStr">
        <is>
          <t xml:space="preserve">King Sooper's </t>
        </is>
      </c>
      <c r="D402" s="5" t="n">
        <v>1</v>
      </c>
      <c r="F402" s="6" t="inlineStr">
        <is>
          <t>DoorDash_08</t>
        </is>
      </c>
      <c r="G402" s="15" t="n"/>
      <c r="H402" s="9" t="inlineStr">
        <is>
          <t>1× Violife 100% Vegan Just Like Cheddar Shreds Alternative Cheese (8 oz)</t>
        </is>
      </c>
      <c r="I402" s="9" t="n">
        <v>8</v>
      </c>
      <c r="J402" s="9" t="inlineStr">
        <is>
          <t>oz</t>
        </is>
      </c>
      <c r="K402" s="9" t="n">
        <v>4.49</v>
      </c>
    </row>
    <row r="403" ht="15" customFormat="1" customHeight="1" s="5">
      <c r="A403" s="81" t="n">
        <v>45983</v>
      </c>
      <c r="B403" s="78" t="n">
        <v>0.7395833333333334</v>
      </c>
      <c r="C403" s="5" t="inlineStr">
        <is>
          <t xml:space="preserve">King Sooper's </t>
        </is>
      </c>
      <c r="D403" s="5" t="n">
        <v>1</v>
      </c>
      <c r="F403" s="6" t="inlineStr">
        <is>
          <t>DoorDash_08</t>
        </is>
      </c>
      <c r="G403" s="15" t="n"/>
      <c r="H403" s="9" t="inlineStr">
        <is>
          <t>1× Miyoko's Creamery Organic Vegan Salted European Style Creamy Butter (8 oz)</t>
        </is>
      </c>
      <c r="I403" s="9" t="n">
        <v>8</v>
      </c>
      <c r="J403" s="9" t="inlineStr">
        <is>
          <t>oz</t>
        </is>
      </c>
      <c r="K403" s="9" t="n">
        <v>6.69</v>
      </c>
    </row>
    <row r="404" ht="15" customFormat="1" customHeight="1" s="5">
      <c r="A404" s="81" t="n">
        <v>45983</v>
      </c>
      <c r="B404" s="78" t="n">
        <v>0.7395833333333334</v>
      </c>
      <c r="C404" s="5" t="inlineStr">
        <is>
          <t xml:space="preserve">King Sooper's </t>
        </is>
      </c>
      <c r="D404" s="5" t="n">
        <v>1</v>
      </c>
      <c r="F404" s="6" t="inlineStr">
        <is>
          <t>DoorDash_08</t>
        </is>
      </c>
      <c r="G404" s="15" t="n"/>
      <c r="H404" s="9" t="inlineStr">
        <is>
          <t>1× Cuties Seedless California Mandarins Bag (3 lb)</t>
        </is>
      </c>
      <c r="I404" s="9" t="n">
        <v>3</v>
      </c>
      <c r="J404" s="9" t="inlineStr">
        <is>
          <t>lb</t>
        </is>
      </c>
      <c r="K404" s="9" t="n">
        <v>3.39</v>
      </c>
    </row>
    <row r="405" ht="15" customFormat="1" customHeight="1" s="5">
      <c r="A405" s="81" t="n">
        <v>45983</v>
      </c>
      <c r="B405" s="78" t="n">
        <v>0.7395833333333334</v>
      </c>
      <c r="C405" s="5" t="inlineStr">
        <is>
          <t xml:space="preserve">King Sooper's </t>
        </is>
      </c>
      <c r="D405" s="5" t="n">
        <v>1</v>
      </c>
      <c r="F405" s="6" t="inlineStr">
        <is>
          <t>DoorDash_08</t>
        </is>
      </c>
      <c r="G405" s="15" t="n"/>
      <c r="H405" s="9" t="inlineStr">
        <is>
          <t>1× Talenti Dairy-Free Roman Raspberry Sorbetto (1 pt)</t>
        </is>
      </c>
      <c r="I405" s="9" t="n">
        <v>1</v>
      </c>
      <c r="J405" s="9" t="inlineStr">
        <is>
          <t>pint</t>
        </is>
      </c>
      <c r="K405" s="9" t="n">
        <v>6.99</v>
      </c>
    </row>
    <row r="406" ht="15" customFormat="1" customHeight="1" s="5">
      <c r="A406" s="81" t="n">
        <v>45983</v>
      </c>
      <c r="B406" s="78" t="n">
        <v>0.7395833333333334</v>
      </c>
      <c r="C406" s="5" t="inlineStr">
        <is>
          <t xml:space="preserve">King Sooper's </t>
        </is>
      </c>
      <c r="D406" s="5" t="n">
        <v>1</v>
      </c>
      <c r="F406" s="6" t="inlineStr">
        <is>
          <t>DoorDash_08</t>
        </is>
      </c>
      <c r="G406" s="15" t="n"/>
      <c r="H406" s="9" t="inlineStr">
        <is>
          <t>1× Violife Just Like Cream Cheese Block, Dairy-Free Vegan (8 oz)</t>
        </is>
      </c>
      <c r="I406" s="9" t="n">
        <v>8</v>
      </c>
      <c r="J406" s="9" t="inlineStr">
        <is>
          <t>oz</t>
        </is>
      </c>
      <c r="K406" s="9" t="n">
        <v>5.59</v>
      </c>
    </row>
    <row r="407" ht="15" customFormat="1" customHeight="1" s="5">
      <c r="A407" s="81" t="n">
        <v>45983</v>
      </c>
      <c r="B407" s="78" t="n">
        <v>0.7395833333333334</v>
      </c>
      <c r="C407" s="5" t="inlineStr">
        <is>
          <t xml:space="preserve">King Sooper's </t>
        </is>
      </c>
      <c r="D407" s="5" t="n">
        <v>1</v>
      </c>
      <c r="F407" s="6" t="inlineStr">
        <is>
          <t>DoorDash_08</t>
        </is>
      </c>
      <c r="G407" s="15" t="n"/>
      <c r="H407" s="9" t="inlineStr">
        <is>
          <t>Bag Fee</t>
        </is>
      </c>
      <c r="I407" s="9" t="n">
        <v>1</v>
      </c>
      <c r="J407" s="9" t="inlineStr">
        <is>
          <t>cnt</t>
        </is>
      </c>
      <c r="K407" s="9" t="n">
        <v>0.2</v>
      </c>
    </row>
    <row r="408" ht="15" customFormat="1" customHeight="1" s="5">
      <c r="A408" s="81" t="n">
        <v>45983</v>
      </c>
      <c r="B408" s="78" t="n">
        <v>0.7395833333333334</v>
      </c>
      <c r="C408" s="5" t="inlineStr">
        <is>
          <t xml:space="preserve">King Sooper's </t>
        </is>
      </c>
      <c r="D408" s="5" t="n">
        <v>1</v>
      </c>
      <c r="F408" s="6" t="inlineStr">
        <is>
          <t>DoorDash_08</t>
        </is>
      </c>
      <c r="G408" s="15" t="n"/>
      <c r="H408" s="9" t="inlineStr">
        <is>
          <t>Co retail delivery fees</t>
        </is>
      </c>
      <c r="I408" s="9" t="n">
        <v>1</v>
      </c>
      <c r="J408" s="9" t="inlineStr">
        <is>
          <t>cnt</t>
        </is>
      </c>
      <c r="K408" s="9" t="n">
        <v>0.28</v>
      </c>
    </row>
    <row r="409" ht="15" customFormat="1" customHeight="1" s="5">
      <c r="A409" s="81" t="n">
        <v>45983</v>
      </c>
      <c r="B409" s="78" t="n">
        <v>0.7395833333333334</v>
      </c>
      <c r="C409" s="5" t="inlineStr">
        <is>
          <t xml:space="preserve">King Sooper's </t>
        </is>
      </c>
      <c r="D409" s="5" t="n">
        <v>1</v>
      </c>
      <c r="F409" s="6" t="inlineStr">
        <is>
          <t>DoorDash_08</t>
        </is>
      </c>
      <c r="G409" s="15" t="n"/>
      <c r="H409" s="9" t="inlineStr">
        <is>
          <t>Tax</t>
        </is>
      </c>
      <c r="I409" s="9" t="n">
        <v>10</v>
      </c>
      <c r="J409" s="9" t="inlineStr">
        <is>
          <t>cnt</t>
        </is>
      </c>
      <c r="K409" s="9" t="n">
        <v>0.32</v>
      </c>
    </row>
    <row r="410" ht="15" customFormat="1" customHeight="1" s="5">
      <c r="A410" s="81" t="n">
        <v>45983</v>
      </c>
      <c r="B410" s="78" t="n">
        <v>0.7395833333333334</v>
      </c>
      <c r="C410" s="5" t="inlineStr">
        <is>
          <t xml:space="preserve">King Sooper's </t>
        </is>
      </c>
      <c r="D410" s="5" t="n">
        <v>1</v>
      </c>
      <c r="F410" s="6" t="inlineStr">
        <is>
          <t>DoorDash_08</t>
        </is>
      </c>
      <c r="G410" s="15" t="n"/>
      <c r="H410" s="9" t="inlineStr">
        <is>
          <t>**DISCOUNT** Doordash PROMO 50% off up to $60</t>
        </is>
      </c>
      <c r="I410" s="9" t="n">
        <v>1</v>
      </c>
      <c r="J410" s="9" t="inlineStr">
        <is>
          <t>cnt</t>
        </is>
      </c>
      <c r="K410" s="9" t="n">
        <v>-29</v>
      </c>
    </row>
    <row r="411" ht="15" customFormat="1" customHeight="1" s="5">
      <c r="A411" s="81" t="n">
        <v>45983</v>
      </c>
      <c r="B411" s="78" t="n">
        <v>0.7395833333333334</v>
      </c>
      <c r="C411" s="5" t="inlineStr">
        <is>
          <t xml:space="preserve">King Sooper's </t>
        </is>
      </c>
      <c r="D411" s="5" t="n">
        <v>1</v>
      </c>
      <c r="F411" s="6" t="inlineStr">
        <is>
          <t>DoorDash_08</t>
        </is>
      </c>
      <c r="G411" s="15" t="n"/>
      <c r="H411" s="9" t="inlineStr">
        <is>
          <t>**DISCOUNT** DoorDash messed up the 11/21 MtFuji order</t>
        </is>
      </c>
      <c r="I411" s="9" t="n">
        <v>1</v>
      </c>
      <c r="J411" s="9" t="inlineStr">
        <is>
          <t>cnt</t>
        </is>
      </c>
      <c r="K411" s="9" t="n">
        <v>-8.75</v>
      </c>
    </row>
    <row r="412" ht="15" customFormat="1" customHeight="1" s="5">
      <c r="A412" s="81" t="n">
        <v>45983</v>
      </c>
      <c r="B412" s="78" t="n">
        <v>0.6819444444444445</v>
      </c>
      <c r="C412" s="5" t="inlineStr">
        <is>
          <t>DoorDash</t>
        </is>
      </c>
      <c r="D412" s="5" t="n">
        <v>1</v>
      </c>
      <c r="F412" s="6" t="inlineStr">
        <is>
          <t xml:space="preserve">	459de862-d61a-4587-9058-b5d6893312dc_0_6bed2cef-1e92-443a-86c3-4b23bd49b6ed</t>
        </is>
      </c>
      <c r="G412" s="15" t="n"/>
      <c r="H412" s="9" t="inlineStr">
        <is>
          <t>Incorrect! Charge for DashPass</t>
        </is>
      </c>
      <c r="K412" s="5" t="n">
        <v>9.99</v>
      </c>
    </row>
    <row r="413" ht="15" customFormat="1" customHeight="1" s="5">
      <c r="A413" s="81" t="n">
        <v>45983</v>
      </c>
      <c r="B413" s="82" t="n">
        <v>0.646875</v>
      </c>
      <c r="C413" s="5" t="inlineStr">
        <is>
          <t>Gates Tennis Center</t>
        </is>
      </c>
      <c r="E413" s="5" t="n">
        <v>1</v>
      </c>
      <c r="F413" s="6" t="inlineStr">
        <is>
          <t>924068</t>
        </is>
      </c>
      <c r="G413" s="10" t="n"/>
      <c r="H413" s="9" t="inlineStr">
        <is>
          <t>Pickleball 3:30-4:30p, brought both kids</t>
        </is>
      </c>
      <c r="I413" s="9" t="n">
        <v>1</v>
      </c>
      <c r="J413" s="9" t="inlineStr">
        <is>
          <t>cnt</t>
        </is>
      </c>
      <c r="K413" s="9" t="n">
        <v>7</v>
      </c>
    </row>
    <row r="414" ht="15" customFormat="1" customHeight="1" s="5">
      <c r="A414" s="81" t="n">
        <v>45983</v>
      </c>
      <c r="B414" s="78" t="n">
        <v>0.1729166666666667</v>
      </c>
      <c r="C414" s="5" t="inlineStr">
        <is>
          <t>Amazon</t>
        </is>
      </c>
      <c r="D414" s="5" t="n">
        <v>1</v>
      </c>
      <c r="F414" s="6" t="inlineStr">
        <is>
          <t>111-4852546-6097861</t>
        </is>
      </c>
      <c r="G414" s="15" t="n"/>
      <c r="H414" s="9" t="inlineStr">
        <is>
          <t>**RETURN** Ecavus 3-Pack Long Sleeve Breastfeeding Shirts with Hidden Zippers Comfort and Soft Nursing Shirts for Women</t>
        </is>
      </c>
      <c r="I414" s="9" t="n">
        <v>3</v>
      </c>
      <c r="J414" s="9" t="inlineStr">
        <is>
          <t>cnt</t>
        </is>
      </c>
      <c r="K414" s="9" t="n">
        <v>-27.69</v>
      </c>
    </row>
    <row r="415" ht="15" customFormat="1" customHeight="1" s="5">
      <c r="A415" s="81" t="n">
        <v>45983</v>
      </c>
      <c r="B415" s="78" t="n">
        <v>0.1611111111111111</v>
      </c>
      <c r="C415" s="5" t="inlineStr">
        <is>
          <t>Amazon</t>
        </is>
      </c>
      <c r="D415" s="5" t="n">
        <v>1</v>
      </c>
      <c r="F415" s="6" t="inlineStr">
        <is>
          <t>111-4852546-6097861</t>
        </is>
      </c>
      <c r="G415" s="15" t="n"/>
      <c r="H415" s="9" t="inlineStr">
        <is>
          <t>**RETURN** Smallshow Women's Fleece Nursing Tops Shirts Long Sleeve Breastfeeding Clothes Medium Light Grey</t>
        </is>
      </c>
      <c r="I415" s="9" t="n">
        <v>1</v>
      </c>
      <c r="J415" s="9" t="inlineStr">
        <is>
          <t>cnt</t>
        </is>
      </c>
      <c r="K415" s="9" t="n">
        <v>-27.89</v>
      </c>
    </row>
    <row r="416" ht="15" customFormat="1" customHeight="1" s="5">
      <c r="A416" s="81" t="n">
        <v>45982</v>
      </c>
      <c r="B416" s="78" t="n">
        <v>0.8472222222222222</v>
      </c>
      <c r="C416" s="5" t="inlineStr">
        <is>
          <t>Mt. Fuji Hibachi and Sushi</t>
        </is>
      </c>
      <c r="D416" s="5" t="n">
        <v>1</v>
      </c>
      <c r="F416" s="6" t="inlineStr">
        <is>
          <t>DoorDash_07</t>
        </is>
      </c>
      <c r="G416" s="15" t="n"/>
      <c r="H416" s="9" t="inlineStr">
        <is>
          <t>Salmon Lover Roll</t>
        </is>
      </c>
      <c r="I416" s="9" t="n">
        <v>1</v>
      </c>
      <c r="J416" s="9" t="inlineStr">
        <is>
          <t>cnt</t>
        </is>
      </c>
      <c r="K416" s="9" t="n">
        <v>22.5</v>
      </c>
    </row>
    <row r="417" ht="15" customFormat="1" customHeight="1" s="5">
      <c r="A417" s="81" t="n">
        <v>45982</v>
      </c>
      <c r="B417" s="78" t="n">
        <v>0.8472222222222222</v>
      </c>
      <c r="C417" s="5" t="inlineStr">
        <is>
          <t>Mt. Fuji Hibachi and Sushi</t>
        </is>
      </c>
      <c r="D417" s="5" t="n">
        <v>1</v>
      </c>
      <c r="F417" s="6" t="inlineStr">
        <is>
          <t>DoorDash_07</t>
        </is>
      </c>
      <c r="G417" s="15" t="n"/>
      <c r="H417" s="9" t="inlineStr">
        <is>
          <t>Alaska Roll</t>
        </is>
      </c>
      <c r="I417" s="9" t="n">
        <v>1</v>
      </c>
      <c r="J417" s="9" t="inlineStr">
        <is>
          <t>cnt</t>
        </is>
      </c>
      <c r="K417" s="9" t="n">
        <v>7.5</v>
      </c>
    </row>
    <row r="418" ht="15" customFormat="1" customHeight="1" s="5">
      <c r="A418" s="81" t="n">
        <v>45982</v>
      </c>
      <c r="B418" s="78" t="n">
        <v>0.8472222222222222</v>
      </c>
      <c r="C418" s="5" t="inlineStr">
        <is>
          <t>Mt. Fuji Hibachi and Sushi</t>
        </is>
      </c>
      <c r="D418" s="5" t="n">
        <v>1</v>
      </c>
      <c r="F418" s="6" t="inlineStr">
        <is>
          <t>DoorDash_07</t>
        </is>
      </c>
      <c r="G418" s="10" t="inlineStr">
        <is>
          <t>S06</t>
        </is>
      </c>
      <c r="H418" s="9" t="inlineStr">
        <is>
          <t>I Love Eel Roll</t>
        </is>
      </c>
      <c r="I418" s="9" t="n">
        <v>1</v>
      </c>
      <c r="J418" s="9" t="inlineStr">
        <is>
          <t>cnt</t>
        </is>
      </c>
      <c r="K418" s="9" t="n">
        <v>13.5</v>
      </c>
    </row>
    <row r="419" ht="15" customFormat="1" customHeight="1" s="5">
      <c r="A419" s="81" t="n">
        <v>45982</v>
      </c>
      <c r="B419" s="78" t="n">
        <v>0.8472222222222222</v>
      </c>
      <c r="C419" s="5" t="inlineStr">
        <is>
          <t>Mt. Fuji Hibachi and Sushi</t>
        </is>
      </c>
      <c r="D419" s="5" t="n">
        <v>1</v>
      </c>
      <c r="F419" s="6" t="inlineStr">
        <is>
          <t>DoorDash_07</t>
        </is>
      </c>
      <c r="G419" s="10" t="inlineStr">
        <is>
          <t>S01</t>
        </is>
      </c>
      <c r="H419" s="9" t="inlineStr">
        <is>
          <t>I Love Eel Roll</t>
        </is>
      </c>
      <c r="I419" s="9" t="n">
        <v>1</v>
      </c>
      <c r="J419" s="9" t="inlineStr">
        <is>
          <t>cnt</t>
        </is>
      </c>
      <c r="K419" s="9" t="n">
        <v>13.5</v>
      </c>
    </row>
    <row r="420" ht="15" customFormat="1" customHeight="1" s="5">
      <c r="A420" s="81" t="n">
        <v>45982</v>
      </c>
      <c r="B420" s="78" t="n">
        <v>0.8472222222222222</v>
      </c>
      <c r="C420" s="5" t="inlineStr">
        <is>
          <t>Mt. Fuji Hibachi and Sushi</t>
        </is>
      </c>
      <c r="D420" s="5" t="n">
        <v>1</v>
      </c>
      <c r="F420" s="6" t="inlineStr">
        <is>
          <t>DoorDash_07</t>
        </is>
      </c>
      <c r="G420" s="15" t="n"/>
      <c r="H420" s="9" t="inlineStr">
        <is>
          <t>Tax</t>
        </is>
      </c>
      <c r="I420" s="9" t="n">
        <v>4</v>
      </c>
      <c r="J420" s="9" t="inlineStr">
        <is>
          <t>cnt</t>
        </is>
      </c>
      <c r="K420" s="9" t="n">
        <v>3.36</v>
      </c>
    </row>
    <row r="421" ht="15" customFormat="1" customHeight="1" s="5">
      <c r="A421" s="81" t="n">
        <v>45982</v>
      </c>
      <c r="B421" s="78" t="n">
        <v>0.8472222222222222</v>
      </c>
      <c r="C421" s="5" t="inlineStr">
        <is>
          <t>Mt. Fuji Hibachi and Sushi</t>
        </is>
      </c>
      <c r="D421" s="5" t="n">
        <v>1</v>
      </c>
      <c r="F421" s="6" t="inlineStr">
        <is>
          <t>DoorDash_07</t>
        </is>
      </c>
      <c r="G421" s="15" t="n"/>
      <c r="H421" s="9" t="inlineStr">
        <is>
          <t>**DISCOUNT** Doordash</t>
        </is>
      </c>
      <c r="I421" s="9" t="n">
        <v>1</v>
      </c>
      <c r="J421" s="9" t="inlineStr">
        <is>
          <t>cnt</t>
        </is>
      </c>
      <c r="K421" s="9" t="n">
        <v>-15</v>
      </c>
    </row>
    <row r="422" ht="15" customFormat="1" customHeight="1" s="5">
      <c r="A422" s="81" t="n">
        <v>45982</v>
      </c>
      <c r="B422" s="78" t="n">
        <v>0.8472222222222222</v>
      </c>
      <c r="C422" s="5" t="inlineStr">
        <is>
          <t>Mt. Fuji Hibachi and Sushi</t>
        </is>
      </c>
      <c r="D422" s="5" t="n">
        <v>1</v>
      </c>
      <c r="F422" s="6" t="inlineStr">
        <is>
          <t>DoorDash_07</t>
        </is>
      </c>
      <c r="G422" s="15" t="n"/>
      <c r="H422" s="9" t="inlineStr">
        <is>
          <t>DoorDash Gift Card (Jane $100, Jenny $100, Elise $50, Dana $50, Brenna $50)</t>
        </is>
      </c>
      <c r="I422" s="9" t="n">
        <v>1</v>
      </c>
      <c r="J422" s="9" t="inlineStr">
        <is>
          <t>cnt</t>
        </is>
      </c>
      <c r="K422" s="9" t="n">
        <v>-31.63</v>
      </c>
    </row>
    <row r="423" ht="15" customFormat="1" customHeight="1" s="5">
      <c r="A423" s="81" t="n">
        <v>45982</v>
      </c>
      <c r="B423" s="78" t="n">
        <v>0.6409722222222223</v>
      </c>
      <c r="C423" s="5" t="inlineStr">
        <is>
          <t>Costco</t>
        </is>
      </c>
      <c r="E423" s="5" t="n">
        <v>1</v>
      </c>
      <c r="F423" s="6" t="inlineStr">
        <is>
          <t>439 208 211 708</t>
        </is>
      </c>
      <c r="G423" s="15" t="n"/>
      <c r="H423" s="9" t="inlineStr">
        <is>
          <t>Duo Gourmet Creamer Potato, 5 lbs</t>
        </is>
      </c>
      <c r="I423" s="9" t="n">
        <v>5</v>
      </c>
      <c r="J423" s="9" t="inlineStr">
        <is>
          <t>lb</t>
        </is>
      </c>
      <c r="K423" s="9" t="n">
        <v>5.99</v>
      </c>
    </row>
    <row r="424" ht="15" customFormat="1" customHeight="1" s="5">
      <c r="A424" s="81" t="n">
        <v>45982</v>
      </c>
      <c r="B424" s="78" t="n">
        <v>0.6409722222222223</v>
      </c>
      <c r="C424" s="5" t="inlineStr">
        <is>
          <t>Costco</t>
        </is>
      </c>
      <c r="E424" s="5" t="n">
        <v>1</v>
      </c>
      <c r="F424" s="6" t="inlineStr">
        <is>
          <t>439 208 211 708</t>
        </is>
      </c>
      <c r="G424" s="15" t="n"/>
      <c r="H424" s="9" t="inlineStr">
        <is>
          <t>Organic Spinach Box</t>
        </is>
      </c>
      <c r="I424" s="9" t="n">
        <v>16</v>
      </c>
      <c r="J424" s="9" t="inlineStr">
        <is>
          <t>oz</t>
        </is>
      </c>
      <c r="K424" s="9" t="n">
        <v>3.89</v>
      </c>
    </row>
    <row r="425" ht="15" customFormat="1" customHeight="1" s="5">
      <c r="A425" s="81" t="n">
        <v>45982</v>
      </c>
      <c r="B425" s="78" t="n">
        <v>0.6409722222222223</v>
      </c>
      <c r="C425" s="5" t="inlineStr">
        <is>
          <t>Costco</t>
        </is>
      </c>
      <c r="E425" s="5" t="n">
        <v>1</v>
      </c>
      <c r="F425" s="6" t="inlineStr">
        <is>
          <t>439 208 211 708</t>
        </is>
      </c>
      <c r="G425" s="15" t="n"/>
      <c r="H425" s="9" t="inlineStr">
        <is>
          <t>DURAFLAME Duraflame 4-Hour Firelogs Value Pack, 9-count</t>
        </is>
      </c>
      <c r="I425" s="9" t="n">
        <v>9</v>
      </c>
      <c r="J425" s="9" t="inlineStr">
        <is>
          <t>cnt</t>
        </is>
      </c>
      <c r="K425" s="9" t="n">
        <v>32.99</v>
      </c>
    </row>
    <row r="426" ht="15" customFormat="1" customHeight="1" s="5">
      <c r="A426" s="81" t="n">
        <v>45982</v>
      </c>
      <c r="B426" s="78" t="n">
        <v>0.6409722222222223</v>
      </c>
      <c r="C426" s="5" t="inlineStr">
        <is>
          <t>Costco</t>
        </is>
      </c>
      <c r="E426" s="5" t="n">
        <v>1</v>
      </c>
      <c r="F426" s="6" t="inlineStr">
        <is>
          <t>439 208 211 708</t>
        </is>
      </c>
      <c r="G426" s="15" t="n"/>
      <c r="H426" s="9" t="inlineStr">
        <is>
          <t>Tax</t>
        </is>
      </c>
      <c r="I426" s="9" t="n">
        <v>3</v>
      </c>
      <c r="J426" s="9" t="inlineStr">
        <is>
          <t>cnt</t>
        </is>
      </c>
      <c r="K426" s="9" t="n">
        <v>0</v>
      </c>
    </row>
    <row r="427" ht="15" customFormat="1" customHeight="1" s="5">
      <c r="A427" s="81" t="n">
        <v>45982</v>
      </c>
      <c r="B427" s="78" t="n">
        <v>0.45</v>
      </c>
      <c r="C427" s="5" t="inlineStr">
        <is>
          <t>Rev'It</t>
        </is>
      </c>
      <c r="D427" s="5" t="n">
        <v>1</v>
      </c>
      <c r="F427" s="6" t="inlineStr">
        <is>
          <t>REV11888</t>
        </is>
      </c>
      <c r="G427" s="15" t="n"/>
      <c r="H427" s="58" t="inlineStr">
        <is>
          <t>Jacket Argon 2 / Black-White / 48 / standard</t>
        </is>
      </c>
      <c r="I427" s="9" t="n"/>
      <c r="J427" s="9" t="n"/>
      <c r="K427" s="9" t="n">
        <v>349.99</v>
      </c>
    </row>
    <row r="428" ht="15" customFormat="1" customHeight="1" s="5">
      <c r="A428" s="83" t="n">
        <v>45982</v>
      </c>
      <c r="B428" s="78" t="n">
        <v>0.45</v>
      </c>
      <c r="C428" s="5" t="inlineStr">
        <is>
          <t>Rev'It</t>
        </is>
      </c>
      <c r="D428" s="5" t="n">
        <v>1</v>
      </c>
      <c r="F428" s="6" t="inlineStr">
        <is>
          <t>REV11888</t>
        </is>
      </c>
      <c r="G428" s="15" t="n"/>
      <c r="H428" s="9" t="inlineStr">
        <is>
          <t>Sales Tax</t>
        </is>
      </c>
      <c r="I428" s="9" t="n"/>
      <c r="J428" s="9" t="n"/>
      <c r="K428" s="9" t="n">
        <v>28.27</v>
      </c>
    </row>
    <row r="429" ht="15" customFormat="1" customHeight="1" s="5">
      <c r="A429" s="83" t="n">
        <v>45981</v>
      </c>
      <c r="B429" s="82" t="n">
        <v>0.3965277777777778</v>
      </c>
      <c r="C429" s="5" t="inlineStr">
        <is>
          <t>Trader Joe's</t>
        </is>
      </c>
      <c r="E429" s="5" t="n">
        <v>1</v>
      </c>
      <c r="F429" s="6" t="inlineStr">
        <is>
          <t>38324</t>
        </is>
      </c>
      <c r="G429" s="10" t="n"/>
      <c r="H429" s="9" t="inlineStr">
        <is>
          <t>Contemplates Inner Peas Snack</t>
        </is>
      </c>
      <c r="I429" s="9" t="n">
        <v>1</v>
      </c>
      <c r="J429" s="9" t="inlineStr">
        <is>
          <t>cnt</t>
        </is>
      </c>
      <c r="K429" s="9" t="n">
        <v>1.99</v>
      </c>
    </row>
    <row r="430" ht="15" customFormat="1" customHeight="1" s="5">
      <c r="A430" s="81" t="n">
        <v>45981</v>
      </c>
      <c r="B430" s="82" t="n">
        <v>0.3965277777777778</v>
      </c>
      <c r="C430" s="5" t="inlineStr">
        <is>
          <t>Trader Joe's</t>
        </is>
      </c>
      <c r="E430" s="5" t="n">
        <v>1</v>
      </c>
      <c r="F430" s="6" t="inlineStr">
        <is>
          <t>38324</t>
        </is>
      </c>
      <c r="G430" s="10" t="n"/>
      <c r="H430" s="9" t="inlineStr">
        <is>
          <t>Cucumbers Hothouse Each</t>
        </is>
      </c>
      <c r="I430" s="9" t="n">
        <v>1</v>
      </c>
      <c r="J430" s="9" t="inlineStr">
        <is>
          <t>cnt</t>
        </is>
      </c>
      <c r="K430" s="9" t="n">
        <v>1.69</v>
      </c>
    </row>
    <row r="431" ht="15" customFormat="1" customHeight="1" s="5">
      <c r="A431" s="81" t="n">
        <v>45981</v>
      </c>
      <c r="B431" s="82" t="n">
        <v>0.3965277777777778</v>
      </c>
      <c r="C431" s="5" t="inlineStr">
        <is>
          <t>Trader Joe's</t>
        </is>
      </c>
      <c r="E431" s="5" t="n">
        <v>1</v>
      </c>
      <c r="F431" s="6" t="inlineStr">
        <is>
          <t>38324</t>
        </is>
      </c>
      <c r="G431" s="10" t="n"/>
      <c r="H431" s="9" t="inlineStr">
        <is>
          <t>Cucumbers Hothouse Each</t>
        </is>
      </c>
      <c r="I431" s="9" t="n">
        <v>1</v>
      </c>
      <c r="J431" s="9" t="inlineStr">
        <is>
          <t>cnt</t>
        </is>
      </c>
      <c r="K431" s="9" t="n">
        <v>1.69</v>
      </c>
    </row>
    <row r="432" ht="15" customFormat="1" customHeight="1" s="5">
      <c r="A432" s="81" t="n">
        <v>45981</v>
      </c>
      <c r="B432" s="82" t="n">
        <v>0.3965277777777778</v>
      </c>
      <c r="C432" s="5" t="inlineStr">
        <is>
          <t>Trader Joe's</t>
        </is>
      </c>
      <c r="E432" s="5" t="n">
        <v>1</v>
      </c>
      <c r="F432" s="6" t="inlineStr">
        <is>
          <t>38324</t>
        </is>
      </c>
      <c r="G432" s="10" t="n"/>
      <c r="H432" s="9" t="inlineStr">
        <is>
          <t>Yogurt Greek Plain 5.3 oz TJ Brand</t>
        </is>
      </c>
      <c r="I432" s="9" t="n">
        <v>5.3</v>
      </c>
      <c r="J432" s="9" t="inlineStr">
        <is>
          <t>oz</t>
        </is>
      </c>
      <c r="K432" s="9" t="n">
        <v>0.99</v>
      </c>
    </row>
    <row r="433" ht="15" customFormat="1" customHeight="1" s="5">
      <c r="A433" s="81" t="n">
        <v>45981</v>
      </c>
      <c r="B433" s="82" t="n">
        <v>0.1048611111111111</v>
      </c>
      <c r="C433" s="5" t="inlineStr">
        <is>
          <t>Amazon</t>
        </is>
      </c>
      <c r="D433" s="5" t="n">
        <v>1</v>
      </c>
      <c r="F433" s="6" t="inlineStr">
        <is>
          <t>111-1788321-5321009</t>
        </is>
      </c>
      <c r="G433" s="10" t="n"/>
      <c r="H433" s="9" t="inlineStr">
        <is>
          <t>Toddler Leashes + Anti Lost Wrist Link for Kids, 4 in 1 Kid Harness Backpack Leash for Girls Boys, Reflective Kids Anti Lost Leash Cute Baby Harness Belt Strap Foldable Child Safety Leash for Park/Zoo</t>
        </is>
      </c>
      <c r="I433" s="9" t="n">
        <v>1</v>
      </c>
      <c r="J433" s="9" t="inlineStr">
        <is>
          <t>cnt</t>
        </is>
      </c>
      <c r="K433" s="9" t="n">
        <v>10.39</v>
      </c>
    </row>
    <row r="434" ht="15" customFormat="1" customHeight="1" s="5">
      <c r="A434" s="81" t="n">
        <v>45981</v>
      </c>
      <c r="B434" s="82" t="n">
        <v>0.1048611111111111</v>
      </c>
      <c r="C434" s="5" t="inlineStr">
        <is>
          <t>Amazon</t>
        </is>
      </c>
      <c r="D434" s="5" t="n">
        <v>1</v>
      </c>
      <c r="F434" s="6" t="inlineStr">
        <is>
          <t>111-1788321-5321009</t>
        </is>
      </c>
      <c r="G434" s="10" t="n"/>
      <c r="H434" s="9" t="inlineStr">
        <is>
          <t>Baby Proof Me Potty Training Seat Travel – Foldable Potty Training Seat Cover for Toddlers, Portable, Travel Potty Seat, Folding Toilet Seat for Kids, and Toddler Toilet Seat Cover</t>
        </is>
      </c>
      <c r="I434" s="9" t="n">
        <v>1</v>
      </c>
      <c r="J434" s="9" t="inlineStr">
        <is>
          <t>cnt</t>
        </is>
      </c>
      <c r="K434" s="9" t="n">
        <v>11.95</v>
      </c>
    </row>
    <row r="435" ht="15" customFormat="1" customHeight="1" s="5">
      <c r="A435" s="81" t="n">
        <v>45981</v>
      </c>
      <c r="B435" s="82" t="n">
        <v>0.1048611111111111</v>
      </c>
      <c r="C435" s="5" t="inlineStr">
        <is>
          <t>Amazon</t>
        </is>
      </c>
      <c r="D435" s="5" t="n">
        <v>1</v>
      </c>
      <c r="F435" s="6" t="inlineStr">
        <is>
          <t>111-1788321-5321009</t>
        </is>
      </c>
      <c r="G435" s="10" t="n"/>
      <c r="H435" s="9" t="inlineStr">
        <is>
          <t>DOSKONI Baby Toddlers Non Slip Socks with Grippers Cotton Crew Gift Grips Socks for Kids Boys Girls 6 Pairs Animal B, 1-3 Year Old</t>
        </is>
      </c>
      <c r="I435" s="9" t="n">
        <v>6</v>
      </c>
      <c r="J435" s="9" t="inlineStr">
        <is>
          <t>cnt</t>
        </is>
      </c>
      <c r="K435" s="9" t="n">
        <v>11.89</v>
      </c>
    </row>
    <row r="436" ht="15" customFormat="1" customHeight="1" s="5">
      <c r="A436" s="81" t="n">
        <v>45981</v>
      </c>
      <c r="B436" s="82" t="n">
        <v>0.1048611111111111</v>
      </c>
      <c r="C436" s="5" t="inlineStr">
        <is>
          <t>Amazon</t>
        </is>
      </c>
      <c r="D436" s="5" t="n">
        <v>1</v>
      </c>
      <c r="F436" s="6" t="inlineStr">
        <is>
          <t>111-1788321-5321009</t>
        </is>
      </c>
      <c r="G436" s="10" t="n"/>
      <c r="H436" s="9" t="inlineStr">
        <is>
          <t>Ecavus Women's Maternity Nursing Sweatshirt Hidden Zipper 2025 Long Sleeves Oversize Breastfeeding Pullover Tops with Pockets Blue</t>
        </is>
      </c>
      <c r="I436" s="9" t="n">
        <v>1</v>
      </c>
      <c r="J436" s="9" t="inlineStr">
        <is>
          <t>cnt</t>
        </is>
      </c>
      <c r="K436" s="9" t="n">
        <v>28.99</v>
      </c>
    </row>
    <row r="437" ht="15" customFormat="1" customHeight="1" s="5">
      <c r="A437" s="81" t="n">
        <v>45981</v>
      </c>
      <c r="B437" s="82" t="n">
        <v>0.1048611111111111</v>
      </c>
      <c r="C437" s="5" t="inlineStr">
        <is>
          <t>Amazon</t>
        </is>
      </c>
      <c r="D437" s="5" t="n">
        <v>1</v>
      </c>
      <c r="F437" s="6" t="inlineStr">
        <is>
          <t>111-1788321-5321009</t>
        </is>
      </c>
      <c r="G437" s="10" t="n"/>
      <c r="H437" s="9" t="inlineStr">
        <is>
          <t>Ecavus Women's Maternity Nursing Sweatshirt Hidden Zipper 2025 Long Sleeves Oversize Breastfeeding Pullover Tops with Pockets Pink</t>
        </is>
      </c>
      <c r="I437" s="9" t="n">
        <v>1</v>
      </c>
      <c r="J437" s="9" t="inlineStr">
        <is>
          <t>cnt</t>
        </is>
      </c>
      <c r="K437" s="9" t="n">
        <v>26.99</v>
      </c>
    </row>
    <row r="438" ht="15" customFormat="1" customHeight="1" s="5">
      <c r="A438" s="81" t="n">
        <v>45981</v>
      </c>
      <c r="B438" s="82" t="n">
        <v>0.1048611111111111</v>
      </c>
      <c r="C438" s="5" t="inlineStr">
        <is>
          <t>Amazon</t>
        </is>
      </c>
      <c r="D438" s="5" t="n">
        <v>1</v>
      </c>
      <c r="F438" s="6" t="inlineStr">
        <is>
          <t>111-1788321-5321009</t>
        </is>
      </c>
      <c r="G438" s="10" t="n"/>
      <c r="H438" s="9" t="inlineStr">
        <is>
          <t>**DISCOUNT** Amazon Registry 15% discount</t>
        </is>
      </c>
      <c r="I438" s="9" t="n">
        <v>4</v>
      </c>
      <c r="J438" s="9" t="inlineStr">
        <is>
          <t>cnt</t>
        </is>
      </c>
      <c r="K438" s="9" t="n">
        <v>-7.4</v>
      </c>
    </row>
    <row r="439" ht="15" customFormat="1" customHeight="1" s="5">
      <c r="A439" s="81" t="n">
        <v>45981</v>
      </c>
      <c r="B439" s="82" t="n">
        <v>0.1048611111111111</v>
      </c>
      <c r="C439" s="5" t="inlineStr">
        <is>
          <t>Amazon</t>
        </is>
      </c>
      <c r="D439" s="5" t="n">
        <v>1</v>
      </c>
      <c r="F439" s="6" t="inlineStr">
        <is>
          <t>111-1788321-5321009</t>
        </is>
      </c>
      <c r="G439" s="10" t="n"/>
      <c r="H439" s="9" t="inlineStr">
        <is>
          <t>Sales Tax</t>
        </is>
      </c>
      <c r="I439" s="9" t="n">
        <v>5</v>
      </c>
      <c r="J439" s="9" t="inlineStr">
        <is>
          <t>cnt</t>
        </is>
      </c>
      <c r="K439" s="9" t="n">
        <v>7.22</v>
      </c>
    </row>
    <row r="440" ht="15" customFormat="1" customHeight="1" s="5">
      <c r="A440" s="81" t="n">
        <v>45981</v>
      </c>
      <c r="B440" s="82" t="n">
        <v>0.1048611111111111</v>
      </c>
      <c r="C440" s="5" t="inlineStr">
        <is>
          <t>Amazon</t>
        </is>
      </c>
      <c r="D440" s="5" t="n">
        <v>1</v>
      </c>
      <c r="F440" s="6" t="inlineStr">
        <is>
          <t>111-1788321-5321009</t>
        </is>
      </c>
      <c r="G440" s="10" t="n"/>
      <c r="H440" s="9" t="inlineStr">
        <is>
          <t>**REWARDS POINTS** Amazon</t>
        </is>
      </c>
      <c r="I440" s="9" t="n">
        <v>1</v>
      </c>
      <c r="J440" s="9" t="inlineStr">
        <is>
          <t>cnt</t>
        </is>
      </c>
      <c r="K440" s="9" t="n">
        <v>-6.2</v>
      </c>
    </row>
    <row r="441" ht="15" customFormat="1" customHeight="1" s="5">
      <c r="A441" s="81" t="n">
        <v>45981</v>
      </c>
      <c r="B441" s="82" t="n">
        <v>0.1048611111111111</v>
      </c>
      <c r="C441" s="5" t="inlineStr">
        <is>
          <t>Amazon</t>
        </is>
      </c>
      <c r="D441" s="5" t="n">
        <v>1</v>
      </c>
      <c r="F441" s="6" t="inlineStr">
        <is>
          <t>111-7764185-5953014</t>
        </is>
      </c>
      <c r="G441" s="10" t="n"/>
      <c r="H441" s="9" t="inlineStr">
        <is>
          <t>30 Pack Toilet Seat Covers Disposable, Large Waterproof Potty Covers for Toddlers, Kids, and Adults, Individually Wrapped for Travel, Toddler Potty Training for Public Restroom, Airplane, Trip</t>
        </is>
      </c>
      <c r="I441" s="9" t="n">
        <v>30</v>
      </c>
      <c r="J441" s="9" t="inlineStr">
        <is>
          <t>cnt</t>
        </is>
      </c>
      <c r="K441" s="9" t="n">
        <v>8.99</v>
      </c>
    </row>
    <row r="442" ht="15" customFormat="1" customHeight="1" s="5">
      <c r="A442" s="81" t="n">
        <v>45981</v>
      </c>
      <c r="B442" s="82" t="n">
        <v>0.1048611111111111</v>
      </c>
      <c r="C442" s="5" t="inlineStr">
        <is>
          <t>Amazon</t>
        </is>
      </c>
      <c r="D442" s="5" t="n">
        <v>1</v>
      </c>
      <c r="F442" s="6" t="inlineStr">
        <is>
          <t>111-7764185-5953014</t>
        </is>
      </c>
      <c r="G442" s="10" t="n"/>
      <c r="H442" s="9" t="inlineStr">
        <is>
          <t>Suekaphin 5pack Nursing Bra Maternity Bra Breastfeeding Sleeping/Sleep Bra Pregnancy Women's Seamless Bralette Wirefree,Large,Sort-D</t>
        </is>
      </c>
      <c r="I442" s="9" t="n">
        <v>5</v>
      </c>
      <c r="J442" s="9" t="inlineStr">
        <is>
          <t>cnt</t>
        </is>
      </c>
      <c r="K442" s="9" t="n">
        <v>39.99</v>
      </c>
    </row>
    <row r="443" ht="15" customFormat="1" customHeight="1" s="5">
      <c r="A443" s="81" t="n">
        <v>45981</v>
      </c>
      <c r="B443" s="82" t="n">
        <v>0.1048611111111111</v>
      </c>
      <c r="C443" s="5" t="inlineStr">
        <is>
          <t>Amazon</t>
        </is>
      </c>
      <c r="D443" s="5" t="n">
        <v>1</v>
      </c>
      <c r="F443" s="6" t="inlineStr">
        <is>
          <t>111-7764185-5953014</t>
        </is>
      </c>
      <c r="G443" s="10" t="n"/>
      <c r="H443" s="9" t="inlineStr">
        <is>
          <t>Upgraded Disposable Toilet Seat Covers (20 Pack) - Waterproof, Cute Panda Print, Travel-Friendly Individual Packs, Suitable for Kids &amp; Adults, Perfect for Toddlers’ Potty Training in Public Restrooms</t>
        </is>
      </c>
      <c r="I443" s="9" t="n">
        <v>20</v>
      </c>
      <c r="J443" s="9" t="inlineStr">
        <is>
          <t>cnt</t>
        </is>
      </c>
      <c r="K443" s="9" t="n">
        <v>4.99</v>
      </c>
    </row>
    <row r="444" ht="15" customFormat="1" customHeight="1" s="5">
      <c r="A444" s="81" t="n">
        <v>45981</v>
      </c>
      <c r="B444" s="82" t="n">
        <v>0.1048611111111111</v>
      </c>
      <c r="C444" s="5" t="inlineStr">
        <is>
          <t>Amazon</t>
        </is>
      </c>
      <c r="D444" s="5" t="n">
        <v>1</v>
      </c>
      <c r="F444" s="6" t="inlineStr">
        <is>
          <t>111-7764185-5953014</t>
        </is>
      </c>
      <c r="G444" s="10" t="n"/>
      <c r="H444" s="9" t="inlineStr">
        <is>
          <t>**DISCOUNT** Amazon Registry 15% discount</t>
        </is>
      </c>
      <c r="I444" s="9" t="n">
        <v>3</v>
      </c>
      <c r="J444" s="9" t="inlineStr">
        <is>
          <t>cnt</t>
        </is>
      </c>
      <c r="K444" s="9" t="n">
        <v>-2.1</v>
      </c>
    </row>
    <row r="445" ht="15" customFormat="1" customHeight="1" s="5">
      <c r="A445" s="81" t="n">
        <v>45981</v>
      </c>
      <c r="B445" s="82" t="n">
        <v>0.1048611111111111</v>
      </c>
      <c r="C445" s="5" t="inlineStr">
        <is>
          <t>Amazon</t>
        </is>
      </c>
      <c r="D445" s="5" t="n">
        <v>1</v>
      </c>
      <c r="F445" s="6" t="inlineStr">
        <is>
          <t>111-7764185-5953014</t>
        </is>
      </c>
      <c r="G445" s="10" t="n"/>
      <c r="H445" s="9" t="inlineStr">
        <is>
          <t>Sales Tax</t>
        </is>
      </c>
      <c r="I445" s="9" t="n">
        <v>3</v>
      </c>
      <c r="J445" s="9" t="inlineStr">
        <is>
          <t>cnt</t>
        </is>
      </c>
      <c r="K445" s="9" t="n">
        <v>4.32</v>
      </c>
    </row>
    <row r="446" ht="15" customFormat="1" customHeight="1" s="5">
      <c r="A446" s="81" t="n">
        <v>45981</v>
      </c>
      <c r="B446" s="82" t="n">
        <v>0.1048611111111111</v>
      </c>
      <c r="C446" s="5" t="inlineStr">
        <is>
          <t>Amazon</t>
        </is>
      </c>
      <c r="D446" s="5" t="n">
        <v>1</v>
      </c>
      <c r="F446" s="6" t="inlineStr">
        <is>
          <t>111-7764185-5953014</t>
        </is>
      </c>
      <c r="G446" s="10" t="n"/>
      <c r="H446" s="9" t="inlineStr">
        <is>
          <t>Co retail delivery fees</t>
        </is>
      </c>
      <c r="I446" s="9" t="n">
        <v>3</v>
      </c>
      <c r="J446" s="9" t="inlineStr">
        <is>
          <t>cnt</t>
        </is>
      </c>
      <c r="K446" s="9" t="n">
        <v>0.28</v>
      </c>
    </row>
    <row r="447" ht="15" customFormat="1" customHeight="1" s="5">
      <c r="A447" s="81" t="n">
        <v>45980</v>
      </c>
      <c r="B447" s="78" t="n">
        <v>0.6625</v>
      </c>
      <c r="C447" s="5" t="inlineStr">
        <is>
          <t>HCA HealthOne LLC</t>
        </is>
      </c>
      <c r="E447" s="5" t="n">
        <v>1</v>
      </c>
      <c r="F447" s="6" t="inlineStr">
        <is>
          <t>68393278</t>
        </is>
      </c>
      <c r="G447" s="15" t="inlineStr">
        <is>
          <t>2025301DQ7478</t>
        </is>
      </c>
      <c r="H447" s="9" t="inlineStr">
        <is>
          <t>Tovi's Birth: Coinsurance due</t>
        </is>
      </c>
      <c r="I447" s="5" t="n">
        <v>1</v>
      </c>
      <c r="J447" s="5" t="inlineStr">
        <is>
          <t>cnt</t>
        </is>
      </c>
      <c r="K447" s="5" t="n">
        <v>1511.84</v>
      </c>
    </row>
    <row r="448" ht="15" customFormat="1" customHeight="1" s="5">
      <c r="A448" s="81" t="n">
        <v>45980</v>
      </c>
      <c r="B448" s="78" t="n">
        <v>0.5159722222222223</v>
      </c>
      <c r="C448" s="5" t="inlineStr">
        <is>
          <t>Panera Bread</t>
        </is>
      </c>
      <c r="E448" s="5" t="n">
        <v>1</v>
      </c>
      <c r="F448" s="6" t="inlineStr">
        <is>
          <t>#6051716018093443</t>
        </is>
      </c>
      <c r="G448" s="15" t="n"/>
      <c r="H448" s="9" t="inlineStr">
        <is>
          <t>Cranberry Walnut Chicken Salad: focaccia, cucumber, basil, cilantro, roasted corn, zesty sweet peppers + APPLE</t>
        </is>
      </c>
      <c r="K448" s="5" t="n">
        <v>11.99</v>
      </c>
    </row>
    <row r="449" ht="15" customFormat="1" customHeight="1" s="5">
      <c r="A449" s="81" t="n">
        <v>45980</v>
      </c>
      <c r="B449" s="78" t="n">
        <v>0.5159722222222223</v>
      </c>
      <c r="C449" s="5" t="inlineStr">
        <is>
          <t>Panera Bread</t>
        </is>
      </c>
      <c r="E449" s="5" t="n">
        <v>1</v>
      </c>
      <c r="F449" s="6" t="inlineStr">
        <is>
          <t>#6051716018093443</t>
        </is>
      </c>
      <c r="G449" s="15" t="n"/>
      <c r="H449" s="9" t="inlineStr">
        <is>
          <t>Tuna Salad: focaccia, cucumber, basil, extra tomatoes, zesty sweer peppers</t>
        </is>
      </c>
      <c r="K449" s="5" t="n">
        <v>11.49</v>
      </c>
    </row>
    <row r="450" ht="15" customFormat="1" customHeight="1" s="5">
      <c r="A450" s="81" t="n">
        <v>45980</v>
      </c>
      <c r="B450" s="78" t="n">
        <v>0.5159722222222223</v>
      </c>
      <c r="C450" s="5" t="inlineStr">
        <is>
          <t>Panera Bread</t>
        </is>
      </c>
      <c r="E450" s="5" t="n">
        <v>1</v>
      </c>
      <c r="F450" s="6" t="inlineStr">
        <is>
          <t>#6051716018093443</t>
        </is>
      </c>
      <c r="G450" s="15" t="n"/>
      <c r="H450" s="9" t="inlineStr">
        <is>
          <t>Pick 2: Half Balsamic Chicken Greens with Grains (cilantro, extra zesty sweet peppers, red tomatoes, pickled red onions, dressing on the side), Half Chipotle Chicken Avo Melt (caramelized onions, sliced pepperocini, cucumber, arugula, basil) + CHIPS</t>
        </is>
      </c>
      <c r="K450" s="5" t="n">
        <v>17.78</v>
      </c>
    </row>
    <row r="451" ht="15" customFormat="1" customHeight="1" s="5">
      <c r="A451" s="81" t="n">
        <v>45980</v>
      </c>
      <c r="B451" s="78" t="n">
        <v>0.5159722222222223</v>
      </c>
      <c r="C451" s="5" t="inlineStr">
        <is>
          <t>Panera Bread</t>
        </is>
      </c>
      <c r="E451" s="5" t="n">
        <v>1</v>
      </c>
      <c r="F451" s="6" t="inlineStr">
        <is>
          <t>#6051716018093443</t>
        </is>
      </c>
      <c r="G451" s="15" t="n"/>
      <c r="H451" s="9" t="inlineStr">
        <is>
          <t>Tax</t>
        </is>
      </c>
      <c r="K451" s="5" t="n">
        <v>3.3</v>
      </c>
    </row>
    <row r="452" ht="15" customFormat="1" customHeight="1" s="5">
      <c r="A452" s="81" t="n">
        <v>45980</v>
      </c>
      <c r="B452" s="78" t="n">
        <v>0.5159722222222223</v>
      </c>
      <c r="C452" s="5" t="inlineStr">
        <is>
          <t>Panera Bread</t>
        </is>
      </c>
      <c r="E452" s="5" t="n">
        <v>1</v>
      </c>
      <c r="F452" s="6" t="inlineStr">
        <is>
          <t>#6051716018093443</t>
        </is>
      </c>
      <c r="G452" s="15" t="n"/>
      <c r="H452" s="9" t="inlineStr">
        <is>
          <t>GIFT CARD -- RITA STAGG</t>
        </is>
      </c>
      <c r="K452" s="5" t="n">
        <v>-44.56</v>
      </c>
    </row>
    <row r="453" ht="15" customFormat="1" customHeight="1" s="5">
      <c r="A453" s="81" t="n">
        <v>45980</v>
      </c>
      <c r="B453" s="82" t="n">
        <v>0.4756828703703704</v>
      </c>
      <c r="C453" s="5" t="inlineStr">
        <is>
          <t>IKEA</t>
        </is>
      </c>
      <c r="E453" s="5" t="n">
        <v>1</v>
      </c>
      <c r="F453" s="6" t="inlineStr">
        <is>
          <t>552545</t>
        </is>
      </c>
      <c r="G453" s="15" t="inlineStr">
        <is>
          <t>50479353</t>
        </is>
      </c>
      <c r="H453" s="9" t="inlineStr">
        <is>
          <t>Fargklar 6 1/2" biege bowls</t>
        </is>
      </c>
      <c r="I453" s="9" t="n">
        <v>4</v>
      </c>
      <c r="J453" s="9" t="inlineStr">
        <is>
          <t>cnt</t>
        </is>
      </c>
      <c r="K453" s="9" t="n">
        <v>12.99</v>
      </c>
    </row>
    <row r="454" ht="15" customFormat="1" customHeight="1" s="5">
      <c r="A454" s="81" t="n">
        <v>45980</v>
      </c>
      <c r="B454" s="82" t="n">
        <v>0.4756828703703704</v>
      </c>
      <c r="C454" s="5" t="inlineStr">
        <is>
          <t>IKEA</t>
        </is>
      </c>
      <c r="E454" s="5" t="n">
        <v>1</v>
      </c>
      <c r="F454" s="6" t="inlineStr">
        <is>
          <t>552545</t>
        </is>
      </c>
      <c r="G454" s="15" t="inlineStr">
        <is>
          <t>60279711</t>
        </is>
      </c>
      <c r="H454" s="9" t="inlineStr">
        <is>
          <t>IKEA 365+ glasses 15oz -- 6 pack</t>
        </is>
      </c>
      <c r="I454" s="5" t="n">
        <v>6</v>
      </c>
      <c r="J454" s="5" t="inlineStr">
        <is>
          <t>cnt</t>
        </is>
      </c>
      <c r="K454" s="5" t="n">
        <v>12.99</v>
      </c>
    </row>
    <row r="455" ht="15" customFormat="1" customHeight="1" s="5">
      <c r="A455" s="81" t="n">
        <v>45980</v>
      </c>
      <c r="B455" s="82" t="n">
        <v>0.4756828703703704</v>
      </c>
      <c r="C455" s="5" t="inlineStr">
        <is>
          <t>IKEA</t>
        </is>
      </c>
      <c r="E455" s="5" t="n">
        <v>1</v>
      </c>
      <c r="F455" s="6" t="inlineStr">
        <is>
          <t>552545</t>
        </is>
      </c>
      <c r="G455" s="15" t="inlineStr">
        <is>
          <t>50057254</t>
        </is>
      </c>
      <c r="H455" s="9" t="inlineStr">
        <is>
          <t>BLANKA BLANK serving bowl metal</t>
        </is>
      </c>
      <c r="I455" s="9" t="n">
        <v>1</v>
      </c>
      <c r="J455" s="9" t="inlineStr">
        <is>
          <t>cnt</t>
        </is>
      </c>
      <c r="K455" s="9" t="n">
        <v>7.99</v>
      </c>
    </row>
    <row r="456" ht="15" customFormat="1" customHeight="1" s="5">
      <c r="A456" s="81" t="n">
        <v>45980</v>
      </c>
      <c r="B456" s="82" t="n">
        <v>0.4756828703703704</v>
      </c>
      <c r="C456" s="5" t="inlineStr">
        <is>
          <t>IKEA</t>
        </is>
      </c>
      <c r="E456" s="5" t="n">
        <v>1</v>
      </c>
      <c r="F456" s="6" t="inlineStr">
        <is>
          <t>552545</t>
        </is>
      </c>
      <c r="G456" s="15" t="inlineStr">
        <is>
          <t>60329711</t>
        </is>
      </c>
      <c r="H456" s="9" t="inlineStr">
        <is>
          <t xml:space="preserve">BAGGMUCK shoe tray 2 </t>
        </is>
      </c>
      <c r="I456" s="9" t="n">
        <v>1</v>
      </c>
      <c r="J456" s="9" t="inlineStr">
        <is>
          <t>cnt</t>
        </is>
      </c>
      <c r="K456" s="9" t="n">
        <v>4.99</v>
      </c>
    </row>
    <row r="457" ht="15" customFormat="1" customHeight="1" s="5">
      <c r="A457" s="81" t="n">
        <v>45980</v>
      </c>
      <c r="B457" s="82" t="n">
        <v>0.4756828703703704</v>
      </c>
      <c r="C457" s="5" t="inlineStr">
        <is>
          <t>IKEA</t>
        </is>
      </c>
      <c r="E457" s="5" t="n">
        <v>1</v>
      </c>
      <c r="F457" s="6" t="inlineStr">
        <is>
          <t>552545</t>
        </is>
      </c>
      <c r="G457" s="10" t="n"/>
      <c r="H457" s="9" t="inlineStr">
        <is>
          <t xml:space="preserve">Tax </t>
        </is>
      </c>
      <c r="I457" s="9" t="n">
        <v>4</v>
      </c>
      <c r="J457" s="9" t="inlineStr">
        <is>
          <t>cnt</t>
        </is>
      </c>
      <c r="K457" s="9" t="n">
        <v>2.63</v>
      </c>
    </row>
    <row r="458" ht="15" customFormat="1" customHeight="1" s="5">
      <c r="A458" s="81" t="n">
        <v>45980</v>
      </c>
      <c r="B458" s="82" t="n">
        <v>0.2916666666666667</v>
      </c>
      <c r="C458" s="5" t="inlineStr">
        <is>
          <t>Xcel Energy</t>
        </is>
      </c>
      <c r="D458" s="5" t="n">
        <v>1</v>
      </c>
      <c r="F458" s="6" t="inlineStr">
        <is>
          <t>950877258_</t>
        </is>
      </c>
      <c r="G458" s="7" t="inlineStr">
        <is>
          <t>Premise # 301995708</t>
        </is>
      </c>
      <c r="H458" s="9" t="inlineStr">
        <is>
          <t>$25 Statement Credit to be in Smart AC program (see 8/7 12:18p Xcel email: "Xcel Energy - AC Rewards Smart Thermostat Event")</t>
        </is>
      </c>
      <c r="I458" s="9" t="n"/>
      <c r="J458" s="9" t="n"/>
      <c r="K458" s="9" t="n">
        <v>-25</v>
      </c>
    </row>
    <row r="459" ht="15" customFormat="1" customHeight="1" s="5">
      <c r="A459" s="81" t="n">
        <v>45980</v>
      </c>
      <c r="B459" s="82" t="n">
        <v>0.2916666666666667</v>
      </c>
      <c r="C459" s="5" t="inlineStr">
        <is>
          <t>Xcel Energy</t>
        </is>
      </c>
      <c r="D459" s="5" t="n">
        <v>1</v>
      </c>
      <c r="F459" s="6" t="inlineStr">
        <is>
          <t>950877258_</t>
        </is>
      </c>
      <c r="G459" s="10" t="n"/>
      <c r="H459" s="9" t="inlineStr">
        <is>
          <t>Franchise Fee 3.00%</t>
        </is>
      </c>
      <c r="I459" s="9" t="n"/>
      <c r="J459" s="9" t="n"/>
      <c r="K459" s="85">
        <f>1.82+0.68</f>
        <v/>
      </c>
    </row>
    <row r="460" ht="15" customFormat="1" customHeight="1" s="5">
      <c r="A460" s="81" t="n">
        <v>45980</v>
      </c>
      <c r="B460" s="82" t="n">
        <v>0.2916666666666667</v>
      </c>
      <c r="C460" s="5" t="inlineStr">
        <is>
          <t>Xcel Energy</t>
        </is>
      </c>
      <c r="D460" s="5" t="n">
        <v>1</v>
      </c>
      <c r="F460" s="6" t="inlineStr">
        <is>
          <t>950877258_</t>
        </is>
      </c>
      <c r="G460" s="10" t="n"/>
      <c r="H460" s="9" t="inlineStr">
        <is>
          <t>Electricity 09/28/25 - 10/27/25</t>
        </is>
      </c>
      <c r="I460" s="9" t="n">
        <v>347</v>
      </c>
      <c r="J460" s="9" t="inlineStr">
        <is>
          <t>kWh</t>
        </is>
      </c>
      <c r="K460" s="85" t="n">
        <v>60.68</v>
      </c>
    </row>
    <row r="461" ht="15" customFormat="1" customHeight="1" s="5">
      <c r="A461" s="81" t="n">
        <v>45980</v>
      </c>
      <c r="B461" s="82" t="n">
        <v>0.2916666666666667</v>
      </c>
      <c r="C461" s="5" t="inlineStr">
        <is>
          <t>Xcel Energy</t>
        </is>
      </c>
      <c r="D461" s="5" t="n">
        <v>1</v>
      </c>
      <c r="F461" s="6" t="inlineStr">
        <is>
          <t>950877258_</t>
        </is>
      </c>
      <c r="G461" s="10" t="n"/>
      <c r="H461" s="9" t="inlineStr">
        <is>
          <t>Natural Gas 09/29/25 - 10/29/25</t>
        </is>
      </c>
      <c r="I461" s="9" t="n">
        <v>12</v>
      </c>
      <c r="J461" s="9" t="inlineStr">
        <is>
          <t>therms</t>
        </is>
      </c>
      <c r="K461" s="85" t="n">
        <v>22.63</v>
      </c>
    </row>
    <row r="462" ht="15" customFormat="1" customHeight="1" s="5">
      <c r="A462" s="81" t="n">
        <v>45980</v>
      </c>
      <c r="B462" s="82" t="n">
        <v>0.2916666666666667</v>
      </c>
      <c r="C462" s="5" t="inlineStr">
        <is>
          <t>Xcel Energy</t>
        </is>
      </c>
      <c r="D462" s="5" t="n">
        <v>1</v>
      </c>
      <c r="F462" s="6" t="inlineStr">
        <is>
          <t>950877258_</t>
        </is>
      </c>
      <c r="G462" s="10" t="n"/>
      <c r="H462" s="9" t="inlineStr">
        <is>
          <t>Sales Tax</t>
        </is>
      </c>
      <c r="I462" s="9" t="n"/>
      <c r="J462" s="9" t="n"/>
      <c r="K462" s="85">
        <f>2.34+0.87</f>
        <v/>
      </c>
    </row>
    <row r="463" ht="15" customFormat="1" customHeight="1" s="5">
      <c r="A463" s="81" t="n">
        <v>45980</v>
      </c>
      <c r="B463" s="82" t="n">
        <v>0.2916666666666667</v>
      </c>
      <c r="C463" s="5" t="inlineStr">
        <is>
          <t>Xcel Energy</t>
        </is>
      </c>
      <c r="D463" s="5" t="n">
        <v>1</v>
      </c>
      <c r="F463" s="6" t="inlineStr">
        <is>
          <t>950877258_</t>
        </is>
      </c>
      <c r="G463" s="10" t="n"/>
      <c r="H463" s="9" t="inlineStr">
        <is>
          <t>"NON-RECURRING CHARGES: SALES TAX" REFUND</t>
        </is>
      </c>
      <c r="I463" s="9" t="n">
        <v>1</v>
      </c>
      <c r="J463" s="9" t="inlineStr">
        <is>
          <t>cnt</t>
        </is>
      </c>
      <c r="K463" s="85" t="n">
        <v>-0.9399999999999999</v>
      </c>
    </row>
    <row r="464" ht="15" customFormat="1" customHeight="1" s="5">
      <c r="A464" s="81" t="n">
        <v>45980</v>
      </c>
      <c r="B464" s="78" t="n"/>
      <c r="C464" s="5" t="inlineStr">
        <is>
          <t>Aurora Water</t>
        </is>
      </c>
      <c r="D464" s="5" t="n">
        <v>1</v>
      </c>
      <c r="F464" s="6" t="inlineStr">
        <is>
          <t>0003578384_4621084012</t>
        </is>
      </c>
      <c r="G464" s="15" t="n"/>
      <c r="H464" s="9" t="inlineStr">
        <is>
          <t>First 5K GAL @$5.63/KGal</t>
        </is>
      </c>
      <c r="I464" s="5" t="n">
        <v>4</v>
      </c>
      <c r="J464" s="9" t="inlineStr">
        <is>
          <t>kGal</t>
        </is>
      </c>
      <c r="K464" s="85" t="n">
        <v>22.52</v>
      </c>
    </row>
    <row r="465" ht="15" customFormat="1" customHeight="1" s="5">
      <c r="A465" s="81" t="n">
        <v>45980</v>
      </c>
      <c r="B465" s="78" t="n"/>
      <c r="C465" s="5" t="inlineStr">
        <is>
          <t>Aurora Water</t>
        </is>
      </c>
      <c r="D465" s="5" t="n">
        <v>1</v>
      </c>
      <c r="F465" s="6" t="inlineStr">
        <is>
          <t>0003578384_4621084012</t>
        </is>
      </c>
      <c r="G465" s="15" t="n"/>
      <c r="H465" s="9" t="inlineStr">
        <is>
          <t>Sewer Usage Chg @$5.06/Kgal</t>
        </is>
      </c>
      <c r="I465" s="5" t="n">
        <v>3.33</v>
      </c>
      <c r="J465" s="9" t="inlineStr">
        <is>
          <t>kGal</t>
        </is>
      </c>
      <c r="K465" s="85" t="n">
        <v>16.85</v>
      </c>
    </row>
    <row r="466" ht="15" customFormat="1" customHeight="1" s="5">
      <c r="A466" s="81" t="n">
        <v>45980</v>
      </c>
      <c r="B466" s="78" t="n"/>
      <c r="C466" s="5" t="inlineStr">
        <is>
          <t>Aurora Water</t>
        </is>
      </c>
      <c r="D466" s="5" t="n">
        <v>1</v>
      </c>
      <c r="F466" s="6" t="inlineStr">
        <is>
          <t>0003578384_4621084012</t>
        </is>
      </c>
      <c r="G466" s="15" t="n"/>
      <c r="H466" s="9" t="inlineStr">
        <is>
          <t>Water Monthly Svc Chg 8/26-9/25</t>
        </is>
      </c>
      <c r="K466" s="85" t="n">
        <v>14.94</v>
      </c>
    </row>
    <row r="467" ht="15" customFormat="1" customHeight="1" s="5">
      <c r="A467" s="81" t="n">
        <v>45980</v>
      </c>
      <c r="B467" s="78" t="n"/>
      <c r="C467" s="5" t="inlineStr">
        <is>
          <t>Aurora Water</t>
        </is>
      </c>
      <c r="D467" s="5" t="n">
        <v>1</v>
      </c>
      <c r="F467" s="6" t="inlineStr">
        <is>
          <t>0003578384_4621084012</t>
        </is>
      </c>
      <c r="G467" s="15" t="n"/>
      <c r="H467" s="9" t="inlineStr">
        <is>
          <t>Storm Drain Base</t>
        </is>
      </c>
      <c r="K467" s="85" t="n">
        <v>11.6</v>
      </c>
    </row>
    <row r="468" ht="15" customFormat="1" customHeight="1" s="5">
      <c r="A468" s="81" t="n">
        <v>45980</v>
      </c>
      <c r="B468" s="78" t="n"/>
      <c r="C468" s="5" t="inlineStr">
        <is>
          <t>Aurora Water</t>
        </is>
      </c>
      <c r="D468" s="5" t="n">
        <v>1</v>
      </c>
      <c r="F468" s="6" t="inlineStr">
        <is>
          <t>0003578384_4621084012</t>
        </is>
      </c>
      <c r="G468" s="15" t="n"/>
      <c r="H468" s="9" t="inlineStr">
        <is>
          <t>Sewer Monthly Svc Chg</t>
        </is>
      </c>
      <c r="K468" s="85" t="n">
        <v>5.51</v>
      </c>
    </row>
    <row r="469" ht="15" customFormat="1" customHeight="1" s="5">
      <c r="A469" s="81" t="n">
        <v>45979</v>
      </c>
      <c r="B469" s="78" t="n">
        <v>0.6222222222222222</v>
      </c>
      <c r="C469" s="5" t="inlineStr">
        <is>
          <t>Costco</t>
        </is>
      </c>
      <c r="E469" s="5" t="n">
        <v>1</v>
      </c>
      <c r="F469" s="6" t="inlineStr">
        <is>
          <t>85335</t>
        </is>
      </c>
      <c r="G469" s="15" t="n"/>
      <c r="H469" s="9" t="inlineStr">
        <is>
          <t>Subaru Gas 8.004 Gallons @ $2.299/gal</t>
        </is>
      </c>
      <c r="I469" s="5" t="n">
        <v>8.004</v>
      </c>
      <c r="J469" s="5" t="inlineStr">
        <is>
          <t>Gal</t>
        </is>
      </c>
      <c r="K469" s="5" t="n">
        <v>18.4</v>
      </c>
    </row>
    <row r="470" ht="15" customFormat="1" customHeight="1" s="5">
      <c r="A470" s="81" t="n">
        <v>45978</v>
      </c>
      <c r="B470" s="78" t="n">
        <v>0.7951388888888888</v>
      </c>
      <c r="C470" s="5" t="inlineStr">
        <is>
          <t>CollegeInvest</t>
        </is>
      </c>
      <c r="D470" s="5" t="n">
        <v>1</v>
      </c>
      <c r="F470" s="6" t="n"/>
      <c r="G470" s="15" t="n"/>
      <c r="H470" s="9" t="inlineStr">
        <is>
          <t>First matchable contribution to Tovi's 529 (match will appear in 2026)</t>
        </is>
      </c>
      <c r="I470" s="9" t="n"/>
      <c r="J470" s="9" t="n"/>
      <c r="K470" s="9" t="n">
        <v>500</v>
      </c>
    </row>
    <row r="471" ht="15" customFormat="1" customHeight="1" s="5">
      <c r="A471" s="81" t="n">
        <v>45978</v>
      </c>
      <c r="B471" s="78" t="n">
        <v>0.7916666666666666</v>
      </c>
      <c r="C471" s="5" t="inlineStr">
        <is>
          <t>In Person</t>
        </is>
      </c>
      <c r="E471" s="5" t="n">
        <v>1</v>
      </c>
      <c r="F471" s="6" t="n"/>
      <c r="G471" s="15" t="n"/>
      <c r="H471" s="9" t="inlineStr">
        <is>
          <t>$40 Gift from Amy Griggs: "For groceries! Congrats on Tovi!"</t>
        </is>
      </c>
      <c r="I471" s="5" t="n">
        <v>1</v>
      </c>
      <c r="J471" s="5" t="inlineStr">
        <is>
          <t>cnt</t>
        </is>
      </c>
      <c r="K471" s="5" t="n">
        <v>-40</v>
      </c>
    </row>
    <row r="472" ht="15" customFormat="1" customHeight="1" s="5">
      <c r="A472" s="81" t="n">
        <v>45978</v>
      </c>
      <c r="B472" s="82" t="n">
        <v>0.5819444444444445</v>
      </c>
      <c r="C472" s="5" t="inlineStr">
        <is>
          <t>Amazon</t>
        </is>
      </c>
      <c r="D472" s="5" t="n">
        <v>1</v>
      </c>
      <c r="F472" s="6" t="inlineStr">
        <is>
          <t>111-8571187-2058661</t>
        </is>
      </c>
      <c r="G472" s="10" t="n"/>
      <c r="H472" s="9" t="inlineStr">
        <is>
          <t>**RETURN** Huggies Size 1 Diapers, Little Snugglers Diapers, Size 1 (8-14 lbs), 198 Count (6 Packs of 33), Packaging May Vary</t>
        </is>
      </c>
      <c r="I472" s="9" t="n">
        <v>198</v>
      </c>
      <c r="J472" s="9" t="inlineStr">
        <is>
          <t>cnt</t>
        </is>
      </c>
      <c r="K472" s="9" t="n">
        <v>-40.79</v>
      </c>
    </row>
    <row r="473" ht="15" customFormat="1" customHeight="1" s="5">
      <c r="A473" s="81" t="n">
        <v>45978</v>
      </c>
      <c r="B473" s="78" t="n">
        <v>0.5611111111111111</v>
      </c>
      <c r="C473" s="5" t="inlineStr">
        <is>
          <t>Costco</t>
        </is>
      </c>
      <c r="E473" s="5" t="n">
        <v>1</v>
      </c>
      <c r="F473" s="6" t="inlineStr">
        <is>
          <t>439 208 159 708</t>
        </is>
      </c>
      <c r="G473" s="15" t="inlineStr">
        <is>
          <t>E 7099</t>
        </is>
      </c>
      <c r="H473" s="9" t="inlineStr">
        <is>
          <t>Pitted Dates</t>
        </is>
      </c>
      <c r="K473" s="5" t="n">
        <v>11.99</v>
      </c>
    </row>
    <row r="474" ht="15" customFormat="1" customHeight="1" s="5">
      <c r="A474" s="81" t="n">
        <v>45978</v>
      </c>
      <c r="B474" s="78" t="n">
        <v>0.5611111111111111</v>
      </c>
      <c r="C474" s="5" t="inlineStr">
        <is>
          <t>Costco</t>
        </is>
      </c>
      <c r="E474" s="5" t="n">
        <v>1</v>
      </c>
      <c r="F474" s="6" t="inlineStr">
        <is>
          <t>439 208 159 708</t>
        </is>
      </c>
      <c r="G474" s="15" t="inlineStr">
        <is>
          <t>E 61576</t>
        </is>
      </c>
      <c r="H474" s="9" t="inlineStr">
        <is>
          <t>Sweet Potato</t>
        </is>
      </c>
      <c r="I474" s="5" t="n">
        <v>5</v>
      </c>
      <c r="J474" s="5" t="inlineStr">
        <is>
          <t>lb</t>
        </is>
      </c>
      <c r="K474" s="5" t="n">
        <v>3.99</v>
      </c>
    </row>
    <row r="475" ht="15" customFormat="1" customHeight="1" s="5">
      <c r="A475" s="81" t="n">
        <v>45978</v>
      </c>
      <c r="B475" s="78" t="n">
        <v>0.5611111111111111</v>
      </c>
      <c r="C475" s="5" t="inlineStr">
        <is>
          <t>Costco</t>
        </is>
      </c>
      <c r="E475" s="5" t="n">
        <v>1</v>
      </c>
      <c r="F475" s="6" t="inlineStr">
        <is>
          <t>439 208 159 708</t>
        </is>
      </c>
      <c r="G475" s="15" t="inlineStr">
        <is>
          <t>E 1366</t>
        </is>
      </c>
      <c r="H475" s="9" t="inlineStr">
        <is>
          <t>Coconut Beverage VitaCoco</t>
        </is>
      </c>
      <c r="K475" s="5" t="n">
        <v>11.99</v>
      </c>
    </row>
    <row r="476" ht="15" customFormat="1" customHeight="1" s="5">
      <c r="A476" s="81" t="n">
        <v>45978</v>
      </c>
      <c r="B476" s="78" t="n">
        <v>0.5611111111111111</v>
      </c>
      <c r="C476" s="5" t="inlineStr">
        <is>
          <t>Costco</t>
        </is>
      </c>
      <c r="E476" s="5" t="n">
        <v>1</v>
      </c>
      <c r="F476" s="6" t="inlineStr">
        <is>
          <t>439 208 159 708</t>
        </is>
      </c>
      <c r="G476" s="15" t="inlineStr">
        <is>
          <t>E 1199652</t>
        </is>
      </c>
      <c r="H476" s="9" t="inlineStr">
        <is>
          <t>Butter Croissants 12 count</t>
        </is>
      </c>
      <c r="K476" s="5" t="n">
        <v>5.99</v>
      </c>
    </row>
    <row r="477" ht="15" customFormat="1" customHeight="1" s="5">
      <c r="A477" s="81" t="n">
        <v>45978</v>
      </c>
      <c r="B477" s="78" t="n">
        <v>0.5611111111111111</v>
      </c>
      <c r="C477" s="5" t="inlineStr">
        <is>
          <t>Costco</t>
        </is>
      </c>
      <c r="E477" s="5" t="n">
        <v>1</v>
      </c>
      <c r="F477" s="6" t="inlineStr">
        <is>
          <t>439 208 159 708</t>
        </is>
      </c>
      <c r="G477" s="15" t="inlineStr">
        <is>
          <t>E 1025795</t>
        </is>
      </c>
      <c r="H477" s="9" t="inlineStr">
        <is>
          <t>KS 5-dozen eggs</t>
        </is>
      </c>
      <c r="K477" s="5" t="n">
        <v>9.390000000000001</v>
      </c>
    </row>
    <row r="478" ht="15" customFormat="1" customHeight="1" s="5">
      <c r="A478" s="81" t="n">
        <v>45978</v>
      </c>
      <c r="B478" s="78" t="n">
        <v>0.5611111111111111</v>
      </c>
      <c r="C478" s="5" t="inlineStr">
        <is>
          <t>Costco</t>
        </is>
      </c>
      <c r="E478" s="5" t="n">
        <v>1</v>
      </c>
      <c r="F478" s="6" t="inlineStr">
        <is>
          <t>439 208 159 708</t>
        </is>
      </c>
      <c r="G478" s="15" t="inlineStr">
        <is>
          <t>1241491</t>
        </is>
      </c>
      <c r="H478" s="9" t="inlineStr">
        <is>
          <t>Medium Plastic Gloves</t>
        </is>
      </c>
      <c r="K478" s="5" t="inlineStr">
        <is>
          <t>12.99 A</t>
        </is>
      </c>
    </row>
    <row r="479" ht="15" customFormat="1" customHeight="1" s="5">
      <c r="A479" s="81" t="n">
        <v>45978</v>
      </c>
      <c r="B479" s="78" t="n">
        <v>0.5611111111111111</v>
      </c>
      <c r="C479" s="5" t="inlineStr">
        <is>
          <t>Costco</t>
        </is>
      </c>
      <c r="E479" s="5" t="n">
        <v>1</v>
      </c>
      <c r="F479" s="6" t="inlineStr">
        <is>
          <t>439 208 159 708</t>
        </is>
      </c>
      <c r="G479" s="15" t="n"/>
      <c r="H479" s="9" t="inlineStr">
        <is>
          <t>Tax A 8.00%</t>
        </is>
      </c>
      <c r="K479" s="5" t="n">
        <v>1.04</v>
      </c>
    </row>
    <row r="480" ht="15" customFormat="1" customHeight="1" s="5">
      <c r="A480" s="81" t="n">
        <v>45978</v>
      </c>
      <c r="B480" s="78" t="n">
        <v>0.45</v>
      </c>
      <c r="C480" s="5" t="inlineStr">
        <is>
          <t>O'Reilly Auto Parts</t>
        </is>
      </c>
      <c r="E480" s="5" t="n">
        <v>1</v>
      </c>
      <c r="F480" s="6" t="inlineStr">
        <is>
          <t>3813-402936</t>
        </is>
      </c>
      <c r="G480" s="15" t="inlineStr">
        <is>
          <t>CHV 67740</t>
        </is>
      </c>
      <c r="H480" s="9" t="inlineStr">
        <is>
          <t>12oz Fuel Cleaner, 30-day limited warranty</t>
        </is>
      </c>
      <c r="I480" s="5" t="n">
        <v>12</v>
      </c>
      <c r="J480" s="5" t="inlineStr">
        <is>
          <t>oz</t>
        </is>
      </c>
      <c r="K480" s="5" t="n">
        <v>11.99</v>
      </c>
    </row>
    <row r="481" ht="15" customFormat="1" customHeight="1" s="5">
      <c r="A481" s="81" t="n">
        <v>45978</v>
      </c>
      <c r="B481" s="78" t="n">
        <v>0.45</v>
      </c>
      <c r="C481" s="5" t="inlineStr">
        <is>
          <t>O'Reilly Auto Parts</t>
        </is>
      </c>
      <c r="E481" s="5" t="n">
        <v>1</v>
      </c>
      <c r="F481" s="6" t="inlineStr">
        <is>
          <t>3813-402936</t>
        </is>
      </c>
      <c r="G481" s="15" t="inlineStr">
        <is>
          <t>CHV 67740</t>
        </is>
      </c>
      <c r="H481" s="9" t="inlineStr">
        <is>
          <t>12oz Fuel Cleaner, 30-day limited warranty</t>
        </is>
      </c>
      <c r="I481" s="5" t="n">
        <v>12</v>
      </c>
      <c r="J481" s="5" t="inlineStr">
        <is>
          <t>oz</t>
        </is>
      </c>
      <c r="K481" s="5" t="n">
        <v>11.99</v>
      </c>
    </row>
    <row r="482" ht="15" customFormat="1" customHeight="1" s="5">
      <c r="A482" s="81" t="n">
        <v>45978</v>
      </c>
      <c r="B482" s="78" t="n">
        <v>0.45</v>
      </c>
      <c r="C482" s="5" t="inlineStr">
        <is>
          <t>O'Reilly Auto Parts</t>
        </is>
      </c>
      <c r="E482" s="5" t="n">
        <v>1</v>
      </c>
      <c r="F482" s="6" t="inlineStr">
        <is>
          <t>3813-402936</t>
        </is>
      </c>
      <c r="G482" s="15" t="inlineStr">
        <is>
          <t>CHV 67740</t>
        </is>
      </c>
      <c r="H482" s="9" t="inlineStr">
        <is>
          <t>**DISCOUNT** Special Offer</t>
        </is>
      </c>
      <c r="I482" s="5" t="n">
        <v>12</v>
      </c>
      <c r="J482" s="5" t="inlineStr">
        <is>
          <t>oz</t>
        </is>
      </c>
      <c r="K482" s="5" t="n">
        <v>-11.99</v>
      </c>
    </row>
    <row r="483" ht="15" customFormat="1" customHeight="1" s="5">
      <c r="A483" s="81" t="n">
        <v>45978</v>
      </c>
      <c r="B483" s="78" t="n">
        <v>0.45</v>
      </c>
      <c r="C483" s="5" t="inlineStr">
        <is>
          <t>O'Reilly Auto Parts</t>
        </is>
      </c>
      <c r="E483" s="5" t="n">
        <v>1</v>
      </c>
      <c r="F483" s="6" t="inlineStr">
        <is>
          <t>3813-402936</t>
        </is>
      </c>
      <c r="G483" s="15" t="n"/>
      <c r="H483" s="9" t="inlineStr">
        <is>
          <t>Sales Tax</t>
        </is>
      </c>
      <c r="I483" s="5" t="n">
        <v>2</v>
      </c>
      <c r="J483" s="5" t="inlineStr">
        <is>
          <t>cnt</t>
        </is>
      </c>
      <c r="K483" s="5" t="n">
        <v>0.96</v>
      </c>
    </row>
    <row r="484" ht="15" customFormat="1" customHeight="1" s="5">
      <c r="A484" s="81" t="n">
        <v>45976</v>
      </c>
      <c r="B484" s="82" t="n">
        <v>0.5803356481481482</v>
      </c>
      <c r="C484" s="5" t="inlineStr">
        <is>
          <t>Walmart</t>
        </is>
      </c>
      <c r="E484" s="5" t="n">
        <v>1</v>
      </c>
      <c r="F484" s="6" t="inlineStr">
        <is>
          <t>TC# 1632-0321-1342-5354-8047</t>
        </is>
      </c>
      <c r="G484" s="10" t="n"/>
      <c r="H484" s="9" t="inlineStr">
        <is>
          <t>Fresh Curly Parsley Bunch, Each (but actually he got mustard greens)</t>
        </is>
      </c>
      <c r="I484" s="9" t="n">
        <v>1</v>
      </c>
      <c r="J484" s="9" t="inlineStr">
        <is>
          <t>cnt</t>
        </is>
      </c>
      <c r="K484" s="85" t="n">
        <v>1.07</v>
      </c>
    </row>
    <row r="485" ht="15" customFormat="1" customHeight="1" s="5">
      <c r="A485" s="81" t="n">
        <v>45976</v>
      </c>
      <c r="B485" s="82" t="n">
        <v>0.5803356481481482</v>
      </c>
      <c r="C485" s="5" t="inlineStr">
        <is>
          <t>Walmart</t>
        </is>
      </c>
      <c r="E485" s="5" t="n">
        <v>1</v>
      </c>
      <c r="F485" s="6" t="inlineStr">
        <is>
          <t>TC# 1632-0321-1342-5354-8047</t>
        </is>
      </c>
      <c r="G485" s="10" t="n"/>
      <c r="H485" s="9" t="inlineStr">
        <is>
          <t>Fresh Cucumber, Each 67.0¢/ea</t>
        </is>
      </c>
      <c r="I485" s="9" t="n">
        <v>1</v>
      </c>
      <c r="J485" s="9" t="inlineStr">
        <is>
          <t>cnt</t>
        </is>
      </c>
      <c r="K485" s="85" t="n">
        <v>0.67</v>
      </c>
    </row>
    <row r="486" ht="15" customFormat="1" customHeight="1" s="5">
      <c r="A486" s="81" t="n">
        <v>45976</v>
      </c>
      <c r="B486" s="82" t="n">
        <v>0.5803356481481482</v>
      </c>
      <c r="C486" s="5" t="inlineStr">
        <is>
          <t>Walmart</t>
        </is>
      </c>
      <c r="E486" s="5" t="n">
        <v>1</v>
      </c>
      <c r="F486" s="6" t="inlineStr">
        <is>
          <t>TC# 1632-0321-1342-5354-8047</t>
        </is>
      </c>
      <c r="G486" s="10" t="n"/>
      <c r="H486" s="9" t="inlineStr">
        <is>
          <t>Fresh Cucumber, Each 67.0¢/ea</t>
        </is>
      </c>
      <c r="I486" s="9" t="n">
        <v>1</v>
      </c>
      <c r="J486" s="9" t="inlineStr">
        <is>
          <t>cnt</t>
        </is>
      </c>
      <c r="K486" s="85" t="n">
        <v>0.67</v>
      </c>
    </row>
    <row r="487" ht="15" customFormat="1" customHeight="1" s="5">
      <c r="A487" s="81" t="n">
        <v>45976</v>
      </c>
      <c r="B487" s="82" t="n">
        <v>0.5803356481481482</v>
      </c>
      <c r="C487" s="5" t="inlineStr">
        <is>
          <t>Walmart</t>
        </is>
      </c>
      <c r="E487" s="5" t="n">
        <v>1</v>
      </c>
      <c r="F487" s="6" t="inlineStr">
        <is>
          <t>TC# 1632-0321-1342-5354-8047</t>
        </is>
      </c>
      <c r="G487" s="10" t="n"/>
      <c r="H487" s="9" t="inlineStr">
        <is>
          <t>Fresh Cucumber, Each 67.0¢/ea</t>
        </is>
      </c>
      <c r="I487" s="9" t="n">
        <v>1</v>
      </c>
      <c r="J487" s="9" t="inlineStr">
        <is>
          <t>cnt</t>
        </is>
      </c>
      <c r="K487" s="85" t="n">
        <v>0.67</v>
      </c>
    </row>
    <row r="488" ht="15" customFormat="1" customHeight="1" s="5">
      <c r="A488" s="81" t="n">
        <v>45976</v>
      </c>
      <c r="B488" s="82" t="n">
        <v>0.5803356481481482</v>
      </c>
      <c r="C488" s="5" t="inlineStr">
        <is>
          <t>Walmart</t>
        </is>
      </c>
      <c r="E488" s="5" t="n">
        <v>1</v>
      </c>
      <c r="F488" s="6" t="inlineStr">
        <is>
          <t>TC# 1632-0321-1342-5354-8047</t>
        </is>
      </c>
      <c r="G488" s="10" t="n"/>
      <c r="H488" s="9" t="inlineStr">
        <is>
          <t>Dr Teal's Pure Epsom Salt Soak, Therapeutic, Fragrance Free, 6 lbs</t>
        </is>
      </c>
      <c r="I488" s="9" t="n">
        <v>6</v>
      </c>
      <c r="J488" s="9" t="inlineStr">
        <is>
          <t>lb</t>
        </is>
      </c>
      <c r="K488" s="85" t="n">
        <v>5.74</v>
      </c>
    </row>
    <row r="489" ht="15" customFormat="1" customHeight="1" s="5">
      <c r="A489" s="81" t="n">
        <v>45976</v>
      </c>
      <c r="B489" s="82" t="n">
        <v>0.5803356481481482</v>
      </c>
      <c r="C489" s="5" t="inlineStr">
        <is>
          <t>Walmart</t>
        </is>
      </c>
      <c r="E489" s="5" t="n">
        <v>1</v>
      </c>
      <c r="F489" s="6" t="inlineStr">
        <is>
          <t>TC# 1632-0321-1342-5354-8047</t>
        </is>
      </c>
      <c r="G489" s="10" t="n"/>
      <c r="H489" s="9" t="inlineStr">
        <is>
          <t>Papa Pita Whole Wheat Flat Bread, 6 Count, Shelf-Stable</t>
        </is>
      </c>
      <c r="I489" s="9" t="n"/>
      <c r="J489" s="9" t="n"/>
      <c r="K489" s="85" t="n">
        <v>3.83</v>
      </c>
    </row>
    <row r="490" ht="15" customFormat="1" customHeight="1" s="5">
      <c r="A490" s="81" t="n">
        <v>45976</v>
      </c>
      <c r="B490" s="82" t="n">
        <v>0.5803356481481482</v>
      </c>
      <c r="C490" s="5" t="inlineStr">
        <is>
          <t>Walmart</t>
        </is>
      </c>
      <c r="E490" s="5" t="n">
        <v>1</v>
      </c>
      <c r="F490" s="6" t="inlineStr">
        <is>
          <t>TC# 1632-0321-1342-5354-8047</t>
        </is>
      </c>
      <c r="G490" s="10" t="n"/>
      <c r="H490" s="9" t="inlineStr">
        <is>
          <t>Fresh Red Seedless Grapes from California, Bag (2.25 lbs/Bag Est.) Wt 2.70 lb</t>
        </is>
      </c>
      <c r="I490" s="9" t="n">
        <v>2.7</v>
      </c>
      <c r="J490" s="9" t="inlineStr">
        <is>
          <t>lb</t>
        </is>
      </c>
      <c r="K490" s="85" t="n">
        <v>4.37</v>
      </c>
    </row>
    <row r="491" ht="15" customFormat="1" customHeight="1" s="5">
      <c r="A491" s="81" t="n">
        <v>45976</v>
      </c>
      <c r="B491" s="82" t="n">
        <v>0.5803356481481482</v>
      </c>
      <c r="C491" s="5" t="inlineStr">
        <is>
          <t>Walmart</t>
        </is>
      </c>
      <c r="E491" s="5" t="n">
        <v>1</v>
      </c>
      <c r="F491" s="6" t="inlineStr">
        <is>
          <t>TC# 1632-0321-1342-5354-8047</t>
        </is>
      </c>
      <c r="G491" s="10" t="n"/>
      <c r="H491" s="9" t="inlineStr">
        <is>
          <t>Great Value Rosemary Leaves, 0.8 oz 1.00 oz</t>
        </is>
      </c>
      <c r="I491" s="9" t="n">
        <v>0.8</v>
      </c>
      <c r="J491" s="9" t="inlineStr">
        <is>
          <t>oz</t>
        </is>
      </c>
      <c r="K491" s="85" t="n">
        <v>2.54</v>
      </c>
    </row>
    <row r="492" ht="15" customFormat="1" customHeight="1" s="5">
      <c r="A492" s="81" t="n">
        <v>45976</v>
      </c>
      <c r="B492" s="82" t="n">
        <v>0.5803356481481482</v>
      </c>
      <c r="C492" s="5" t="inlineStr">
        <is>
          <t>Walmart</t>
        </is>
      </c>
      <c r="E492" s="5" t="n">
        <v>1</v>
      </c>
      <c r="F492" s="6" t="inlineStr">
        <is>
          <t>TC# 1632-0321-1342-5354-8047</t>
        </is>
      </c>
      <c r="G492" s="10" t="n"/>
      <c r="H492" s="9" t="inlineStr">
        <is>
          <t>Fresh Dill, 0.5 oz clamshell</t>
        </is>
      </c>
      <c r="I492" s="9" t="n">
        <v>0.5</v>
      </c>
      <c r="J492" s="9" t="inlineStr">
        <is>
          <t>oz</t>
        </is>
      </c>
      <c r="K492" s="85" t="n">
        <v>1.78</v>
      </c>
    </row>
    <row r="493" ht="15" customFormat="1" customHeight="1" s="5">
      <c r="A493" s="81" t="n">
        <v>45976</v>
      </c>
      <c r="B493" s="82" t="n">
        <v>0.5803356481481482</v>
      </c>
      <c r="C493" s="5" t="inlineStr">
        <is>
          <t>Walmart</t>
        </is>
      </c>
      <c r="E493" s="5" t="n">
        <v>1</v>
      </c>
      <c r="F493" s="6" t="inlineStr">
        <is>
          <t>TC# 1632-0321-1342-5354-8047</t>
        </is>
      </c>
      <c r="G493" s="10" t="n"/>
      <c r="H493" s="9" t="inlineStr">
        <is>
          <t>Fresh Organic Sweet Potatoes, 3 lb Bag</t>
        </is>
      </c>
      <c r="I493" s="9" t="n">
        <v>3</v>
      </c>
      <c r="J493" s="9" t="inlineStr">
        <is>
          <t>lb</t>
        </is>
      </c>
      <c r="K493" s="85" t="n">
        <v>5.98</v>
      </c>
    </row>
    <row r="494" ht="15" customFormat="1" customHeight="1" s="5">
      <c r="A494" s="81" t="n">
        <v>45976</v>
      </c>
      <c r="B494" s="82" t="n">
        <v>0.5803356481481482</v>
      </c>
      <c r="C494" s="5" t="inlineStr">
        <is>
          <t>Walmart</t>
        </is>
      </c>
      <c r="E494" s="5" t="n">
        <v>1</v>
      </c>
      <c r="F494" s="6" t="inlineStr">
        <is>
          <t>TC# 1632-0321-1342-5354-8047</t>
        </is>
      </c>
      <c r="G494" s="10" t="n"/>
      <c r="H494" s="9" t="inlineStr">
        <is>
          <t>P.A.N. Gluten Free White Corn Meal 35.27 oz</t>
        </is>
      </c>
      <c r="I494" s="9" t="n">
        <v>35.27</v>
      </c>
      <c r="J494" s="9" t="inlineStr">
        <is>
          <t>oz</t>
        </is>
      </c>
      <c r="K494" s="85" t="n">
        <v>2.87</v>
      </c>
    </row>
    <row r="495" ht="15" customFormat="1" customHeight="1" s="5">
      <c r="A495" s="81" t="n">
        <v>45976</v>
      </c>
      <c r="B495" s="82" t="n">
        <v>0.5803356481481482</v>
      </c>
      <c r="C495" s="5" t="inlineStr">
        <is>
          <t>Walmart</t>
        </is>
      </c>
      <c r="E495" s="5" t="n">
        <v>1</v>
      </c>
      <c r="F495" s="6" t="inlineStr">
        <is>
          <t>TC# 1632-0321-1342-5354-8047</t>
        </is>
      </c>
      <c r="G495" s="10" t="n"/>
      <c r="H495" s="9" t="inlineStr">
        <is>
          <t>Equate Men's Shave Foam, Regular, 10 oz, Compare to Gillette® Foamy® Regular Shave Cream Qty 1</t>
        </is>
      </c>
      <c r="I495" s="9" t="n">
        <v>10</v>
      </c>
      <c r="J495" s="9" t="inlineStr">
        <is>
          <t>oz</t>
        </is>
      </c>
      <c r="K495" s="85" t="n">
        <v>1.86</v>
      </c>
    </row>
    <row r="496" ht="15" customFormat="1" customHeight="1" s="5">
      <c r="A496" s="81" t="n">
        <v>45976</v>
      </c>
      <c r="B496" s="82" t="n">
        <v>0.5803356481481482</v>
      </c>
      <c r="C496" s="5" t="inlineStr">
        <is>
          <t>Walmart</t>
        </is>
      </c>
      <c r="E496" s="5" t="n">
        <v>1</v>
      </c>
      <c r="F496" s="6" t="inlineStr">
        <is>
          <t>TC# 1632-0321-1342-5354-8047</t>
        </is>
      </c>
      <c r="G496" s="10" t="n"/>
      <c r="H496" s="9" t="inlineStr">
        <is>
          <t>Great Value Dill Weed, 0.75 oz</t>
        </is>
      </c>
      <c r="I496" s="9" t="n">
        <v>0.75</v>
      </c>
      <c r="J496" s="9" t="inlineStr">
        <is>
          <t>oz</t>
        </is>
      </c>
      <c r="K496" s="85" t="n">
        <v>2.24</v>
      </c>
    </row>
    <row r="497" ht="15" customFormat="1" customHeight="1" s="5">
      <c r="A497" s="81" t="n">
        <v>45976</v>
      </c>
      <c r="B497" s="82" t="n">
        <v>0.5803356481481482</v>
      </c>
      <c r="C497" s="5" t="inlineStr">
        <is>
          <t>Walmart</t>
        </is>
      </c>
      <c r="E497" s="5" t="n">
        <v>1</v>
      </c>
      <c r="F497" s="6" t="inlineStr">
        <is>
          <t>TC# 1632-0321-1342-5354-8047</t>
        </is>
      </c>
      <c r="G497" s="10" t="n"/>
      <c r="H497" s="9" t="inlineStr">
        <is>
          <t>Frigo Crumbled Feta Cheese, 5 oz Refrigerated Plastic Cup</t>
        </is>
      </c>
      <c r="I497" s="9" t="n">
        <v>5</v>
      </c>
      <c r="J497" s="9" t="inlineStr">
        <is>
          <t>oz</t>
        </is>
      </c>
      <c r="K497" s="85" t="n">
        <v>3.28</v>
      </c>
    </row>
    <row r="498" ht="15" customFormat="1" customHeight="1" s="5">
      <c r="A498" s="81" t="n">
        <v>45976</v>
      </c>
      <c r="B498" s="82" t="n">
        <v>0.5803356481481482</v>
      </c>
      <c r="C498" s="5" t="inlineStr">
        <is>
          <t>Walmart</t>
        </is>
      </c>
      <c r="E498" s="5" t="n">
        <v>1</v>
      </c>
      <c r="F498" s="6" t="inlineStr">
        <is>
          <t>TC# 1632-0321-1342-5354-8047</t>
        </is>
      </c>
      <c r="G498" s="10" t="n"/>
      <c r="H498" s="9" t="inlineStr">
        <is>
          <t>Great Value Tomato Paste, 6 oz</t>
        </is>
      </c>
      <c r="I498" s="9" t="n">
        <v>6</v>
      </c>
      <c r="J498" s="9" t="inlineStr">
        <is>
          <t>oz</t>
        </is>
      </c>
      <c r="K498" s="85" t="n">
        <v>0.86</v>
      </c>
    </row>
    <row r="499" ht="15" customFormat="1" customHeight="1" s="5">
      <c r="A499" s="81" t="n">
        <v>45976</v>
      </c>
      <c r="B499" s="82" t="n">
        <v>0.5803356481481482</v>
      </c>
      <c r="C499" s="5" t="inlineStr">
        <is>
          <t>Walmart</t>
        </is>
      </c>
      <c r="E499" s="5" t="n">
        <v>1</v>
      </c>
      <c r="F499" s="6" t="inlineStr">
        <is>
          <t>TC# 1632-0321-1342-5354-8047</t>
        </is>
      </c>
      <c r="G499" s="10" t="n"/>
      <c r="H499" s="9" t="inlineStr">
        <is>
          <t>Great Value Paprika, 2.5 oz</t>
        </is>
      </c>
      <c r="I499" s="9" t="n">
        <v>2.5</v>
      </c>
      <c r="J499" s="9" t="inlineStr">
        <is>
          <t>oz</t>
        </is>
      </c>
      <c r="K499" s="85" t="n">
        <v>1</v>
      </c>
    </row>
    <row r="500" ht="15" customFormat="1" customHeight="1" s="5">
      <c r="A500" s="81" t="n">
        <v>45976</v>
      </c>
      <c r="B500" s="82" t="n">
        <v>0.5803356481481482</v>
      </c>
      <c r="C500" s="5" t="inlineStr">
        <is>
          <t>Walmart</t>
        </is>
      </c>
      <c r="E500" s="5" t="n">
        <v>1</v>
      </c>
      <c r="F500" s="6" t="inlineStr">
        <is>
          <t>TC# 1632-0321-1342-5354-8047</t>
        </is>
      </c>
      <c r="G500" s="10" t="n"/>
      <c r="H500" s="9" t="inlineStr">
        <is>
          <t>TAx 1 8.05%</t>
        </is>
      </c>
      <c r="I500" s="9" t="n">
        <v>16</v>
      </c>
      <c r="J500" s="9" t="inlineStr">
        <is>
          <t>cnt</t>
        </is>
      </c>
      <c r="K500" s="85" t="n">
        <v>0.61</v>
      </c>
    </row>
    <row r="501" ht="15" customFormat="1" customHeight="1" s="5">
      <c r="A501" s="81" t="n">
        <v>45976</v>
      </c>
      <c r="B501" s="82" t="n"/>
      <c r="C501" s="5" t="inlineStr">
        <is>
          <t>Harbor Freight</t>
        </is>
      </c>
      <c r="E501" s="5" t="n">
        <v>1</v>
      </c>
      <c r="F501" s="6" t="n"/>
      <c r="G501" s="10" t="n"/>
      <c r="H501" s="9" t="inlineStr">
        <is>
          <t>Refund: 1/2IN DR.PRO BREAKER BAR 25IN</t>
        </is>
      </c>
      <c r="I501" s="9" t="n"/>
      <c r="J501" s="9" t="n"/>
      <c r="K501" s="9" t="n">
        <v>-21.99</v>
      </c>
    </row>
    <row r="502" ht="15" customFormat="1" customHeight="1" s="5">
      <c r="A502" s="81" t="n">
        <v>45976</v>
      </c>
      <c r="B502" s="82" t="n"/>
      <c r="C502" s="5" t="inlineStr">
        <is>
          <t>Harbor Freight</t>
        </is>
      </c>
      <c r="E502" s="5" t="n">
        <v>1</v>
      </c>
      <c r="F502" s="6" t="n"/>
      <c r="G502" s="10" t="n"/>
      <c r="H502" s="9" t="inlineStr">
        <is>
          <t>Sales Tax</t>
        </is>
      </c>
      <c r="I502" s="9" t="n"/>
      <c r="J502" s="9" t="n"/>
      <c r="K502" s="9" t="n">
        <v>-1.76</v>
      </c>
    </row>
    <row r="503" ht="15" customFormat="1" customHeight="1" s="5">
      <c r="A503" s="81" t="n">
        <v>45975</v>
      </c>
      <c r="B503" s="82" t="n">
        <v>0.7555555555555555</v>
      </c>
      <c r="C503" s="5" t="inlineStr">
        <is>
          <t>Outback Steakhouse</t>
        </is>
      </c>
      <c r="D503" s="5" t="n">
        <v>1</v>
      </c>
      <c r="F503" s="6" t="inlineStr">
        <is>
          <t>114010000105</t>
        </is>
      </c>
      <c r="G503" s="10" t="n"/>
      <c r="H503" s="9" t="inlineStr">
        <is>
          <t>Kookaburra Wings + Aussie Fries</t>
        </is>
      </c>
      <c r="I503" s="9" t="n">
        <v>1</v>
      </c>
      <c r="J503" s="9" t="inlineStr">
        <is>
          <t>cnt</t>
        </is>
      </c>
      <c r="K503" s="9" t="n">
        <v>17.99</v>
      </c>
    </row>
    <row r="504" ht="15" customFormat="1" customHeight="1" s="5">
      <c r="A504" s="81" t="n">
        <v>45975</v>
      </c>
      <c r="B504" s="82" t="n">
        <v>0.7555555555555555</v>
      </c>
      <c r="C504" s="5" t="inlineStr">
        <is>
          <t>Outback Steakhouse</t>
        </is>
      </c>
      <c r="D504" s="5" t="n">
        <v>1</v>
      </c>
      <c r="F504" s="6" t="inlineStr">
        <is>
          <t>114010000105</t>
        </is>
      </c>
      <c r="G504" s="10" t="n"/>
      <c r="H504" s="9" t="inlineStr">
        <is>
          <t>Grilled Shrimp + sweet potato + aussie fries no seasoning</t>
        </is>
      </c>
      <c r="I504" s="9" t="n">
        <v>1</v>
      </c>
      <c r="J504" s="9" t="inlineStr">
        <is>
          <t>cnt</t>
        </is>
      </c>
      <c r="K504" s="9" t="n">
        <v>28.49</v>
      </c>
    </row>
    <row r="505" ht="15" customFormat="1" customHeight="1" s="5">
      <c r="A505" s="81" t="n">
        <v>45975</v>
      </c>
      <c r="B505" s="82" t="n">
        <v>0.7555555555555555</v>
      </c>
      <c r="C505" s="5" t="inlineStr">
        <is>
          <t>Outback Steakhouse</t>
        </is>
      </c>
      <c r="D505" s="5" t="n">
        <v>1</v>
      </c>
      <c r="F505" s="6" t="inlineStr">
        <is>
          <t>114010000105</t>
        </is>
      </c>
      <c r="G505" s="10" t="n"/>
      <c r="H505" s="9" t="inlineStr">
        <is>
          <t>**REWARDS POINTS** $5 off your order</t>
        </is>
      </c>
      <c r="I505" s="9" t="n">
        <v>1</v>
      </c>
      <c r="J505" s="9" t="inlineStr">
        <is>
          <t>cnt</t>
        </is>
      </c>
      <c r="K505" s="9" t="n">
        <v>-5</v>
      </c>
    </row>
    <row r="506" ht="15" customFormat="1" customHeight="1" s="5">
      <c r="A506" s="81" t="n">
        <v>45975</v>
      </c>
      <c r="B506" s="82" t="n">
        <v>0.7555555555555555</v>
      </c>
      <c r="C506" s="5" t="inlineStr">
        <is>
          <t>Outback Steakhouse</t>
        </is>
      </c>
      <c r="D506" s="5" t="n">
        <v>1</v>
      </c>
      <c r="F506" s="6" t="inlineStr">
        <is>
          <t>114010000105</t>
        </is>
      </c>
      <c r="G506" s="10" t="n"/>
      <c r="H506" s="9" t="inlineStr">
        <is>
          <t>Tax</t>
        </is>
      </c>
      <c r="I506" s="9" t="n">
        <v>2</v>
      </c>
      <c r="J506" s="9" t="inlineStr">
        <is>
          <t>cnt</t>
        </is>
      </c>
      <c r="K506" s="9" t="n">
        <v>3.32</v>
      </c>
    </row>
    <row r="507" ht="15" customFormat="1" customHeight="1" s="5">
      <c r="A507" s="81" t="n">
        <v>45975</v>
      </c>
      <c r="B507" s="82" t="n">
        <v>0.7555555555555555</v>
      </c>
      <c r="C507" s="5" t="inlineStr">
        <is>
          <t>Outback Steakhouse</t>
        </is>
      </c>
      <c r="D507" s="5" t="n">
        <v>1</v>
      </c>
      <c r="F507" s="6" t="inlineStr">
        <is>
          <t>114010000105</t>
        </is>
      </c>
      <c r="G507" s="10" t="n"/>
      <c r="H507" s="9" t="inlineStr">
        <is>
          <t>Outback Gift Card ($100 Carol, $leftover from Diane)</t>
        </is>
      </c>
      <c r="I507" s="9" t="n"/>
      <c r="J507" s="9" t="n"/>
      <c r="K507" s="9" t="n">
        <v>-44.8</v>
      </c>
    </row>
    <row r="508" ht="15" customFormat="1" customHeight="1" s="5">
      <c r="A508" s="81" t="n">
        <v>45975</v>
      </c>
      <c r="B508" s="82" t="n">
        <v>0.6875</v>
      </c>
      <c r="C508" s="5" t="inlineStr">
        <is>
          <t>Amazon</t>
        </is>
      </c>
      <c r="D508" s="5" t="n">
        <v>1</v>
      </c>
      <c r="F508" s="6" t="inlineStr">
        <is>
          <t>111-9793930-4903460</t>
        </is>
      </c>
      <c r="G508" s="10" t="inlineStr">
        <is>
          <t>A</t>
        </is>
      </c>
      <c r="H508" s="9" t="inlineStr">
        <is>
          <t>Chicken of the Sea Jack Mackerel in Brine, 15 oz. Cans (Pack of 12), Nutrient Rich, Wild Caught Canned Mackerel</t>
        </is>
      </c>
      <c r="I508" s="9">
        <f>12*15</f>
        <v/>
      </c>
      <c r="J508" s="9" t="inlineStr">
        <is>
          <t>oz</t>
        </is>
      </c>
      <c r="K508" s="9">
        <f>29.52-11.81</f>
        <v/>
      </c>
    </row>
    <row r="509" ht="15" customFormat="1" customHeight="1" s="5">
      <c r="A509" s="81" t="n">
        <v>45975</v>
      </c>
      <c r="B509" s="82" t="n">
        <v>0.6875</v>
      </c>
      <c r="C509" s="5" t="inlineStr">
        <is>
          <t>Amazon</t>
        </is>
      </c>
      <c r="D509" s="5" t="n">
        <v>1</v>
      </c>
      <c r="F509" s="6" t="inlineStr">
        <is>
          <t>111-9793930-4903460</t>
        </is>
      </c>
      <c r="G509" s="10" t="n"/>
      <c r="H509" s="9" t="inlineStr">
        <is>
          <t>ThunderFit Silicone Anniversary Rings for Women, 5.5mm Wide, 2mm Thick, Wedding Rubber Bands, Variety Multipack 1-12</t>
        </is>
      </c>
      <c r="I509" s="9" t="n">
        <v>1</v>
      </c>
      <c r="J509" s="9" t="n"/>
      <c r="K509" s="9" t="n">
        <v>9.99</v>
      </c>
    </row>
    <row r="510" ht="15" customFormat="1" customHeight="1" s="5">
      <c r="A510" s="81" t="n">
        <v>45975</v>
      </c>
      <c r="B510" s="82" t="n">
        <v>0.6875</v>
      </c>
      <c r="C510" s="5" t="inlineStr">
        <is>
          <t>Amazon</t>
        </is>
      </c>
      <c r="D510" s="5" t="n">
        <v>1</v>
      </c>
      <c r="F510" s="6" t="inlineStr">
        <is>
          <t>111-9793930-4903460</t>
        </is>
      </c>
      <c r="G510" s="10" t="n"/>
      <c r="H510" s="9" t="inlineStr">
        <is>
          <t>Amazon Basics Steel Jack Auto Stands with 6,000 lb or 3 Ton (2.7 metric Ton) Capacity, 1 Pair, Black and Red</t>
        </is>
      </c>
      <c r="I510" s="9" t="n">
        <v>2</v>
      </c>
      <c r="J510" s="9" t="n"/>
      <c r="K510" s="9">
        <f>27.92*2</f>
        <v/>
      </c>
    </row>
    <row r="511" ht="15" customFormat="1" customHeight="1" s="5">
      <c r="A511" s="81" t="n">
        <v>45975</v>
      </c>
      <c r="B511" s="82" t="n">
        <v>0.6875</v>
      </c>
      <c r="C511" s="5" t="inlineStr">
        <is>
          <t>Amazon</t>
        </is>
      </c>
      <c r="D511" s="5" t="n">
        <v>1</v>
      </c>
      <c r="F511" s="6" t="inlineStr">
        <is>
          <t>111-9793930-4903460</t>
        </is>
      </c>
      <c r="G511" s="10" t="n"/>
      <c r="H511" s="9" t="inlineStr">
        <is>
          <t>Permatex 82194 Ultra Grey Rigid High-Torque RTV Silicone Gasket Maker, Sensor Safe And Non-Corrosive, For High Torque And Vibration Resistant Applications, 3 oz</t>
        </is>
      </c>
      <c r="I511" s="9" t="n">
        <v>3</v>
      </c>
      <c r="J511" s="9" t="inlineStr">
        <is>
          <t>oz</t>
        </is>
      </c>
      <c r="K511" s="9" t="n">
        <v>8.44</v>
      </c>
    </row>
    <row r="512" ht="15" customFormat="1" customHeight="1" s="5">
      <c r="A512" s="81" t="n">
        <v>45975</v>
      </c>
      <c r="B512" s="82" t="n">
        <v>0.6875</v>
      </c>
      <c r="C512" s="5" t="inlineStr">
        <is>
          <t>Amazon</t>
        </is>
      </c>
      <c r="D512" s="5" t="n">
        <v>1</v>
      </c>
      <c r="F512" s="6" t="inlineStr">
        <is>
          <t>111-9793930-4903460</t>
        </is>
      </c>
      <c r="G512" s="10" t="inlineStr">
        <is>
          <t>A</t>
        </is>
      </c>
      <c r="H512" s="9" t="inlineStr">
        <is>
          <t>Additional Discounts</t>
        </is>
      </c>
      <c r="I512" s="9">
        <f>12*15</f>
        <v/>
      </c>
      <c r="J512" s="9" t="inlineStr">
        <is>
          <t>oz</t>
        </is>
      </c>
      <c r="K512" s="9">
        <f>-20-1.48</f>
        <v/>
      </c>
    </row>
    <row r="513" ht="15" customFormat="1" customHeight="1" s="5">
      <c r="A513" s="81" t="n">
        <v>45975</v>
      </c>
      <c r="B513" s="82" t="n">
        <v>0.6875</v>
      </c>
      <c r="C513" s="5" t="inlineStr">
        <is>
          <t>Amazon</t>
        </is>
      </c>
      <c r="D513" s="5" t="n">
        <v>1</v>
      </c>
      <c r="F513" s="6" t="inlineStr">
        <is>
          <t>111-9793930-4903460</t>
        </is>
      </c>
      <c r="G513" s="10" t="n"/>
      <c r="H513" s="9" t="inlineStr">
        <is>
          <t>Sales Tax</t>
        </is>
      </c>
      <c r="I513" s="9" t="n"/>
      <c r="J513" s="9" t="n"/>
      <c r="K513" s="9" t="n">
        <v>4.67</v>
      </c>
    </row>
    <row r="514" ht="15" customFormat="1" customHeight="1" s="5">
      <c r="A514" s="81" t="n">
        <v>45975</v>
      </c>
      <c r="B514" s="82" t="n">
        <v>0.6743055555555556</v>
      </c>
      <c r="C514" s="5" t="inlineStr">
        <is>
          <t>Groove Subaru</t>
        </is>
      </c>
      <c r="D514" s="5" t="n">
        <v>1</v>
      </c>
      <c r="F514" s="6" t="inlineStr">
        <is>
          <t>17753036</t>
        </is>
      </c>
      <c r="G514" s="10" t="inlineStr">
        <is>
          <t>11810AA190</t>
        </is>
      </c>
      <c r="H514" s="9" t="inlineStr">
        <is>
          <t>PCV Valve</t>
        </is>
      </c>
      <c r="I514" s="9" t="n"/>
      <c r="J514" s="9" t="n"/>
      <c r="K514" s="9" t="n">
        <v>7.02</v>
      </c>
    </row>
    <row r="515" ht="15" customFormat="1" customHeight="1" s="5">
      <c r="A515" s="81" t="n">
        <v>45975</v>
      </c>
      <c r="B515" s="82" t="n">
        <v>0.6743055555555556</v>
      </c>
      <c r="C515" s="5" t="inlineStr">
        <is>
          <t>Groove Subaru</t>
        </is>
      </c>
      <c r="D515" s="5" t="n">
        <v>1</v>
      </c>
      <c r="F515" s="6" t="inlineStr">
        <is>
          <t>17753036</t>
        </is>
      </c>
      <c r="G515" s="10" t="n"/>
      <c r="H515" s="9" t="inlineStr">
        <is>
          <t>Sales Tax</t>
        </is>
      </c>
      <c r="I515" s="9" t="n"/>
      <c r="J515" s="9" t="n"/>
      <c r="K515" s="9" t="n">
        <v>0.57</v>
      </c>
    </row>
    <row r="516" ht="15" customFormat="1" customHeight="1" s="5">
      <c r="A516" s="81" t="n">
        <v>45974</v>
      </c>
      <c r="B516" s="82" t="n">
        <v>0.8347222222222223</v>
      </c>
      <c r="C516" s="5" t="inlineStr">
        <is>
          <t>CVS</t>
        </is>
      </c>
      <c r="E516" s="5" t="n">
        <v>1</v>
      </c>
      <c r="F516" s="6" t="inlineStr">
        <is>
          <t>123120</t>
        </is>
      </c>
      <c r="G516" s="15" t="inlineStr">
        <is>
          <t>#253177503726340999</t>
        </is>
      </c>
      <c r="H516" s="9" t="inlineStr">
        <is>
          <t>Clindamycin HCL 300 MG capsule -- 30 pills over 10 days</t>
        </is>
      </c>
      <c r="I516" s="9" t="n">
        <v>30</v>
      </c>
      <c r="J516" s="9" t="inlineStr">
        <is>
          <t>cnt</t>
        </is>
      </c>
      <c r="K516" s="9" t="n">
        <v>2.15</v>
      </c>
    </row>
    <row r="517" ht="15" customFormat="1" customHeight="1" s="5">
      <c r="A517" s="81" t="n">
        <v>45974</v>
      </c>
      <c r="B517" s="78" t="n">
        <v>0.5458333333333333</v>
      </c>
      <c r="C517" s="5" t="inlineStr">
        <is>
          <t>Harbor Freight</t>
        </is>
      </c>
      <c r="E517" s="5" t="n">
        <v>1</v>
      </c>
      <c r="F517" s="6" t="inlineStr">
        <is>
          <t>935068</t>
        </is>
      </c>
      <c r="G517" s="15" t="inlineStr">
        <is>
          <t>SKU 62729</t>
        </is>
      </c>
      <c r="H517" s="9" t="inlineStr">
        <is>
          <t>1/2IN DR.PRO BREAKER BAR 25IN</t>
        </is>
      </c>
      <c r="I517" s="9" t="n">
        <v>1</v>
      </c>
      <c r="J517" s="9" t="inlineStr">
        <is>
          <t>cnt</t>
        </is>
      </c>
      <c r="K517" s="9" t="n">
        <v>21.99</v>
      </c>
    </row>
    <row r="518" ht="15" customFormat="1" customHeight="1" s="5">
      <c r="A518" s="81" t="n">
        <v>45974</v>
      </c>
      <c r="B518" s="78" t="n">
        <v>0.5458333333333333</v>
      </c>
      <c r="C518" s="5" t="inlineStr">
        <is>
          <t>Harbor Freight</t>
        </is>
      </c>
      <c r="E518" s="5" t="n">
        <v>1</v>
      </c>
      <c r="F518" s="6" t="inlineStr">
        <is>
          <t>935068</t>
        </is>
      </c>
      <c r="G518" s="15" t="inlineStr">
        <is>
          <t>SKU 69546</t>
        </is>
      </c>
      <c r="H518" s="9" t="inlineStr">
        <is>
          <t>6PC 3/8IN DR METRIC HEX S</t>
        </is>
      </c>
      <c r="I518" s="9" t="n">
        <v>6</v>
      </c>
      <c r="J518" s="9" t="inlineStr">
        <is>
          <t>cnt</t>
        </is>
      </c>
      <c r="K518" s="9" t="n">
        <v>8.99</v>
      </c>
    </row>
    <row r="519" ht="15" customFormat="1" customHeight="1" s="5">
      <c r="A519" s="81" t="n">
        <v>45974</v>
      </c>
      <c r="B519" s="78" t="n">
        <v>0.5458333333333333</v>
      </c>
      <c r="C519" s="5" t="inlineStr">
        <is>
          <t>Harbor Freight</t>
        </is>
      </c>
      <c r="E519" s="5" t="n">
        <v>1</v>
      </c>
      <c r="F519" s="6" t="inlineStr">
        <is>
          <t>935068</t>
        </is>
      </c>
      <c r="G519" s="15" t="n"/>
      <c r="H519" s="9" t="inlineStr">
        <is>
          <t>Sales Tax 8.000%</t>
        </is>
      </c>
      <c r="I519" s="9" t="n">
        <v>2</v>
      </c>
      <c r="J519" s="9" t="inlineStr">
        <is>
          <t>cnt</t>
        </is>
      </c>
      <c r="K519" s="9" t="n">
        <v>2.48</v>
      </c>
    </row>
    <row r="520" ht="15" customFormat="1" customHeight="1" s="5">
      <c r="A520" s="81" t="n">
        <v>45974</v>
      </c>
      <c r="B520" s="82" t="n">
        <v>0.5</v>
      </c>
      <c r="C520" s="5" t="inlineStr">
        <is>
          <t>O'Reilly Auto Parts</t>
        </is>
      </c>
      <c r="E520" s="5" t="n">
        <v>1</v>
      </c>
      <c r="F520" s="6" t="inlineStr">
        <is>
          <t>ItWasWithTheVISAgiftCard</t>
        </is>
      </c>
      <c r="G520" s="10" t="n"/>
      <c r="H520" s="9" t="inlineStr">
        <is>
          <t>1/2" drive T70 Torx bit</t>
        </is>
      </c>
      <c r="I520" s="9" t="n"/>
      <c r="J520" s="9" t="n"/>
      <c r="K520" s="9" t="n">
        <v>8.630000000000001</v>
      </c>
    </row>
    <row r="521" ht="15" customFormat="1" customHeight="1" s="5">
      <c r="A521" s="81" t="n">
        <v>45974</v>
      </c>
      <c r="B521" s="82" t="n">
        <v>0.2916666666666667</v>
      </c>
      <c r="C521" s="5" t="inlineStr">
        <is>
          <t>US Tax Witholding</t>
        </is>
      </c>
      <c r="D521" s="5" t="n">
        <v>1</v>
      </c>
      <c r="F521" s="6" t="inlineStr">
        <is>
          <t>RTX_Paycheck_25_49</t>
        </is>
      </c>
      <c r="G521" s="7" t="n"/>
      <c r="H521" s="9" t="inlineStr">
        <is>
          <t>Federal Income Tax</t>
        </is>
      </c>
      <c r="K521" s="5" t="n">
        <v>323.49</v>
      </c>
    </row>
    <row r="522" ht="15" customFormat="1" customHeight="1" s="5">
      <c r="A522" s="81" t="n">
        <v>45974</v>
      </c>
      <c r="B522" s="82" t="n">
        <v>0.2916666666666667</v>
      </c>
      <c r="C522" s="5" t="inlineStr">
        <is>
          <t>US Tax Witholding</t>
        </is>
      </c>
      <c r="D522" s="5" t="n">
        <v>1</v>
      </c>
      <c r="F522" s="6" t="inlineStr">
        <is>
          <t>RTX_Paycheck_25_49</t>
        </is>
      </c>
      <c r="G522" s="7" t="n"/>
      <c r="H522" s="9" t="inlineStr">
        <is>
          <t>Social Security Tax</t>
        </is>
      </c>
      <c r="K522" s="5" t="n">
        <v>294.56</v>
      </c>
    </row>
    <row r="523" ht="15" customFormat="1" customHeight="1" s="5">
      <c r="A523" s="81" t="n">
        <v>45974</v>
      </c>
      <c r="B523" s="82" t="n">
        <v>0.2916666666666667</v>
      </c>
      <c r="C523" s="5" t="inlineStr">
        <is>
          <t>US Tax Witholding</t>
        </is>
      </c>
      <c r="D523" s="5" t="n">
        <v>1</v>
      </c>
      <c r="F523" s="6" t="inlineStr">
        <is>
          <t>RTX_Paycheck_25_49</t>
        </is>
      </c>
      <c r="G523" s="7" t="n"/>
      <c r="H523" s="9" t="inlineStr">
        <is>
          <t>Medicare Tax</t>
        </is>
      </c>
      <c r="K523" s="5" t="n">
        <v>68.89</v>
      </c>
    </row>
    <row r="524" ht="15" customFormat="1" customHeight="1" s="5">
      <c r="A524" s="81" t="n">
        <v>45974</v>
      </c>
      <c r="B524" s="82" t="n">
        <v>0.2916666666666667</v>
      </c>
      <c r="C524" s="5" t="inlineStr">
        <is>
          <t>Raytheon</t>
        </is>
      </c>
      <c r="D524" s="5" t="n">
        <v>1</v>
      </c>
      <c r="F524" s="6" t="inlineStr">
        <is>
          <t>RTX_Paycheck_25_49</t>
        </is>
      </c>
      <c r="G524" s="17" t="inlineStr">
        <is>
          <t>XXXX3523</t>
        </is>
      </c>
      <c r="H524" s="9" t="inlineStr">
        <is>
          <t>Net Paycheck [Oct 25 - Nov 07]</t>
        </is>
      </c>
      <c r="K524" s="5" t="n">
        <v>3547.26</v>
      </c>
    </row>
    <row r="525" ht="15" customFormat="1" customHeight="1" s="5">
      <c r="A525" s="81" t="n">
        <v>45974</v>
      </c>
      <c r="B525" s="82" t="n">
        <v>0.2916666666666667</v>
      </c>
      <c r="C525" s="5" t="inlineStr">
        <is>
          <t>Raytheon</t>
        </is>
      </c>
      <c r="D525" s="5" t="n">
        <v>1</v>
      </c>
      <c r="F525" s="6" t="inlineStr">
        <is>
          <t>RTX_Paycheck_25_49</t>
        </is>
      </c>
      <c r="G525" s="10" t="n"/>
      <c r="H525" s="9" t="inlineStr">
        <is>
          <t>RTX Direct Deposit -- cancelling offset</t>
        </is>
      </c>
      <c r="K525" s="5" t="n">
        <v>-3547.27</v>
      </c>
    </row>
    <row r="526" ht="15" customFormat="1" customHeight="1" s="5">
      <c r="A526" s="81" t="n">
        <v>45974</v>
      </c>
      <c r="B526" s="82" t="n">
        <v>0.2916666666666667</v>
      </c>
      <c r="C526" s="5" t="inlineStr">
        <is>
          <t>Raytheon</t>
        </is>
      </c>
      <c r="D526" s="5" t="n">
        <v>1</v>
      </c>
      <c r="F526" s="6" t="inlineStr">
        <is>
          <t>RTX_Paycheck_25_49</t>
        </is>
      </c>
      <c r="G526" s="10" t="n"/>
      <c r="H526" s="9" t="inlineStr">
        <is>
          <t>Gross Paycheck [Oct 25 - Nov 07] ($62.5000/hr)</t>
        </is>
      </c>
      <c r="K526" s="5" t="n">
        <v>-5000</v>
      </c>
    </row>
    <row r="527" ht="15" customFormat="1" customHeight="1" s="5">
      <c r="A527" s="81" t="n">
        <v>45974</v>
      </c>
      <c r="B527" s="82" t="n">
        <v>0.2916666666666667</v>
      </c>
      <c r="C527" s="5" t="inlineStr">
        <is>
          <t>Raytheon</t>
        </is>
      </c>
      <c r="D527" s="5" t="n">
        <v>1</v>
      </c>
      <c r="F527" s="6" t="inlineStr">
        <is>
          <t>RTX_Paycheck_25_49</t>
        </is>
      </c>
      <c r="G527" s="10" t="n"/>
      <c r="H527" s="9" t="inlineStr">
        <is>
          <t>Ed(ucation) Assi(tance) Offset</t>
        </is>
      </c>
      <c r="K527" s="5" t="n">
        <v>0</v>
      </c>
    </row>
    <row r="528" ht="15" customFormat="1" customHeight="1" s="5">
      <c r="A528" s="81" t="n">
        <v>45974</v>
      </c>
      <c r="B528" s="82" t="n">
        <v>0.2916666666666667</v>
      </c>
      <c r="C528" s="5" t="inlineStr">
        <is>
          <t>Parents Gift Account</t>
        </is>
      </c>
      <c r="D528" s="5" t="n">
        <v>1</v>
      </c>
      <c r="F528" s="6" t="inlineStr">
        <is>
          <t>RTX_Paycheck_25_49</t>
        </is>
      </c>
      <c r="G528" s="17" t="inlineStr">
        <is>
          <t>XXXX7146</t>
        </is>
      </c>
      <c r="H528" s="9" t="inlineStr">
        <is>
          <t>Contribution to Parents Gift Account</t>
        </is>
      </c>
      <c r="K528" s="5" t="n">
        <v>0.01</v>
      </c>
    </row>
    <row r="529" ht="15" customFormat="1" customHeight="1" s="5">
      <c r="A529" s="81" t="n">
        <v>45974</v>
      </c>
      <c r="B529" s="82" t="n">
        <v>0.2916666666666667</v>
      </c>
      <c r="C529" s="5" t="inlineStr">
        <is>
          <t>HSA</t>
        </is>
      </c>
      <c r="D529" s="5" t="n">
        <v>1</v>
      </c>
      <c r="F529" s="6" t="inlineStr">
        <is>
          <t>RTX_Paycheck_25_49</t>
        </is>
      </c>
      <c r="G529" s="10" t="n"/>
      <c r="H529" s="9" t="inlineStr">
        <is>
          <t>Personal contribution to HSA</t>
        </is>
      </c>
      <c r="K529" s="5" t="n">
        <v>115.73</v>
      </c>
    </row>
    <row r="530" ht="15" customFormat="1" customHeight="1" s="5">
      <c r="A530" s="81" t="n">
        <v>45974</v>
      </c>
      <c r="B530" s="82" t="n">
        <v>0.2916666666666667</v>
      </c>
      <c r="C530" s="5" t="inlineStr">
        <is>
          <t>Delta Dental</t>
        </is>
      </c>
      <c r="D530" s="5" t="n">
        <v>1</v>
      </c>
      <c r="F530" s="6" t="inlineStr">
        <is>
          <t>RTX_Paycheck_25_49</t>
        </is>
      </c>
      <c r="G530" s="10" t="n"/>
      <c r="H530" s="9" t="inlineStr">
        <is>
          <t>Dental Insurance</t>
        </is>
      </c>
      <c r="K530" s="5" t="n">
        <v>4.26</v>
      </c>
    </row>
    <row r="531" ht="15" customFormat="1" customHeight="1" s="5">
      <c r="A531" s="81" t="n">
        <v>45974</v>
      </c>
      <c r="B531" s="82" t="n">
        <v>0.2916666666666667</v>
      </c>
      <c r="C531" s="5" t="inlineStr">
        <is>
          <t>CO Tax Witholding</t>
        </is>
      </c>
      <c r="D531" s="5" t="n">
        <v>1</v>
      </c>
      <c r="F531" s="6" t="inlineStr">
        <is>
          <t>RTX_Paycheck_25_49</t>
        </is>
      </c>
      <c r="G531" s="7" t="n"/>
      <c r="H531" s="9" t="inlineStr">
        <is>
          <t>CO State Income Tax</t>
        </is>
      </c>
      <c r="K531" s="5" t="n">
        <v>192.02</v>
      </c>
    </row>
    <row r="532" ht="15" customFormat="1" customHeight="1" s="5">
      <c r="A532" s="81" t="n">
        <v>45974</v>
      </c>
      <c r="B532" s="82" t="n">
        <v>0.2916666666666667</v>
      </c>
      <c r="C532" s="5" t="inlineStr">
        <is>
          <t>CO Tax Witholding</t>
        </is>
      </c>
      <c r="D532" s="5" t="n">
        <v>1</v>
      </c>
      <c r="F532" s="6" t="inlineStr">
        <is>
          <t>RTX_Paycheck_25_49</t>
        </is>
      </c>
      <c r="G532" s="7" t="n"/>
      <c r="H532" s="9" t="inlineStr">
        <is>
          <t>CO Paid Family Leave Insurance</t>
        </is>
      </c>
      <c r="K532" s="5" t="n">
        <v>22.5</v>
      </c>
    </row>
    <row r="533" ht="15" customFormat="1" customHeight="1" s="5">
      <c r="A533" s="81" t="n">
        <v>45974</v>
      </c>
      <c r="B533" s="82" t="n">
        <v>0.2916666666666667</v>
      </c>
      <c r="C533" s="5" t="inlineStr">
        <is>
          <t>Anthem BcBs</t>
        </is>
      </c>
      <c r="D533" s="5" t="n">
        <v>1</v>
      </c>
      <c r="F533" s="6" t="inlineStr">
        <is>
          <t>RTX_Paycheck_25_49</t>
        </is>
      </c>
      <c r="G533" s="10" t="n"/>
      <c r="H533" s="9" t="inlineStr">
        <is>
          <t>Medical Insurance</t>
        </is>
      </c>
      <c r="K533" s="5" t="n">
        <v>131.28</v>
      </c>
    </row>
    <row r="534" ht="15" customFormat="1" customHeight="1" s="5">
      <c r="A534" s="81" t="n">
        <v>45974</v>
      </c>
      <c r="B534" s="82" t="n">
        <v>0.2916666666666667</v>
      </c>
      <c r="C534" s="5" t="inlineStr">
        <is>
          <t>Alight</t>
        </is>
      </c>
      <c r="D534" s="5" t="n">
        <v>1</v>
      </c>
      <c r="F534" s="6" t="inlineStr">
        <is>
          <t>RTX_Paycheck_25_49</t>
        </is>
      </c>
      <c r="G534" s="10" t="n"/>
      <c r="H534" s="9" t="inlineStr">
        <is>
          <t>401k Basic -- Traditional</t>
        </is>
      </c>
      <c r="K534" s="5" t="n">
        <v>0</v>
      </c>
    </row>
    <row r="535" ht="15" customFormat="1" customHeight="1" s="5">
      <c r="A535" s="81" t="n">
        <v>45974</v>
      </c>
      <c r="B535" s="82" t="n">
        <v>0.2916666666666667</v>
      </c>
      <c r="C535" s="5" t="inlineStr">
        <is>
          <t>Alight</t>
        </is>
      </c>
      <c r="D535" s="5" t="n">
        <v>1</v>
      </c>
      <c r="F535" s="6" t="inlineStr">
        <is>
          <t>RTX_Paycheck_25_49</t>
        </is>
      </c>
      <c r="G535" s="10" t="n"/>
      <c r="H535" s="9" t="inlineStr">
        <is>
          <t>Roth 401k Basic</t>
        </is>
      </c>
      <c r="K535" s="5" t="n">
        <v>300</v>
      </c>
    </row>
    <row r="536" ht="15" customFormat="1" customHeight="1" s="5">
      <c r="A536" s="81" t="n">
        <v>45974</v>
      </c>
      <c r="B536" s="78" t="n">
        <v>0.2361111111111111</v>
      </c>
      <c r="C536" s="5" t="inlineStr">
        <is>
          <t>Xfinity</t>
        </is>
      </c>
      <c r="D536" s="5" t="n">
        <v>1</v>
      </c>
      <c r="F536" s="60" t="inlineStr">
        <is>
          <t>3726400266682620000_310184147</t>
        </is>
      </c>
      <c r="G536" s="15" t="n"/>
      <c r="H536" s="9" t="inlineStr">
        <is>
          <t>1-time line activation fee</t>
        </is>
      </c>
      <c r="I536" s="9" t="n">
        <v>1</v>
      </c>
      <c r="J536" s="9" t="inlineStr">
        <is>
          <t>cnt</t>
        </is>
      </c>
      <c r="K536" s="9" t="n">
        <v>25</v>
      </c>
    </row>
    <row r="537" ht="15" customFormat="1" customHeight="1" s="5">
      <c r="A537" s="81" t="n">
        <v>45974</v>
      </c>
      <c r="B537" s="78" t="n">
        <v>0.2361111111111111</v>
      </c>
      <c r="C537" s="5" t="inlineStr">
        <is>
          <t>Xfinity</t>
        </is>
      </c>
      <c r="D537" s="5" t="n">
        <v>1</v>
      </c>
      <c r="F537" s="60" t="inlineStr">
        <is>
          <t>3726400266682620000_310184147</t>
        </is>
      </c>
      <c r="G537" s="15" t="n"/>
      <c r="H537" s="9" t="inlineStr">
        <is>
          <t>State and Local Sales Tax</t>
        </is>
      </c>
      <c r="I537" s="9" t="n">
        <v>1</v>
      </c>
      <c r="J537" s="9" t="inlineStr">
        <is>
          <t>cnt</t>
        </is>
      </c>
      <c r="K537" s="9" t="n">
        <v>0.4</v>
      </c>
    </row>
    <row r="538" ht="15" customFormat="1" customHeight="1" s="5">
      <c r="A538" s="81" t="n">
        <v>45974</v>
      </c>
      <c r="B538" s="78" t="n">
        <v>0.2361111111111111</v>
      </c>
      <c r="C538" s="5" t="inlineStr">
        <is>
          <t>Xfinity</t>
        </is>
      </c>
      <c r="D538" s="5" t="n">
        <v>1</v>
      </c>
      <c r="F538" s="60" t="inlineStr">
        <is>
          <t>3726400266682620000_310184147</t>
        </is>
      </c>
      <c r="G538" s="15" t="n"/>
      <c r="H538" s="9" t="inlineStr">
        <is>
          <t>Regulatory Recovery Fee</t>
        </is>
      </c>
      <c r="I538" s="9" t="n">
        <v>1</v>
      </c>
      <c r="J538" s="9" t="inlineStr">
        <is>
          <t>cnt</t>
        </is>
      </c>
      <c r="K538" s="9" t="n">
        <v>0.3</v>
      </c>
    </row>
    <row r="539" ht="15" customFormat="1" customHeight="1" s="5">
      <c r="A539" s="81" t="n">
        <v>45974</v>
      </c>
      <c r="B539" s="78" t="n">
        <v>0.2361111111111111</v>
      </c>
      <c r="C539" s="5" t="inlineStr">
        <is>
          <t>Xfinity</t>
        </is>
      </c>
      <c r="D539" s="5" t="n">
        <v>1</v>
      </c>
      <c r="F539" s="60" t="inlineStr">
        <is>
          <t>3726400266682620000_310184147</t>
        </is>
      </c>
      <c r="G539" s="17" t="n"/>
      <c r="H539" s="9" t="inlineStr">
        <is>
          <t>Universal Connectivity Charge</t>
        </is>
      </c>
      <c r="I539" s="5" t="n">
        <v>1</v>
      </c>
      <c r="J539" s="5" t="inlineStr">
        <is>
          <t>cnt</t>
        </is>
      </c>
      <c r="K539" s="5" t="n">
        <v>0.63</v>
      </c>
    </row>
    <row r="540" ht="15" customFormat="1" customHeight="1" s="5">
      <c r="A540" s="81" t="n">
        <v>45974</v>
      </c>
      <c r="B540" s="78" t="n">
        <v>0.2361111111111111</v>
      </c>
      <c r="C540" s="5" t="inlineStr">
        <is>
          <t>Xfinity</t>
        </is>
      </c>
      <c r="D540" s="5" t="n">
        <v>1</v>
      </c>
      <c r="F540" s="6" t="n"/>
      <c r="G540" s="15" t="n"/>
      <c r="H540" s="9" t="inlineStr">
        <is>
          <t>Eli Xfinity Unlimited Line Phone Bill - 1st month (Sep 24 - Oct 23)</t>
        </is>
      </c>
      <c r="I540" s="9" t="n"/>
      <c r="J540" s="9" t="n"/>
      <c r="K540" s="9" t="n">
        <v>34.67</v>
      </c>
    </row>
    <row r="541" ht="15" customFormat="1" customHeight="1" s="5">
      <c r="A541" s="81" t="n">
        <v>45974</v>
      </c>
      <c r="B541" s="78" t="n">
        <v>0.2361111111111111</v>
      </c>
      <c r="C541" s="5" t="inlineStr">
        <is>
          <t>Xfinity</t>
        </is>
      </c>
      <c r="D541" s="5" t="n">
        <v>1</v>
      </c>
      <c r="F541" s="6" t="n"/>
      <c r="G541" s="15" t="n"/>
      <c r="H541" s="9" t="inlineStr">
        <is>
          <t>**DISCOUNT** Xfinity 1 year promotion for free "unlimited phone line"</t>
        </is>
      </c>
      <c r="I541" s="9" t="n"/>
      <c r="J541" s="9" t="n"/>
      <c r="K541" s="9" t="n">
        <v>-34.67</v>
      </c>
    </row>
    <row r="542" ht="15" customFormat="1" customHeight="1" s="5">
      <c r="A542" s="81" t="n">
        <v>45973</v>
      </c>
      <c r="B542" s="82" t="n">
        <v>0.7965277777777777</v>
      </c>
      <c r="C542" s="5" t="inlineStr">
        <is>
          <t>Amazon</t>
        </is>
      </c>
      <c r="D542" s="5" t="n">
        <v>1</v>
      </c>
      <c r="F542" s="6" t="inlineStr">
        <is>
          <t>111-4852546-6097861</t>
        </is>
      </c>
      <c r="G542" s="10" t="n"/>
      <c r="H542" s="9" t="inlineStr">
        <is>
          <t>Ecavus Women's Maternity Nursing Sweatshirt Hidden Zipper 2025 Long Sleeves Oversize Breastfeeding Pullover Tops with Pockets</t>
        </is>
      </c>
      <c r="I542" s="9" t="n">
        <v>1</v>
      </c>
      <c r="J542" s="9" t="inlineStr">
        <is>
          <t>cnt</t>
        </is>
      </c>
      <c r="K542" s="9" t="n">
        <v>28.99</v>
      </c>
    </row>
    <row r="543" ht="15" customFormat="1" customHeight="1" s="5">
      <c r="A543" s="81" t="n">
        <v>45973</v>
      </c>
      <c r="B543" s="82" t="n">
        <v>0.7965277777777777</v>
      </c>
      <c r="C543" s="5" t="inlineStr">
        <is>
          <t>Amazon</t>
        </is>
      </c>
      <c r="D543" s="5" t="n">
        <v>1</v>
      </c>
      <c r="F543" s="6" t="inlineStr">
        <is>
          <t>111-4852546-6097861</t>
        </is>
      </c>
      <c r="G543" s="10" t="n"/>
      <c r="H543" s="9" t="inlineStr">
        <is>
          <t>Scurtain Kids Toddler Slippers Socks Artificial Woolen Slippers for Boys Girls Baby with Non-Slip Rubber Sole 2026 Brown 5.5-6 Toddler</t>
        </is>
      </c>
      <c r="I543" s="9" t="n">
        <v>1</v>
      </c>
      <c r="J543" s="9" t="inlineStr">
        <is>
          <t>cnt</t>
        </is>
      </c>
      <c r="K543" s="9" t="n">
        <v>12.9</v>
      </c>
    </row>
    <row r="544" ht="15" customFormat="1" customHeight="1" s="5">
      <c r="A544" s="81" t="n">
        <v>45973</v>
      </c>
      <c r="B544" s="82" t="n">
        <v>0.7965277777777777</v>
      </c>
      <c r="C544" s="5" t="inlineStr">
        <is>
          <t>Amazon</t>
        </is>
      </c>
      <c r="D544" s="5" t="n">
        <v>1</v>
      </c>
      <c r="F544" s="6" t="inlineStr">
        <is>
          <t>111-4852546-6097861</t>
        </is>
      </c>
      <c r="G544" s="10" t="n"/>
      <c r="H544" s="9" t="inlineStr">
        <is>
          <t>Ecavus 3-Pack Long Sleeve Breastfeeding Shirts with Hidden Zippers Comfort and Soft Nursing Shirts for Women</t>
        </is>
      </c>
      <c r="I544" s="9" t="n">
        <v>3</v>
      </c>
      <c r="J544" s="9" t="inlineStr">
        <is>
          <t>cnt</t>
        </is>
      </c>
      <c r="K544" s="9" t="n">
        <v>26.99</v>
      </c>
    </row>
    <row r="545" ht="15" customFormat="1" customHeight="1" s="5">
      <c r="A545" s="81" t="n">
        <v>45973</v>
      </c>
      <c r="B545" s="82" t="n">
        <v>0.7965277777777777</v>
      </c>
      <c r="C545" s="5" t="inlineStr">
        <is>
          <t>Amazon</t>
        </is>
      </c>
      <c r="D545" s="5" t="n">
        <v>1</v>
      </c>
      <c r="F545" s="6" t="inlineStr">
        <is>
          <t>111-4852546-6097861</t>
        </is>
      </c>
      <c r="G545" s="10" t="n"/>
      <c r="H545" s="9" t="inlineStr">
        <is>
          <t>Tiny Trainers - Baby Cotton Training Pants, Unisex, for Babies and Toddlers, Elimination Communication or Potty Training - 3-pack (18 months, Bear/Learn)</t>
        </is>
      </c>
      <c r="I545" s="9" t="n">
        <v>3</v>
      </c>
      <c r="J545" s="9" t="inlineStr">
        <is>
          <t>cnt</t>
        </is>
      </c>
      <c r="K545" s="9" t="n">
        <v>30</v>
      </c>
    </row>
    <row r="546" ht="15" customFormat="1" customHeight="1" s="5">
      <c r="A546" s="81" t="n">
        <v>45973</v>
      </c>
      <c r="B546" s="82" t="n">
        <v>0.7965277777777777</v>
      </c>
      <c r="C546" s="5" t="inlineStr">
        <is>
          <t>Amazon</t>
        </is>
      </c>
      <c r="D546" s="5" t="n">
        <v>1</v>
      </c>
      <c r="F546" s="6" t="inlineStr">
        <is>
          <t>111-4852546-6097861</t>
        </is>
      </c>
      <c r="G546" s="10" t="n"/>
      <c r="H546" s="9" t="inlineStr">
        <is>
          <t>Smallshow Women's Fleece Nursing Tops Shirts Long Sleeve Breastfeeding Clothes Medium Light Grey</t>
        </is>
      </c>
      <c r="I546" s="9" t="n">
        <v>1</v>
      </c>
      <c r="J546" s="9" t="inlineStr">
        <is>
          <t>cnt</t>
        </is>
      </c>
      <c r="K546" s="9" t="n">
        <v>29.99</v>
      </c>
    </row>
    <row r="547" ht="15" customFormat="1" customHeight="1" s="5">
      <c r="A547" s="81" t="n">
        <v>45973</v>
      </c>
      <c r="B547" s="82" t="n">
        <v>0.7965277777777777</v>
      </c>
      <c r="C547" s="5" t="inlineStr">
        <is>
          <t>Amazon</t>
        </is>
      </c>
      <c r="D547" s="5" t="n">
        <v>1</v>
      </c>
      <c r="F547" s="6" t="inlineStr">
        <is>
          <t>111-4852546-6097861</t>
        </is>
      </c>
      <c r="G547" s="10" t="n"/>
      <c r="H547" s="9" t="inlineStr">
        <is>
          <t>**DISCOUNT** Amazon Registry 15% discount</t>
        </is>
      </c>
      <c r="I547" s="9" t="n">
        <v>5</v>
      </c>
      <c r="J547" s="9" t="inlineStr">
        <is>
          <t>cnt</t>
        </is>
      </c>
      <c r="K547" s="9" t="n">
        <v>-15.93</v>
      </c>
    </row>
    <row r="548" ht="15" customFormat="1" customHeight="1" s="5">
      <c r="A548" s="81" t="n">
        <v>45973</v>
      </c>
      <c r="B548" s="82" t="n">
        <v>0.7965277777777777</v>
      </c>
      <c r="C548" s="5" t="inlineStr">
        <is>
          <t>Amazon</t>
        </is>
      </c>
      <c r="D548" s="5" t="n">
        <v>1</v>
      </c>
      <c r="F548" s="6" t="inlineStr">
        <is>
          <t>111-4852546-6097861</t>
        </is>
      </c>
      <c r="G548" s="10" t="n"/>
      <c r="H548" s="9" t="inlineStr">
        <is>
          <t>Sales Tax</t>
        </is>
      </c>
      <c r="I548" s="9" t="n">
        <v>5</v>
      </c>
      <c r="J548" s="9" t="inlineStr">
        <is>
          <t>cnt</t>
        </is>
      </c>
      <c r="K548" s="9" t="n">
        <v>10.08</v>
      </c>
    </row>
    <row r="549" ht="15" customFormat="1" customHeight="1" s="5">
      <c r="A549" s="81" t="n">
        <v>45973</v>
      </c>
      <c r="B549" s="82" t="n">
        <v>0.7965277777777777</v>
      </c>
      <c r="C549" s="5" t="inlineStr">
        <is>
          <t>Amazon</t>
        </is>
      </c>
      <c r="D549" s="5" t="n">
        <v>1</v>
      </c>
      <c r="F549" s="6" t="inlineStr">
        <is>
          <t>111-7284324-8847451</t>
        </is>
      </c>
      <c r="G549" s="10" t="n"/>
      <c r="H549" s="9" t="inlineStr">
        <is>
          <t>Hibiclens – Antimicrobial and Antiseptic Soap and Skin Cleanser – 32 oz – for Home and Hospital – 4% CHG, Packaging May Vary</t>
        </is>
      </c>
      <c r="I549" s="9" t="n">
        <v>32</v>
      </c>
      <c r="J549" s="9" t="inlineStr">
        <is>
          <t>oz</t>
        </is>
      </c>
      <c r="K549" s="9" t="n">
        <v>27.99</v>
      </c>
    </row>
    <row r="550" ht="15" customFormat="1" customHeight="1" s="5">
      <c r="A550" s="81" t="n">
        <v>45973</v>
      </c>
      <c r="B550" s="82" t="n">
        <v>0.7965277777777777</v>
      </c>
      <c r="C550" s="5" t="inlineStr">
        <is>
          <t>Amazon</t>
        </is>
      </c>
      <c r="D550" s="5" t="n">
        <v>1</v>
      </c>
      <c r="F550" s="6" t="inlineStr">
        <is>
          <t>111-7284324-8847451</t>
        </is>
      </c>
      <c r="G550" s="10" t="n"/>
      <c r="H550" s="9" t="inlineStr">
        <is>
          <t>**DISCOUNT** Amazon Registry 15% discount</t>
        </is>
      </c>
      <c r="I550" s="9" t="n">
        <v>32</v>
      </c>
      <c r="J550" s="9" t="inlineStr">
        <is>
          <t>oz</t>
        </is>
      </c>
      <c r="K550" s="9" t="n">
        <v>-4.2</v>
      </c>
    </row>
    <row r="551" ht="15" customFormat="1" customHeight="1" s="5">
      <c r="A551" s="81" t="n">
        <v>45973</v>
      </c>
      <c r="B551" s="82" t="n">
        <v>0.7965277777777777</v>
      </c>
      <c r="C551" s="5" t="inlineStr">
        <is>
          <t>Amazon</t>
        </is>
      </c>
      <c r="D551" s="5" t="n">
        <v>1</v>
      </c>
      <c r="F551" s="6" t="inlineStr">
        <is>
          <t>111-7284324-8847451</t>
        </is>
      </c>
      <c r="G551" s="10" t="n"/>
      <c r="H551" s="9" t="inlineStr">
        <is>
          <t>Sales Tax</t>
        </is>
      </c>
      <c r="I551" s="9" t="n">
        <v>32</v>
      </c>
      <c r="J551" s="9" t="inlineStr">
        <is>
          <t>oz</t>
        </is>
      </c>
      <c r="K551" s="9" t="n">
        <v>1.9</v>
      </c>
    </row>
    <row r="552" ht="15" customFormat="1" customHeight="1" s="5">
      <c r="A552" s="81" t="n">
        <v>45973</v>
      </c>
      <c r="B552" s="82" t="n">
        <v>0.6944444444444444</v>
      </c>
      <c r="C552" s="5" t="inlineStr">
        <is>
          <t>Amazon</t>
        </is>
      </c>
      <c r="D552" s="5" t="n">
        <v>1</v>
      </c>
      <c r="F552" s="6" t="inlineStr">
        <is>
          <t>111-2721868-5325069</t>
        </is>
      </c>
      <c r="G552" s="10" t="inlineStr">
        <is>
          <t>A</t>
        </is>
      </c>
      <c r="H552" s="9" t="inlineStr">
        <is>
          <t>Huggies Size Newborn Diapers, Little Snugglers Baby Diapers, Size Newborn (up to 10 lbs), 144 Count, Packaging May Vary</t>
        </is>
      </c>
      <c r="I552" s="9" t="n">
        <v>144</v>
      </c>
      <c r="J552" s="9" t="inlineStr">
        <is>
          <t>cnt</t>
        </is>
      </c>
      <c r="K552" s="9" t="n">
        <v>44.99</v>
      </c>
    </row>
    <row r="553" ht="15" customFormat="1" customHeight="1" s="5">
      <c r="A553" s="81" t="n">
        <v>45973</v>
      </c>
      <c r="B553" s="82" t="n">
        <v>0.6944444444444444</v>
      </c>
      <c r="C553" s="5" t="inlineStr">
        <is>
          <t>Amazon</t>
        </is>
      </c>
      <c r="D553" s="5" t="n">
        <v>1</v>
      </c>
      <c r="F553" s="6" t="inlineStr">
        <is>
          <t>111-2721868-5325069</t>
        </is>
      </c>
      <c r="G553" s="10" t="inlineStr">
        <is>
          <t>A</t>
        </is>
      </c>
      <c r="H553" s="9" t="inlineStr">
        <is>
          <t>**DISCOUNT** Amazon Registry 15% discount</t>
        </is>
      </c>
      <c r="I553" s="9" t="n">
        <v>144</v>
      </c>
      <c r="J553" s="9" t="inlineStr">
        <is>
          <t>cnt</t>
        </is>
      </c>
      <c r="K553" s="9" t="n">
        <v>-6.75</v>
      </c>
    </row>
    <row r="554" ht="15" customFormat="1" customHeight="1" s="5">
      <c r="A554" s="81" t="n">
        <v>45973</v>
      </c>
      <c r="B554" s="82" t="n">
        <v>0.6944444444444444</v>
      </c>
      <c r="C554" s="5" t="inlineStr">
        <is>
          <t>Amazon</t>
        </is>
      </c>
      <c r="D554" s="5" t="n">
        <v>1</v>
      </c>
      <c r="F554" s="6" t="inlineStr">
        <is>
          <t>111-8571187-2058661</t>
        </is>
      </c>
      <c r="G554" s="10" t="inlineStr">
        <is>
          <t>B</t>
        </is>
      </c>
      <c r="H554" s="9" t="inlineStr">
        <is>
          <t>Huggies Size 1 Diapers, Little Snugglers Diapers, Size 1 (8-14 lbs), 198 Count (6 Packs of 33), Packaging May Vary</t>
        </is>
      </c>
      <c r="I554" s="9" t="n">
        <v>198</v>
      </c>
      <c r="J554" s="9" t="inlineStr">
        <is>
          <t>cnt</t>
        </is>
      </c>
      <c r="K554" s="9" t="n">
        <v>53.99</v>
      </c>
    </row>
    <row r="555" ht="15" customFormat="1" customHeight="1" s="5">
      <c r="A555" s="81" t="n">
        <v>45973</v>
      </c>
      <c r="B555" s="82" t="n">
        <v>0.6944444444444444</v>
      </c>
      <c r="C555" s="5" t="inlineStr">
        <is>
          <t>Amazon</t>
        </is>
      </c>
      <c r="D555" s="5" t="n">
        <v>1</v>
      </c>
      <c r="F555" s="6" t="inlineStr">
        <is>
          <t>111-8571187-2058661</t>
        </is>
      </c>
      <c r="G555" s="10" t="inlineStr">
        <is>
          <t>B</t>
        </is>
      </c>
      <c r="H555" s="9" t="inlineStr">
        <is>
          <t>**DISCOUNT** Amazon Registry 15% discount</t>
        </is>
      </c>
      <c r="I555" s="9" t="n">
        <v>198</v>
      </c>
      <c r="J555" s="9" t="inlineStr">
        <is>
          <t>cnt</t>
        </is>
      </c>
      <c r="K555" s="9" t="n">
        <v>-7.2</v>
      </c>
    </row>
    <row r="556" ht="15" customFormat="1" customHeight="1" s="5">
      <c r="A556" s="81" t="n">
        <v>45973</v>
      </c>
      <c r="B556" s="82" t="n">
        <v>0.6944444444444444</v>
      </c>
      <c r="C556" s="5" t="inlineStr">
        <is>
          <t>Amazon</t>
        </is>
      </c>
      <c r="D556" s="5" t="n">
        <v>1</v>
      </c>
      <c r="F556" s="6" t="inlineStr">
        <is>
          <t>111-8571187-2058661</t>
        </is>
      </c>
      <c r="G556" s="10" t="inlineStr">
        <is>
          <t>B</t>
        </is>
      </c>
      <c r="H556" s="9" t="inlineStr">
        <is>
          <t>**DISCOUNT** Coupon Savings</t>
        </is>
      </c>
      <c r="I556" s="9" t="n">
        <v>198</v>
      </c>
      <c r="J556" s="9" t="inlineStr">
        <is>
          <t>cnt</t>
        </is>
      </c>
      <c r="K556" s="9" t="n">
        <v>-6</v>
      </c>
    </row>
    <row r="557" ht="15" customFormat="1" customHeight="1" s="5">
      <c r="A557" s="81" t="n">
        <v>45973</v>
      </c>
      <c r="B557" s="82" t="n">
        <v>0.6944444444444444</v>
      </c>
      <c r="C557" s="5" t="inlineStr">
        <is>
          <t>Amazon</t>
        </is>
      </c>
      <c r="D557" s="5" t="n">
        <v>1</v>
      </c>
      <c r="F557" s="6" t="inlineStr">
        <is>
          <t>111-8571187-2058661</t>
        </is>
      </c>
      <c r="G557" s="10" t="n"/>
      <c r="H557" s="9" t="inlineStr">
        <is>
          <t>Tax</t>
        </is>
      </c>
      <c r="I557" s="9" t="n">
        <v>2</v>
      </c>
      <c r="J557" s="9" t="inlineStr">
        <is>
          <t>cnt</t>
        </is>
      </c>
      <c r="K557" s="9" t="n">
        <v>0</v>
      </c>
    </row>
    <row r="558" ht="15" customFormat="1" customHeight="1" s="5">
      <c r="A558" s="81" t="n">
        <v>45973</v>
      </c>
      <c r="B558" s="78" t="n">
        <v>0.6708333333333333</v>
      </c>
      <c r="C558" s="5" t="inlineStr">
        <is>
          <t>Groove Subaru</t>
        </is>
      </c>
      <c r="D558" s="5" t="n">
        <v>1</v>
      </c>
      <c r="F558" s="6" t="inlineStr">
        <is>
          <t>17741942</t>
        </is>
      </c>
      <c r="G558" s="15" t="inlineStr">
        <is>
          <t>803918060</t>
        </is>
      </c>
      <c r="H558" s="9" t="inlineStr">
        <is>
          <t>Gasket 1 -- D2 -- $4.03/each -- 18x24x1.0</t>
        </is>
      </c>
      <c r="I558" s="5" t="n">
        <v>4</v>
      </c>
      <c r="J558" s="5" t="inlineStr">
        <is>
          <t>cnt</t>
        </is>
      </c>
      <c r="K558" s="5" t="n">
        <v>16.12</v>
      </c>
    </row>
    <row r="559" ht="15" customFormat="1" customHeight="1" s="5">
      <c r="A559" s="81" t="n">
        <v>45973</v>
      </c>
      <c r="B559" s="78" t="n">
        <v>0.6708333333333333</v>
      </c>
      <c r="C559" s="5" t="inlineStr">
        <is>
          <t>Groove Subaru</t>
        </is>
      </c>
      <c r="D559" s="5" t="n">
        <v>1</v>
      </c>
      <c r="F559" s="6" t="inlineStr">
        <is>
          <t>17741942</t>
        </is>
      </c>
      <c r="G559" s="15" t="inlineStr">
        <is>
          <t>803926090</t>
        </is>
      </c>
      <c r="H559" s="9" t="inlineStr">
        <is>
          <t>Gasket 2 -- D8 -- $2.48/each</t>
        </is>
      </c>
      <c r="I559" s="5" t="n">
        <v>1</v>
      </c>
      <c r="J559" s="5" t="inlineStr">
        <is>
          <t>cnt</t>
        </is>
      </c>
      <c r="K559" s="5" t="n">
        <v>2.48</v>
      </c>
    </row>
    <row r="560" ht="15" customFormat="1" customHeight="1" s="5">
      <c r="A560" s="81" t="n">
        <v>45973</v>
      </c>
      <c r="B560" s="78" t="n">
        <v>0.6708333333333333</v>
      </c>
      <c r="C560" s="5" t="inlineStr">
        <is>
          <t>Groove Subaru</t>
        </is>
      </c>
      <c r="D560" s="5" t="n">
        <v>1</v>
      </c>
      <c r="F560" s="6" t="inlineStr">
        <is>
          <t>17741942</t>
        </is>
      </c>
      <c r="G560" s="15" t="n"/>
      <c r="H560" s="9" t="inlineStr">
        <is>
          <t>Sales Tax</t>
        </is>
      </c>
      <c r="I560" s="5" t="n">
        <v>5</v>
      </c>
      <c r="J560" s="5" t="inlineStr">
        <is>
          <t>cnt</t>
        </is>
      </c>
      <c r="K560" s="5" t="n">
        <v>1.5</v>
      </c>
    </row>
    <row r="561" ht="15" customFormat="1" customHeight="1" s="5">
      <c r="A561" s="81" t="n">
        <v>45973</v>
      </c>
      <c r="B561" s="82" t="n">
        <v>0.5569444444444445</v>
      </c>
      <c r="C561" s="5" t="inlineStr">
        <is>
          <t>Amazon</t>
        </is>
      </c>
      <c r="D561" s="5" t="n">
        <v>1</v>
      </c>
      <c r="F561" s="6" t="inlineStr">
        <is>
          <t>111-1350099-2749022</t>
        </is>
      </c>
      <c r="G561" s="10" t="n"/>
      <c r="H561" s="9" t="inlineStr">
        <is>
          <t>Valvoline FlexFill Advanced Full Synthetic 75W-90 Gear Oil 1 Quart Pouch</t>
        </is>
      </c>
      <c r="I561" s="9" t="n">
        <v>1</v>
      </c>
      <c r="J561" s="9" t="inlineStr">
        <is>
          <t>quart</t>
        </is>
      </c>
      <c r="K561" s="9" t="n">
        <v>16.99</v>
      </c>
    </row>
    <row r="562" ht="15" customFormat="1" customHeight="1" s="5">
      <c r="A562" s="81" t="n">
        <v>45973</v>
      </c>
      <c r="B562" s="82" t="n">
        <v>0.5569444444444445</v>
      </c>
      <c r="C562" s="5" t="inlineStr">
        <is>
          <t>Amazon</t>
        </is>
      </c>
      <c r="D562" s="5" t="n">
        <v>1</v>
      </c>
      <c r="F562" s="6" t="inlineStr">
        <is>
          <t>111-1350099-2749022</t>
        </is>
      </c>
      <c r="G562" s="10" t="n"/>
      <c r="H562" s="9" t="inlineStr">
        <is>
          <t>Valvoline FlexFill Advanced Full Synthetic 75W-90 Gear Oil 1 Quart Pouch</t>
        </is>
      </c>
      <c r="I562" s="9" t="n">
        <v>1</v>
      </c>
      <c r="J562" s="9" t="inlineStr">
        <is>
          <t>quart</t>
        </is>
      </c>
      <c r="K562" s="9" t="n">
        <v>16.99</v>
      </c>
    </row>
    <row r="563" ht="15" customFormat="1" customHeight="1" s="5">
      <c r="A563" s="81" t="n">
        <v>45973</v>
      </c>
      <c r="B563" s="82" t="n">
        <v>0.5569444444444445</v>
      </c>
      <c r="C563" s="5" t="inlineStr">
        <is>
          <t>Amazon</t>
        </is>
      </c>
      <c r="D563" s="5" t="n">
        <v>1</v>
      </c>
      <c r="F563" s="6" t="inlineStr">
        <is>
          <t>111-1350099-2749022</t>
        </is>
      </c>
      <c r="G563" s="10" t="n"/>
      <c r="H563" s="9" t="inlineStr">
        <is>
          <t>Valvoline FlexFill Advanced Full Synthetic 75W-90 Gear Oil 1 Quart Pouch</t>
        </is>
      </c>
      <c r="I563" s="9" t="n">
        <v>1</v>
      </c>
      <c r="J563" s="9" t="inlineStr">
        <is>
          <t>quart</t>
        </is>
      </c>
      <c r="K563" s="9" t="n">
        <v>16.99</v>
      </c>
    </row>
    <row r="564" ht="15" customFormat="1" customHeight="1" s="5">
      <c r="A564" s="81" t="n">
        <v>45973</v>
      </c>
      <c r="B564" s="82" t="n">
        <v>0.5569444444444445</v>
      </c>
      <c r="C564" s="5" t="inlineStr">
        <is>
          <t>Amazon</t>
        </is>
      </c>
      <c r="D564" s="5" t="n">
        <v>1</v>
      </c>
      <c r="F564" s="6" t="inlineStr">
        <is>
          <t>111-1350099-2749022</t>
        </is>
      </c>
      <c r="G564" s="10" t="n"/>
      <c r="H564" s="9" t="inlineStr">
        <is>
          <t>**DICSOUNT** MULTIBUY</t>
        </is>
      </c>
      <c r="I564" s="9" t="n">
        <v>3</v>
      </c>
      <c r="J564" s="9" t="inlineStr">
        <is>
          <t>quart</t>
        </is>
      </c>
      <c r="K564" s="9" t="n">
        <v>-7.65</v>
      </c>
    </row>
    <row r="565" ht="15" customFormat="1" customHeight="1" s="5">
      <c r="A565" s="81" t="n">
        <v>45973</v>
      </c>
      <c r="B565" s="82" t="n">
        <v>0.5569444444444445</v>
      </c>
      <c r="C565" s="5" t="inlineStr">
        <is>
          <t>Amazon</t>
        </is>
      </c>
      <c r="D565" s="5" t="n">
        <v>1</v>
      </c>
      <c r="F565" s="6" t="inlineStr">
        <is>
          <t>111-1350099-2749022</t>
        </is>
      </c>
      <c r="G565" s="10" t="n"/>
      <c r="H565" s="9" t="inlineStr">
        <is>
          <t>Sales Tax</t>
        </is>
      </c>
      <c r="I565" s="9" t="n">
        <v>3</v>
      </c>
      <c r="J565" s="9" t="inlineStr">
        <is>
          <t>quart</t>
        </is>
      </c>
      <c r="K565" s="9" t="n">
        <v>3.48</v>
      </c>
    </row>
    <row r="566" ht="15" customFormat="1" customHeight="1" s="5">
      <c r="A566" s="81" t="n">
        <v>45973</v>
      </c>
      <c r="B566" s="82" t="n">
        <v>0.5569444444444445</v>
      </c>
      <c r="C566" s="5" t="inlineStr">
        <is>
          <t>Amazon</t>
        </is>
      </c>
      <c r="D566" s="5" t="n">
        <v>1</v>
      </c>
      <c r="F566" s="6" t="inlineStr">
        <is>
          <t>111-1350099-2749022</t>
        </is>
      </c>
      <c r="G566" s="10" t="n"/>
      <c r="H566" s="9" t="inlineStr">
        <is>
          <t>Co retail delivery fees</t>
        </is>
      </c>
      <c r="I566" s="9" t="n"/>
      <c r="J566" s="9" t="n"/>
      <c r="K566" s="9" t="n">
        <v>0.28</v>
      </c>
    </row>
    <row r="567" ht="15" customFormat="1" customHeight="1" s="5">
      <c r="A567" s="81" t="n">
        <v>45973</v>
      </c>
      <c r="B567" s="82" t="n">
        <v>0.4486111111111111</v>
      </c>
      <c r="C567" s="5" t="inlineStr">
        <is>
          <t>Safeway</t>
        </is>
      </c>
      <c r="E567" s="5" t="n">
        <v>1</v>
      </c>
      <c r="F567" s="6" t="inlineStr">
        <is>
          <t>174612422090</t>
        </is>
      </c>
      <c r="G567" s="10" t="n"/>
      <c r="H567" s="9" t="inlineStr">
        <is>
          <t>Mangos Small</t>
        </is>
      </c>
      <c r="I567" s="9" t="n">
        <v>5</v>
      </c>
      <c r="J567" s="9" t="inlineStr">
        <is>
          <t>cnt</t>
        </is>
      </c>
      <c r="K567" s="9" t="n">
        <v>3.11</v>
      </c>
    </row>
    <row r="568" ht="15" customFormat="1" customHeight="1" s="5">
      <c r="A568" s="81" t="n">
        <v>45973</v>
      </c>
      <c r="B568" s="82" t="n">
        <v>0.4486111111111111</v>
      </c>
      <c r="C568" s="5" t="inlineStr">
        <is>
          <t>Safeway</t>
        </is>
      </c>
      <c r="E568" s="5" t="n">
        <v>1</v>
      </c>
      <c r="F568" s="6" t="inlineStr">
        <is>
          <t>174612422090</t>
        </is>
      </c>
      <c r="G568" s="10" t="n"/>
      <c r="H568" s="9" t="inlineStr">
        <is>
          <t>Value Corner Whole Milk</t>
        </is>
      </c>
      <c r="I568" s="9" t="n">
        <v>1</v>
      </c>
      <c r="J568" s="9" t="inlineStr">
        <is>
          <t>Gal</t>
        </is>
      </c>
      <c r="K568" s="9" t="n">
        <v>6.78</v>
      </c>
    </row>
    <row r="569" ht="15" customFormat="1" customHeight="1" s="5">
      <c r="A569" s="81" t="n">
        <v>45973</v>
      </c>
      <c r="B569" s="82" t="n">
        <v>0.4486111111111111</v>
      </c>
      <c r="C569" s="5" t="inlineStr">
        <is>
          <t>Safeway</t>
        </is>
      </c>
      <c r="E569" s="5" t="n">
        <v>1</v>
      </c>
      <c r="F569" s="6" t="inlineStr">
        <is>
          <t>174612422090</t>
        </is>
      </c>
      <c r="G569" s="10" t="n"/>
      <c r="H569" s="9" t="inlineStr">
        <is>
          <t>Fage Total 5% Plain Yogurt</t>
        </is>
      </c>
      <c r="I569" s="9" t="n">
        <v>5.3</v>
      </c>
      <c r="J569" s="9" t="inlineStr">
        <is>
          <t>oz</t>
        </is>
      </c>
      <c r="K569" s="9" t="n">
        <v>1.08</v>
      </c>
    </row>
    <row r="570" ht="15" customFormat="1" customHeight="1" s="5">
      <c r="A570" s="81" t="n">
        <v>45973</v>
      </c>
      <c r="B570" s="82" t="n">
        <v>0.4486111111111111</v>
      </c>
      <c r="C570" s="5" t="inlineStr">
        <is>
          <t>Safeway</t>
        </is>
      </c>
      <c r="E570" s="5" t="n">
        <v>1</v>
      </c>
      <c r="F570" s="6" t="inlineStr">
        <is>
          <t>174612422090</t>
        </is>
      </c>
      <c r="G570" s="10" t="n"/>
      <c r="H570" s="9" t="inlineStr">
        <is>
          <t>Tax</t>
        </is>
      </c>
      <c r="I570" s="9" t="n">
        <v>1</v>
      </c>
      <c r="J570" s="9" t="inlineStr">
        <is>
          <t>cnt</t>
        </is>
      </c>
      <c r="K570" s="9" t="n">
        <v>0</v>
      </c>
    </row>
    <row r="571" ht="15" customFormat="1" customHeight="1" s="5">
      <c r="A571" s="81" t="n">
        <v>45973</v>
      </c>
      <c r="B571" s="82" t="n">
        <v>0.4319444444444445</v>
      </c>
      <c r="C571" s="5" t="inlineStr">
        <is>
          <t>Costco</t>
        </is>
      </c>
      <c r="E571" s="5" t="n">
        <v>1</v>
      </c>
      <c r="F571" s="6" t="inlineStr">
        <is>
          <t>439 205 26 705</t>
        </is>
      </c>
      <c r="G571" s="15" t="inlineStr">
        <is>
          <t>1814790</t>
        </is>
      </c>
      <c r="H571" s="9" t="inlineStr">
        <is>
          <t>Zena Greens</t>
        </is>
      </c>
      <c r="I571" s="9" t="n">
        <v>30</v>
      </c>
      <c r="J571" s="9" t="inlineStr">
        <is>
          <t>cnt</t>
        </is>
      </c>
      <c r="K571" s="9" t="n">
        <v>34.99</v>
      </c>
    </row>
    <row r="572" ht="15" customFormat="1" customHeight="1" s="5">
      <c r="A572" s="81" t="n">
        <v>45973</v>
      </c>
      <c r="B572" s="82" t="n">
        <v>0.4319444444444445</v>
      </c>
      <c r="C572" s="5" t="inlineStr">
        <is>
          <t>Costco</t>
        </is>
      </c>
      <c r="E572" s="5" t="n">
        <v>1</v>
      </c>
      <c r="F572" s="6" t="inlineStr">
        <is>
          <t>439 205 26 705</t>
        </is>
      </c>
      <c r="G572" s="10" t="n"/>
      <c r="H572" s="9" t="inlineStr">
        <is>
          <t>**DISCOUNT** /1814790</t>
        </is>
      </c>
      <c r="I572" s="9" t="n">
        <v>30</v>
      </c>
      <c r="J572" s="9" t="inlineStr">
        <is>
          <t>cnt</t>
        </is>
      </c>
      <c r="K572" s="9" t="inlineStr">
        <is>
          <t>7-</t>
        </is>
      </c>
    </row>
    <row r="573" ht="15" customFormat="1" customHeight="1" s="5">
      <c r="A573" s="81" t="n">
        <v>45973</v>
      </c>
      <c r="B573" s="82" t="n">
        <v>0.4319444444444445</v>
      </c>
      <c r="C573" s="5" t="inlineStr">
        <is>
          <t>Costco</t>
        </is>
      </c>
      <c r="E573" s="5" t="n">
        <v>1</v>
      </c>
      <c r="F573" s="6" t="inlineStr">
        <is>
          <t>439 205 26 705</t>
        </is>
      </c>
      <c r="G573" s="15" t="inlineStr">
        <is>
          <t>1896710</t>
        </is>
      </c>
      <c r="H573" s="9" t="inlineStr">
        <is>
          <t>BlueAir RSV 2-pack BlueMini Air Filter Units</t>
        </is>
      </c>
      <c r="I573" s="9" t="n">
        <v>2</v>
      </c>
      <c r="J573" s="9" t="inlineStr">
        <is>
          <t>cnt</t>
        </is>
      </c>
      <c r="K573" s="9" t="n">
        <v>99.98999999999999</v>
      </c>
    </row>
    <row r="574" ht="15" customFormat="1" customHeight="1" s="5">
      <c r="A574" s="81" t="n">
        <v>45973</v>
      </c>
      <c r="B574" s="82" t="n">
        <v>0.4319444444444445</v>
      </c>
      <c r="C574" s="5" t="inlineStr">
        <is>
          <t>Costco</t>
        </is>
      </c>
      <c r="E574" s="5" t="n">
        <v>1</v>
      </c>
      <c r="F574" s="6" t="inlineStr">
        <is>
          <t>439 205 26 705</t>
        </is>
      </c>
      <c r="G574" s="10" t="n"/>
      <c r="H574" s="9" t="inlineStr">
        <is>
          <t>**DISCOUNT** /1896710</t>
        </is>
      </c>
      <c r="I574" s="9" t="n">
        <v>2</v>
      </c>
      <c r="J574" s="9" t="inlineStr">
        <is>
          <t>cnt</t>
        </is>
      </c>
      <c r="K574" s="9" t="inlineStr">
        <is>
          <t>20-</t>
        </is>
      </c>
    </row>
    <row r="575" ht="15" customFormat="1" customHeight="1" s="5">
      <c r="A575" s="81" t="n">
        <v>45973</v>
      </c>
      <c r="B575" s="82" t="n">
        <v>0.4319444444444445</v>
      </c>
      <c r="C575" s="5" t="inlineStr">
        <is>
          <t>Costco</t>
        </is>
      </c>
      <c r="E575" s="5" t="n">
        <v>1</v>
      </c>
      <c r="F575" s="6" t="inlineStr">
        <is>
          <t>439 205 26 705</t>
        </is>
      </c>
      <c r="G575" s="15" t="inlineStr">
        <is>
          <t>1307810</t>
        </is>
      </c>
      <c r="H575" s="9" t="inlineStr">
        <is>
          <t>32D Tee Women Medium Green/Gray</t>
        </is>
      </c>
      <c r="I575" s="9" t="n">
        <v>2</v>
      </c>
      <c r="J575" s="9" t="inlineStr">
        <is>
          <t>cnt</t>
        </is>
      </c>
      <c r="K575" s="9" t="n">
        <v>12.99</v>
      </c>
    </row>
    <row r="576" ht="15" customFormat="1" customHeight="1" s="5">
      <c r="A576" s="81" t="n">
        <v>45973</v>
      </c>
      <c r="B576" s="82" t="n">
        <v>0.4319444444444445</v>
      </c>
      <c r="C576" s="5" t="inlineStr">
        <is>
          <t>Costco</t>
        </is>
      </c>
      <c r="E576" s="5" t="n">
        <v>1</v>
      </c>
      <c r="F576" s="6" t="inlineStr">
        <is>
          <t>439 205 26 705</t>
        </is>
      </c>
      <c r="G576" s="10" t="n"/>
      <c r="H576" s="9" t="inlineStr">
        <is>
          <t>**DISCOUNT** /1307810 Heat Tee 32 Degrees</t>
        </is>
      </c>
      <c r="I576" s="9" t="n">
        <v>2</v>
      </c>
      <c r="J576" s="9" t="inlineStr">
        <is>
          <t>cnt</t>
        </is>
      </c>
      <c r="K576" s="9" t="inlineStr">
        <is>
          <t>3-</t>
        </is>
      </c>
    </row>
    <row r="577" ht="15" customFormat="1" customHeight="1" s="5">
      <c r="A577" s="81" t="n">
        <v>45973</v>
      </c>
      <c r="B577" s="82" t="n">
        <v>0.4319444444444445</v>
      </c>
      <c r="C577" s="5" t="inlineStr">
        <is>
          <t>Costco</t>
        </is>
      </c>
      <c r="E577" s="5" t="n">
        <v>1</v>
      </c>
      <c r="F577" s="6" t="inlineStr">
        <is>
          <t>439 205 26 705</t>
        </is>
      </c>
      <c r="G577" s="10" t="n"/>
      <c r="H577" s="9" t="inlineStr">
        <is>
          <t>Tax A 8.00%</t>
        </is>
      </c>
      <c r="I577" s="9" t="n">
        <v>3</v>
      </c>
      <c r="J577" s="9" t="inlineStr">
        <is>
          <t>cnt</t>
        </is>
      </c>
      <c r="K577" s="9" t="n">
        <v>9.44</v>
      </c>
    </row>
    <row r="578" ht="15" customFormat="1" customHeight="1" s="5">
      <c r="A578" s="81" t="n">
        <v>45972</v>
      </c>
      <c r="B578" s="82" t="n">
        <v>0.8645833333333334</v>
      </c>
      <c r="C578" s="5" t="inlineStr">
        <is>
          <t>Panera Bread</t>
        </is>
      </c>
      <c r="D578" s="5" t="n">
        <v>1</v>
      </c>
      <c r="F578" s="6" t="inlineStr">
        <is>
          <t>#6051716013403839</t>
        </is>
      </c>
      <c r="G578" s="10" t="n"/>
      <c r="H578" s="9" t="inlineStr">
        <is>
          <t>Cranberry Walnut Chicken Salad: focaccia, cucumber, basil, cilantro, roasted corn, zesty sweet peppers + APPLE</t>
        </is>
      </c>
      <c r="I578" s="9" t="n">
        <v>1</v>
      </c>
      <c r="J578" s="9" t="inlineStr">
        <is>
          <t>cnt</t>
        </is>
      </c>
      <c r="K578" s="9" t="n">
        <v>9.789999999999999</v>
      </c>
    </row>
    <row r="579" ht="15" customFormat="1" customHeight="1" s="5">
      <c r="A579" s="81" t="n">
        <v>45972</v>
      </c>
      <c r="B579" s="82" t="n">
        <v>0.8645833333333334</v>
      </c>
      <c r="C579" s="5" t="inlineStr">
        <is>
          <t>Panera Bread</t>
        </is>
      </c>
      <c r="D579" s="5" t="n">
        <v>1</v>
      </c>
      <c r="F579" s="6" t="inlineStr">
        <is>
          <t>#6051716013403839</t>
        </is>
      </c>
      <c r="G579" s="10" t="n"/>
      <c r="H579" s="9" t="inlineStr">
        <is>
          <t>Tuna Salad: focaccia, cucumber, basil, extra tomatoes, zesty sweer peppers</t>
        </is>
      </c>
      <c r="I579" s="9" t="n">
        <v>1</v>
      </c>
      <c r="J579" s="9" t="inlineStr">
        <is>
          <t>cnt</t>
        </is>
      </c>
      <c r="K579" s="9" t="n">
        <v>10.49</v>
      </c>
    </row>
    <row r="580" ht="15" customFormat="1" customHeight="1" s="5">
      <c r="A580" s="81" t="n">
        <v>45972</v>
      </c>
      <c r="B580" s="82" t="n">
        <v>0.8645833333333334</v>
      </c>
      <c r="C580" s="5" t="inlineStr">
        <is>
          <t>Panera Bread</t>
        </is>
      </c>
      <c r="D580" s="5" t="n">
        <v>1</v>
      </c>
      <c r="F580" s="6" t="inlineStr">
        <is>
          <t>#6051716013403839</t>
        </is>
      </c>
      <c r="G580" s="10" t="n"/>
      <c r="H580" s="9" t="inlineStr">
        <is>
          <t>Toasted Italiano: zesty sweet peppers, basil, caramelized onions, arugula</t>
        </is>
      </c>
      <c r="I580" s="9" t="n">
        <v>1</v>
      </c>
      <c r="J580" s="9" t="inlineStr">
        <is>
          <t>cnt</t>
        </is>
      </c>
      <c r="K580" s="9" t="n">
        <v>13.49</v>
      </c>
    </row>
    <row r="581" ht="15" customFormat="1" customHeight="1" s="5">
      <c r="A581" s="81" t="n">
        <v>45972</v>
      </c>
      <c r="B581" s="82" t="n">
        <v>0.8645833333333334</v>
      </c>
      <c r="C581" s="5" t="inlineStr">
        <is>
          <t>Panera Bread</t>
        </is>
      </c>
      <c r="D581" s="5" t="n">
        <v>1</v>
      </c>
      <c r="F581" s="6" t="inlineStr">
        <is>
          <t>#6051716013403839</t>
        </is>
      </c>
      <c r="G581" s="10" t="n"/>
      <c r="H581" s="9" t="inlineStr">
        <is>
          <t>Tax (idk why this is so high; did I accidentally tip??)</t>
        </is>
      </c>
      <c r="I581" s="9" t="n">
        <v>3</v>
      </c>
      <c r="J581" s="9" t="inlineStr">
        <is>
          <t>cnt</t>
        </is>
      </c>
      <c r="K581" s="9" t="n">
        <v>7.24</v>
      </c>
    </row>
    <row r="582" ht="15" customFormat="1" customHeight="1" s="5">
      <c r="A582" s="81" t="n">
        <v>45972</v>
      </c>
      <c r="B582" s="82" t="n">
        <v>0.8645833333333334</v>
      </c>
      <c r="C582" s="5" t="inlineStr">
        <is>
          <t>Panera Bread</t>
        </is>
      </c>
      <c r="D582" s="5" t="n">
        <v>1</v>
      </c>
      <c r="F582" s="6" t="inlineStr">
        <is>
          <t>#6051716013403839</t>
        </is>
      </c>
      <c r="G582" s="10" t="n"/>
      <c r="H582" s="9" t="inlineStr">
        <is>
          <t>GIFT CARD -- RITA STAGG</t>
        </is>
      </c>
      <c r="I582" s="9" t="n"/>
      <c r="J582" s="9" t="n"/>
      <c r="K582" s="9" t="n">
        <v>-41.01</v>
      </c>
    </row>
    <row r="583" ht="15" customFormat="1" customHeight="1" s="5">
      <c r="A583" s="81" t="n">
        <v>45972</v>
      </c>
      <c r="B583" s="82" t="n">
        <v>0.6888888888888889</v>
      </c>
      <c r="C583" s="5" t="inlineStr">
        <is>
          <t>Costco</t>
        </is>
      </c>
      <c r="E583" s="5" t="n">
        <v>1</v>
      </c>
      <c r="F583" s="6" t="inlineStr">
        <is>
          <t>439 205 261 705</t>
        </is>
      </c>
      <c r="G583" s="10" t="n"/>
      <c r="H583" s="9" t="inlineStr">
        <is>
          <t>Avocados</t>
        </is>
      </c>
      <c r="I583" s="9" t="n"/>
      <c r="J583" s="9" t="n"/>
      <c r="K583" s="9" t="n">
        <v>4.49</v>
      </c>
    </row>
    <row r="584" ht="15" customFormat="1" customHeight="1" s="5">
      <c r="A584" s="81" t="n">
        <v>45972</v>
      </c>
      <c r="B584" s="82" t="n">
        <v>0.6888888888888889</v>
      </c>
      <c r="C584" s="5" t="inlineStr">
        <is>
          <t>Costco</t>
        </is>
      </c>
      <c r="E584" s="5" t="n">
        <v>1</v>
      </c>
      <c r="F584" s="6" t="inlineStr">
        <is>
          <t>439 205 261 705</t>
        </is>
      </c>
      <c r="G584" s="10" t="n"/>
      <c r="H584" s="9" t="inlineStr">
        <is>
          <t>Organic Avocado Mashed cups</t>
        </is>
      </c>
      <c r="I584" s="9" t="n"/>
      <c r="J584" s="9" t="n"/>
      <c r="K584" s="9" t="n">
        <v>13.99</v>
      </c>
    </row>
    <row r="585" ht="15" customFormat="1" customHeight="1" s="5">
      <c r="A585" s="81" t="n">
        <v>45972</v>
      </c>
      <c r="B585" s="82" t="n">
        <v>0.6888888888888889</v>
      </c>
      <c r="C585" s="5" t="inlineStr">
        <is>
          <t>Costco</t>
        </is>
      </c>
      <c r="E585" s="5" t="n">
        <v>1</v>
      </c>
      <c r="F585" s="6" t="inlineStr">
        <is>
          <t>439 205 261 705</t>
        </is>
      </c>
      <c r="G585" s="10" t="n"/>
      <c r="H585" s="9" t="inlineStr">
        <is>
          <t>Persimmons 8 count</t>
        </is>
      </c>
      <c r="I585" s="9" t="n"/>
      <c r="J585" s="9" t="n"/>
      <c r="K585" s="9" t="n">
        <v>4.99</v>
      </c>
    </row>
    <row r="586" ht="15" customFormat="1" customHeight="1" s="5">
      <c r="A586" s="81" t="n">
        <v>45972</v>
      </c>
      <c r="B586" s="82" t="n">
        <v>0.6888888888888889</v>
      </c>
      <c r="C586" s="5" t="inlineStr">
        <is>
          <t>Costco</t>
        </is>
      </c>
      <c r="E586" s="5" t="n">
        <v>1</v>
      </c>
      <c r="F586" s="6" t="inlineStr">
        <is>
          <t>439 205 261 705</t>
        </is>
      </c>
      <c r="G586" s="10" t="n"/>
      <c r="H586" s="9" t="inlineStr">
        <is>
          <t>Roma Tomatos</t>
        </is>
      </c>
      <c r="I586" s="9" t="n"/>
      <c r="J586" s="9" t="n"/>
      <c r="K586" s="9" t="n">
        <v>6.99</v>
      </c>
    </row>
    <row r="587" ht="15" customFormat="1" customHeight="1" s="5">
      <c r="A587" s="81" t="n">
        <v>45972</v>
      </c>
      <c r="B587" s="82" t="n">
        <v>0.6888888888888889</v>
      </c>
      <c r="C587" s="5" t="inlineStr">
        <is>
          <t>Costco</t>
        </is>
      </c>
      <c r="E587" s="5" t="n">
        <v>1</v>
      </c>
      <c r="F587" s="6" t="inlineStr">
        <is>
          <t>439 205 261 705</t>
        </is>
      </c>
      <c r="G587" s="10" t="n"/>
      <c r="H587" s="9" t="inlineStr">
        <is>
          <t>Organic Spinach Box</t>
        </is>
      </c>
      <c r="I587" s="9" t="n"/>
      <c r="J587" s="9" t="n"/>
      <c r="K587" s="9" t="n">
        <v>3.89</v>
      </c>
    </row>
    <row r="588" ht="15" customFormat="1" customHeight="1" s="5">
      <c r="A588" s="81" t="n">
        <v>45972</v>
      </c>
      <c r="B588" s="82" t="n">
        <v>0.6888888888888889</v>
      </c>
      <c r="C588" s="5" t="inlineStr">
        <is>
          <t>Costco</t>
        </is>
      </c>
      <c r="E588" s="5" t="n">
        <v>1</v>
      </c>
      <c r="F588" s="6" t="inlineStr">
        <is>
          <t>439 205 261 705</t>
        </is>
      </c>
      <c r="G588" s="10" t="n"/>
      <c r="H588" s="9" t="inlineStr">
        <is>
          <t>Tax</t>
        </is>
      </c>
      <c r="I588" s="9" t="n"/>
      <c r="J588" s="9" t="n"/>
      <c r="K588" s="9" t="n">
        <v>0</v>
      </c>
    </row>
    <row r="589" ht="15" customFormat="1" customHeight="1" s="5">
      <c r="A589" s="81" t="n">
        <v>45972</v>
      </c>
      <c r="B589" s="78" t="n">
        <v>0.3290162037037037</v>
      </c>
      <c r="C589" s="5" t="inlineStr">
        <is>
          <t>Lowe's</t>
        </is>
      </c>
      <c r="E589" s="5" t="n">
        <v>1</v>
      </c>
      <c r="F589" s="6" t="n">
        <v>864092153</v>
      </c>
      <c r="G589" s="15" t="n"/>
      <c r="H589" s="9" t="inlineStr">
        <is>
          <t>Project Source Black Spray Paint (for Z400 grip ends)</t>
        </is>
      </c>
      <c r="K589" s="5" t="n">
        <v>2.98</v>
      </c>
    </row>
    <row r="590" ht="15" customFormat="1" customHeight="1" s="5">
      <c r="A590" s="81" t="n">
        <v>45972</v>
      </c>
      <c r="B590" s="78" t="n">
        <v>0.3290162037037037</v>
      </c>
      <c r="C590" s="5" t="inlineStr">
        <is>
          <t>Lowe's</t>
        </is>
      </c>
      <c r="E590" s="5" t="n">
        <v>1</v>
      </c>
      <c r="F590" s="6" t="n">
        <v>864092153</v>
      </c>
      <c r="G590" s="15" t="n"/>
      <c r="H590" s="9" t="inlineStr">
        <is>
          <t>Sales Tax</t>
        </is>
      </c>
      <c r="K590" s="5" t="n">
        <v>0.25</v>
      </c>
    </row>
    <row r="591" ht="15" customFormat="1" customHeight="1" s="5">
      <c r="A591" s="81" t="n">
        <v>45972</v>
      </c>
      <c r="B591" s="82" t="n">
        <v>0.09027777777777778</v>
      </c>
      <c r="C591" s="5" t="inlineStr">
        <is>
          <t>Overland Missions</t>
        </is>
      </c>
      <c r="D591" s="5" t="n">
        <v>1</v>
      </c>
      <c r="F591" s="6" t="inlineStr">
        <is>
          <t>3538</t>
        </is>
      </c>
      <c r="G591" s="10" t="n"/>
      <c r="H591" s="9" t="inlineStr">
        <is>
          <t>Pelletier - Monthly missions donation</t>
        </is>
      </c>
      <c r="I591" s="9" t="n">
        <v>1</v>
      </c>
      <c r="J591" s="9" t="inlineStr">
        <is>
          <t>cnt</t>
        </is>
      </c>
      <c r="K591" s="9" t="n">
        <v>250</v>
      </c>
    </row>
    <row r="592" ht="15" customFormat="1" customHeight="1" s="5">
      <c r="A592" s="81" t="n">
        <v>45972</v>
      </c>
      <c r="B592" s="82" t="n">
        <v>0.02222222222222222</v>
      </c>
      <c r="C592" s="5" t="inlineStr">
        <is>
          <t>Pottery Barn</t>
        </is>
      </c>
      <c r="D592" s="5" t="n">
        <v>1</v>
      </c>
      <c r="F592" s="6" t="inlineStr">
        <is>
          <t>353142751315</t>
        </is>
      </c>
      <c r="G592" s="15" t="inlineStr">
        <is>
          <t>#4097293</t>
        </is>
      </c>
      <c r="H592" s="18" t="inlineStr">
        <is>
          <t>Recycled Sherpa Baby Blanket , New Sage</t>
        </is>
      </c>
      <c r="I592" s="9" t="n">
        <v>1</v>
      </c>
      <c r="J592" s="9" t="inlineStr">
        <is>
          <t>cnt</t>
        </is>
      </c>
      <c r="K592" s="9" t="n">
        <v>59</v>
      </c>
    </row>
    <row r="593" ht="15" customFormat="1" customHeight="1" s="5">
      <c r="A593" s="81" t="n">
        <v>45972</v>
      </c>
      <c r="B593" s="82" t="n">
        <v>0.02222222222222222</v>
      </c>
      <c r="C593" s="5" t="inlineStr">
        <is>
          <t>Pottery Barn</t>
        </is>
      </c>
      <c r="D593" s="5" t="n">
        <v>1</v>
      </c>
      <c r="F593" s="6" t="inlineStr">
        <is>
          <t>353142751315</t>
        </is>
      </c>
      <c r="G593" s="10" t="n"/>
      <c r="H593" s="9" t="inlineStr">
        <is>
          <t>Personalization: Z02, "Tovi Best" (Olive (JO))</t>
        </is>
      </c>
      <c r="I593" s="9" t="n">
        <v>1</v>
      </c>
      <c r="J593" s="9" t="inlineStr">
        <is>
          <t>cnt</t>
        </is>
      </c>
      <c r="K593" s="9" t="n">
        <v>16</v>
      </c>
    </row>
    <row r="594" ht="15" customFormat="1" customHeight="1" s="5">
      <c r="A594" s="81" t="n">
        <v>45972</v>
      </c>
      <c r="B594" s="82" t="n">
        <v>0.02222222222222222</v>
      </c>
      <c r="C594" s="5" t="inlineStr">
        <is>
          <t>Pottery Barn</t>
        </is>
      </c>
      <c r="D594" s="5" t="n">
        <v>1</v>
      </c>
      <c r="F594" s="6" t="inlineStr">
        <is>
          <t>353142751315</t>
        </is>
      </c>
      <c r="G594" s="10" t="n"/>
      <c r="H594" s="9" t="inlineStr">
        <is>
          <t>Merchandise Tax</t>
        </is>
      </c>
      <c r="I594" s="9" t="n">
        <v>1</v>
      </c>
      <c r="J594" s="9" t="inlineStr">
        <is>
          <t>cnt</t>
        </is>
      </c>
      <c r="K594" s="9" t="n">
        <v>4.88</v>
      </c>
    </row>
    <row r="595" ht="15" customFormat="1" customHeight="1" s="5">
      <c r="A595" s="81" t="n">
        <v>45971</v>
      </c>
      <c r="B595" s="82" t="n">
        <v>0.5454050925925926</v>
      </c>
      <c r="C595" s="5" t="inlineStr">
        <is>
          <t>CO Department of Public Health</t>
        </is>
      </c>
      <c r="E595" s="5" t="n">
        <v>1</v>
      </c>
      <c r="F595" s="6" t="inlineStr">
        <is>
          <t>71-20251110-004472</t>
        </is>
      </c>
      <c r="G595" s="10" t="n"/>
      <c r="H595" s="9" t="inlineStr">
        <is>
          <t>Vital Records: Tovi Birth Certificate</t>
        </is>
      </c>
      <c r="I595" s="9" t="n">
        <v>1</v>
      </c>
      <c r="J595" s="9" t="inlineStr">
        <is>
          <t>cnt</t>
        </is>
      </c>
      <c r="K595" s="9" t="n">
        <v>20</v>
      </c>
    </row>
    <row r="596" ht="15" customFormat="1" customHeight="1" s="5">
      <c r="A596" s="81" t="n">
        <v>45971</v>
      </c>
      <c r="B596" s="82" t="n">
        <v>0.5354166666666667</v>
      </c>
      <c r="C596" s="5" t="inlineStr">
        <is>
          <t>Murphy USA</t>
        </is>
      </c>
      <c r="E596" s="5" t="n">
        <v>1</v>
      </c>
      <c r="F596" s="6" t="n"/>
      <c r="G596" s="15" t="n"/>
      <c r="H596" s="9" t="inlineStr">
        <is>
          <t>Fiesta Gas @ $2.089/gal</t>
        </is>
      </c>
      <c r="I596" s="9" t="n">
        <v>8.59</v>
      </c>
      <c r="J596" s="9" t="inlineStr">
        <is>
          <t>Gal</t>
        </is>
      </c>
      <c r="K596" s="9" t="n">
        <v>17.94</v>
      </c>
    </row>
    <row r="597" ht="15" customFormat="1" customHeight="1" s="5">
      <c r="A597" s="81" t="n">
        <v>45971</v>
      </c>
      <c r="B597" s="82" t="n"/>
      <c r="C597" s="5" t="inlineStr">
        <is>
          <t>Fidelity</t>
        </is>
      </c>
      <c r="D597" s="5" t="n">
        <v>1</v>
      </c>
      <c r="F597" s="6" t="n"/>
      <c r="G597" s="10" t="n"/>
      <c r="H597" s="9" t="inlineStr">
        <is>
          <t>Lydia ATT Phone Sep 08 - Nov 07</t>
        </is>
      </c>
      <c r="I597" s="9" t="n"/>
      <c r="J597" s="9" t="n"/>
      <c r="K597" s="9" t="n">
        <v>42.21</v>
      </c>
    </row>
    <row r="598" ht="15" customFormat="1" customHeight="1" s="5">
      <c r="A598" s="81" t="n">
        <v>45970</v>
      </c>
      <c r="B598" s="82" t="n">
        <v>0.6097222222222223</v>
      </c>
      <c r="C598" s="5" t="inlineStr">
        <is>
          <t>Colorado Bach Ensemble</t>
        </is>
      </c>
      <c r="D598" s="5" t="n">
        <v>1</v>
      </c>
      <c r="F598" s="6" t="inlineStr">
        <is>
          <t>#1369648228</t>
        </is>
      </c>
      <c r="G598" s="10" t="n"/>
      <c r="H598" s="9" t="inlineStr">
        <is>
          <t>Ticket #1: Tier 2 Community Access - Section 4, Row E, Seat 4</t>
        </is>
      </c>
      <c r="I598" s="9" t="n">
        <v>1</v>
      </c>
      <c r="J598" s="9" t="inlineStr">
        <is>
          <t>cnt</t>
        </is>
      </c>
      <c r="K598" s="9" t="n">
        <v>28.52</v>
      </c>
    </row>
    <row r="599" ht="15" customFormat="1" customHeight="1" s="5">
      <c r="A599" s="81" t="n">
        <v>45970</v>
      </c>
      <c r="B599" s="82" t="n">
        <v>0.6097222222222223</v>
      </c>
      <c r="C599" s="5" t="inlineStr">
        <is>
          <t>Colorado Bach Ensemble</t>
        </is>
      </c>
      <c r="D599" s="5" t="n">
        <v>1</v>
      </c>
      <c r="F599" s="6" t="inlineStr">
        <is>
          <t>#1369648228</t>
        </is>
      </c>
      <c r="G599" s="10" t="n"/>
      <c r="H599" s="9" t="inlineStr">
        <is>
          <t>Ticket #2: Tier 2 Community Access - Section 4, Row E, Seat 3</t>
        </is>
      </c>
      <c r="I599" s="9" t="n">
        <v>1</v>
      </c>
      <c r="J599" s="9" t="inlineStr">
        <is>
          <t>cnt</t>
        </is>
      </c>
      <c r="K599" s="9" t="n">
        <v>28.52</v>
      </c>
    </row>
    <row r="600" ht="15" customFormat="1" customHeight="1" s="5">
      <c r="A600" s="81" t="n">
        <v>45970</v>
      </c>
      <c r="B600" s="82" t="n">
        <v>0.07291666666666667</v>
      </c>
      <c r="C600" s="5" t="inlineStr">
        <is>
          <t>Amazon</t>
        </is>
      </c>
      <c r="D600" s="5" t="n">
        <v>1</v>
      </c>
      <c r="F600" s="6" t="inlineStr">
        <is>
          <t>111-2108480-4781823</t>
        </is>
      </c>
      <c r="G600" s="10" t="n"/>
      <c r="H600" s="9" t="inlineStr">
        <is>
          <t>The Honest Company Clean Conscious Multi-Use Wipes | Hypoallergenic + Unscented for Sensitive Skin | Over 99% Water, Compostable, Plant Based, Baby Wipes | Sunburst, 864 Count</t>
        </is>
      </c>
      <c r="I600" s="9" t="n">
        <v>864</v>
      </c>
      <c r="J600" s="9" t="inlineStr">
        <is>
          <t>cnt</t>
        </is>
      </c>
      <c r="K600" s="9" t="n">
        <v>49.99</v>
      </c>
    </row>
    <row r="601" ht="15" customFormat="1" customHeight="1" s="5">
      <c r="A601" s="81" t="n">
        <v>45970</v>
      </c>
      <c r="B601" s="82" t="n">
        <v>0.07291666666666667</v>
      </c>
      <c r="C601" s="5" t="inlineStr">
        <is>
          <t>Amazon</t>
        </is>
      </c>
      <c r="D601" s="5" t="n">
        <v>1</v>
      </c>
      <c r="F601" s="6" t="inlineStr">
        <is>
          <t>111-2108480-4781823</t>
        </is>
      </c>
      <c r="G601" s="10" t="n"/>
      <c r="H601" s="9" t="inlineStr">
        <is>
          <t>The Honest Company Clean Conscious Multi-Use Wipes | Hypoallergenic + Unscented for Sensitive Skin | Over 99% Water, Compostable, Plant Based, Baby Wipes | Sunburst, 864 Count</t>
        </is>
      </c>
      <c r="I601" s="9" t="n">
        <v>864</v>
      </c>
      <c r="J601" s="9" t="inlineStr">
        <is>
          <t>cnt</t>
        </is>
      </c>
      <c r="K601" s="9" t="n">
        <v>49.99</v>
      </c>
    </row>
    <row r="602" ht="15" customFormat="1" customHeight="1" s="5">
      <c r="A602" s="81" t="n">
        <v>45970</v>
      </c>
      <c r="B602" s="82" t="n">
        <v>0.07291666666666667</v>
      </c>
      <c r="C602" s="5" t="inlineStr">
        <is>
          <t>Amazon</t>
        </is>
      </c>
      <c r="D602" s="5" t="n">
        <v>1</v>
      </c>
      <c r="F602" s="6" t="inlineStr">
        <is>
          <t>111-2108480-4781823</t>
        </is>
      </c>
      <c r="G602" s="10" t="n"/>
      <c r="H602" s="9" t="inlineStr">
        <is>
          <t>**DISCOUNT** Amazon Registry 15% discount</t>
        </is>
      </c>
      <c r="I602" s="9" t="n">
        <v>1728</v>
      </c>
      <c r="J602" s="9" t="inlineStr">
        <is>
          <t>cnt</t>
        </is>
      </c>
      <c r="K602" s="9" t="n">
        <v>-13.12</v>
      </c>
    </row>
    <row r="603" ht="15" customFormat="1" customHeight="1" s="5">
      <c r="A603" s="81" t="n">
        <v>45970</v>
      </c>
      <c r="B603" s="82" t="n">
        <v>0.07291666666666667</v>
      </c>
      <c r="C603" s="5" t="inlineStr">
        <is>
          <t>Amazon</t>
        </is>
      </c>
      <c r="D603" s="5" t="n">
        <v>1</v>
      </c>
      <c r="F603" s="6" t="inlineStr">
        <is>
          <t>111-2108480-4781823</t>
        </is>
      </c>
      <c r="G603" s="10" t="n"/>
      <c r="H603" s="9" t="inlineStr">
        <is>
          <t>**DISCOUNT** Subscribe &amp; Save</t>
        </is>
      </c>
      <c r="I603" s="9" t="n">
        <v>1728</v>
      </c>
      <c r="J603" s="9" t="inlineStr">
        <is>
          <t>cnt</t>
        </is>
      </c>
      <c r="K603" s="9" t="n">
        <v>-5</v>
      </c>
    </row>
    <row r="604" ht="15" customFormat="1" customHeight="1" s="5">
      <c r="A604" s="81" t="n">
        <v>45970</v>
      </c>
      <c r="B604" s="82" t="n">
        <v>0.07291666666666667</v>
      </c>
      <c r="C604" s="5" t="inlineStr">
        <is>
          <t>Amazon</t>
        </is>
      </c>
      <c r="D604" s="5" t="n">
        <v>1</v>
      </c>
      <c r="F604" s="6" t="inlineStr">
        <is>
          <t>111-2108480-4781823</t>
        </is>
      </c>
      <c r="G604" s="10" t="n"/>
      <c r="H604" s="9" t="inlineStr">
        <is>
          <t>**DISCOUNT** Coupon Savings</t>
        </is>
      </c>
      <c r="I604" s="9" t="n">
        <v>1728</v>
      </c>
      <c r="J604" s="9" t="inlineStr">
        <is>
          <t>cnt</t>
        </is>
      </c>
      <c r="K604" s="9" t="n">
        <v>-7.5</v>
      </c>
    </row>
    <row r="605" ht="15" customFormat="1" customHeight="1" s="5">
      <c r="A605" s="81" t="n">
        <v>45970</v>
      </c>
      <c r="B605" s="82" t="n">
        <v>0.07291666666666667</v>
      </c>
      <c r="C605" s="5" t="inlineStr">
        <is>
          <t>Amazon</t>
        </is>
      </c>
      <c r="D605" s="5" t="n">
        <v>1</v>
      </c>
      <c r="F605" s="6" t="inlineStr">
        <is>
          <t>111-2108480-4781823</t>
        </is>
      </c>
      <c r="G605" s="10" t="n"/>
      <c r="H605" s="9" t="inlineStr">
        <is>
          <t>Sales Tax</t>
        </is>
      </c>
      <c r="I605" s="9" t="n">
        <v>1728</v>
      </c>
      <c r="J605" s="9" t="inlineStr">
        <is>
          <t>cnt</t>
        </is>
      </c>
      <c r="K605" s="9" t="n">
        <v>5.94</v>
      </c>
    </row>
    <row r="606" ht="15" customFormat="1" customHeight="1" s="5">
      <c r="A606" s="81" t="n">
        <v>45970</v>
      </c>
      <c r="B606" s="82" t="n">
        <v>0.07291666666666667</v>
      </c>
      <c r="C606" s="5" t="inlineStr">
        <is>
          <t>Amazon</t>
        </is>
      </c>
      <c r="D606" s="5" t="n">
        <v>1</v>
      </c>
      <c r="F606" s="6" t="inlineStr">
        <is>
          <t>111-2108480-4781823</t>
        </is>
      </c>
      <c r="G606" s="10" t="n"/>
      <c r="H606" s="9" t="inlineStr">
        <is>
          <t>**REWARDS POINTS** Amazon</t>
        </is>
      </c>
      <c r="I606" s="9" t="n">
        <v>1</v>
      </c>
      <c r="J606" s="9" t="inlineStr">
        <is>
          <t>cnt</t>
        </is>
      </c>
      <c r="K606" s="9" t="n">
        <v>-1.57</v>
      </c>
    </row>
    <row r="607" ht="15" customFormat="1" customHeight="1" s="5">
      <c r="A607" s="81" t="n">
        <v>45970</v>
      </c>
      <c r="B607" s="82" t="n">
        <v>0.07291666666666667</v>
      </c>
      <c r="C607" s="5" t="inlineStr">
        <is>
          <t>Amazon</t>
        </is>
      </c>
      <c r="D607" s="5" t="n">
        <v>1</v>
      </c>
      <c r="F607" s="6" t="inlineStr">
        <is>
          <t>111-2108480-4781823</t>
        </is>
      </c>
      <c r="G607" s="10" t="n"/>
      <c r="H607" s="9" t="inlineStr">
        <is>
          <t>Co retail delivery fees</t>
        </is>
      </c>
      <c r="I607" s="9" t="n">
        <v>1728</v>
      </c>
      <c r="J607" s="9" t="inlineStr">
        <is>
          <t>cnt</t>
        </is>
      </c>
      <c r="K607" s="9" t="n">
        <v>0.28</v>
      </c>
    </row>
    <row r="608" ht="15" customFormat="1" customHeight="1" s="5">
      <c r="A608" s="81" t="n">
        <v>45968</v>
      </c>
      <c r="B608" s="78" t="n">
        <v>0.7875</v>
      </c>
      <c r="C608" s="5" t="inlineStr">
        <is>
          <t>Mt. Fuji Hibachi and Sushi</t>
        </is>
      </c>
      <c r="D608" s="5" t="n">
        <v>1</v>
      </c>
      <c r="F608" s="6" t="inlineStr">
        <is>
          <t>DoorDash_06</t>
        </is>
      </c>
      <c r="G608" s="15" t="n"/>
      <c r="H608" s="9" t="inlineStr">
        <is>
          <t>Salmon Lover Roll</t>
        </is>
      </c>
      <c r="I608" s="9" t="n">
        <v>1</v>
      </c>
      <c r="J608" s="9" t="inlineStr">
        <is>
          <t>cnt</t>
        </is>
      </c>
      <c r="K608" s="9" t="n">
        <v>22.75</v>
      </c>
    </row>
    <row r="609" ht="15" customFormat="1" customHeight="1" s="5">
      <c r="A609" s="81" t="n">
        <v>45968</v>
      </c>
      <c r="B609" s="78" t="n">
        <v>0.7875</v>
      </c>
      <c r="C609" s="5" t="inlineStr">
        <is>
          <t>Mt. Fuji Hibachi and Sushi</t>
        </is>
      </c>
      <c r="D609" s="5" t="n">
        <v>1</v>
      </c>
      <c r="F609" s="6" t="inlineStr">
        <is>
          <t>DoorDash_06</t>
        </is>
      </c>
      <c r="G609" s="15" t="n"/>
      <c r="H609" s="9" t="inlineStr">
        <is>
          <t>Alaska Roll</t>
        </is>
      </c>
      <c r="I609" s="9" t="n">
        <v>1</v>
      </c>
      <c r="J609" s="9" t="inlineStr">
        <is>
          <t>cnt</t>
        </is>
      </c>
      <c r="K609" s="9" t="n">
        <v>7.5</v>
      </c>
    </row>
    <row r="610" ht="15" customFormat="1" customHeight="1" s="5">
      <c r="A610" s="81" t="n">
        <v>45968</v>
      </c>
      <c r="B610" s="78" t="n">
        <v>0.7875</v>
      </c>
      <c r="C610" s="5" t="inlineStr">
        <is>
          <t>Mt. Fuji Hibachi and Sushi</t>
        </is>
      </c>
      <c r="D610" s="5" t="n">
        <v>1</v>
      </c>
      <c r="F610" s="6" t="inlineStr">
        <is>
          <t>DoorDash_06</t>
        </is>
      </c>
      <c r="G610" s="10" t="inlineStr">
        <is>
          <t>S06</t>
        </is>
      </c>
      <c r="H610" s="9" t="inlineStr">
        <is>
          <t>I Love Eel Roll</t>
        </is>
      </c>
      <c r="I610" s="9" t="n">
        <v>1</v>
      </c>
      <c r="J610" s="9" t="inlineStr">
        <is>
          <t>cnt</t>
        </is>
      </c>
      <c r="K610" s="9" t="n">
        <v>13.5</v>
      </c>
    </row>
    <row r="611" ht="15" customFormat="1" customHeight="1" s="5">
      <c r="A611" s="81" t="n">
        <v>45968</v>
      </c>
      <c r="B611" s="78" t="n">
        <v>0.7875</v>
      </c>
      <c r="C611" s="5" t="inlineStr">
        <is>
          <t>Mt. Fuji Hibachi and Sushi</t>
        </is>
      </c>
      <c r="D611" s="5" t="n">
        <v>1</v>
      </c>
      <c r="F611" s="6" t="inlineStr">
        <is>
          <t>DoorDash_06</t>
        </is>
      </c>
      <c r="G611" s="10" t="inlineStr">
        <is>
          <t>S01</t>
        </is>
      </c>
      <c r="H611" s="9" t="inlineStr">
        <is>
          <t>I Love Eel Roll</t>
        </is>
      </c>
      <c r="I611" s="9" t="n">
        <v>1</v>
      </c>
      <c r="J611" s="9" t="inlineStr">
        <is>
          <t>cnt</t>
        </is>
      </c>
      <c r="K611" s="9" t="n">
        <v>13.5</v>
      </c>
    </row>
    <row r="612" ht="15" customFormat="1" customHeight="1" s="5">
      <c r="A612" s="81" t="n">
        <v>45968</v>
      </c>
      <c r="B612" s="78" t="n">
        <v>0.7875</v>
      </c>
      <c r="C612" s="5" t="inlineStr">
        <is>
          <t>Mt. Fuji Hibachi and Sushi</t>
        </is>
      </c>
      <c r="D612" s="5" t="n">
        <v>1</v>
      </c>
      <c r="F612" s="6" t="inlineStr">
        <is>
          <t>DoorDash_06</t>
        </is>
      </c>
      <c r="G612" s="15" t="n"/>
      <c r="H612" s="9" t="inlineStr">
        <is>
          <t>Co retail delivery fees</t>
        </is>
      </c>
      <c r="I612" s="9" t="n">
        <v>1</v>
      </c>
      <c r="J612" s="9" t="inlineStr">
        <is>
          <t>cnt</t>
        </is>
      </c>
      <c r="K612" s="9" t="n">
        <v>0.28</v>
      </c>
    </row>
    <row r="613" ht="15" customFormat="1" customHeight="1" s="5">
      <c r="A613" s="81" t="n">
        <v>45968</v>
      </c>
      <c r="B613" s="78" t="n">
        <v>0.7875</v>
      </c>
      <c r="C613" s="5" t="inlineStr">
        <is>
          <t>Mt. Fuji Hibachi and Sushi</t>
        </is>
      </c>
      <c r="D613" s="5" t="n">
        <v>1</v>
      </c>
      <c r="F613" s="6" t="inlineStr">
        <is>
          <t>DoorDash_06</t>
        </is>
      </c>
      <c r="G613" s="15" t="n"/>
      <c r="H613" s="9" t="inlineStr">
        <is>
          <t>Service Fee Doordash</t>
        </is>
      </c>
      <c r="I613" s="9" t="n">
        <v>1</v>
      </c>
      <c r="J613" s="9" t="inlineStr">
        <is>
          <t>cnt</t>
        </is>
      </c>
      <c r="K613" s="9" t="n">
        <v>2.86</v>
      </c>
    </row>
    <row r="614" ht="15" customFormat="1" customHeight="1" s="5">
      <c r="A614" s="81" t="n">
        <v>45968</v>
      </c>
      <c r="B614" s="78" t="n">
        <v>0.7875</v>
      </c>
      <c r="C614" s="5" t="inlineStr">
        <is>
          <t>Mt. Fuji Hibachi and Sushi</t>
        </is>
      </c>
      <c r="D614" s="5" t="n">
        <v>1</v>
      </c>
      <c r="F614" s="6" t="inlineStr">
        <is>
          <t>DoorDash_06</t>
        </is>
      </c>
      <c r="G614" s="15" t="n"/>
      <c r="H614" s="9" t="inlineStr">
        <is>
          <t>Tax</t>
        </is>
      </c>
      <c r="I614" s="9" t="n">
        <v>4</v>
      </c>
      <c r="J614" s="9" t="inlineStr">
        <is>
          <t>cnt</t>
        </is>
      </c>
      <c r="K614" s="9" t="n">
        <v>3.61</v>
      </c>
    </row>
    <row r="615" ht="15" customFormat="1" customHeight="1" s="5">
      <c r="A615" s="81" t="n">
        <v>45968</v>
      </c>
      <c r="B615" s="78" t="n">
        <v>0.7875</v>
      </c>
      <c r="C615" s="5" t="inlineStr">
        <is>
          <t>Mt. Fuji Hibachi and Sushi</t>
        </is>
      </c>
      <c r="D615" s="5" t="n">
        <v>1</v>
      </c>
      <c r="F615" s="6" t="inlineStr">
        <is>
          <t>DoorDash_06</t>
        </is>
      </c>
      <c r="G615" s="15" t="n"/>
      <c r="H615" s="9" t="inlineStr">
        <is>
          <t>**DISCOUNT** Doordash</t>
        </is>
      </c>
      <c r="I615" s="9" t="n">
        <v>1</v>
      </c>
      <c r="J615" s="9" t="inlineStr">
        <is>
          <t>cnt</t>
        </is>
      </c>
      <c r="K615" s="9" t="n">
        <v>-15</v>
      </c>
    </row>
    <row r="616" ht="15" customFormat="1" customHeight="1" s="5">
      <c r="A616" s="81" t="n">
        <v>45968</v>
      </c>
      <c r="B616" s="78" t="n">
        <v>0.7875</v>
      </c>
      <c r="C616" s="5" t="inlineStr">
        <is>
          <t>Mt. Fuji Hibachi and Sushi</t>
        </is>
      </c>
      <c r="D616" s="5" t="n">
        <v>1</v>
      </c>
      <c r="F616" s="6" t="inlineStr">
        <is>
          <t>DoorDash_06</t>
        </is>
      </c>
      <c r="G616" s="15" t="n"/>
      <c r="H616" s="9" t="inlineStr">
        <is>
          <t>DoorDash Gift Card (Jane $100, Jenny $100, Elise $50, Dana $50, Brenna $50)</t>
        </is>
      </c>
      <c r="I616" s="9" t="n">
        <v>1</v>
      </c>
      <c r="J616" s="9" t="inlineStr">
        <is>
          <t>cnt</t>
        </is>
      </c>
      <c r="K616" s="9" t="n">
        <v>-49</v>
      </c>
    </row>
    <row r="617" ht="15" customFormat="1" customHeight="1" s="5">
      <c r="A617" s="81" t="n">
        <v>45968</v>
      </c>
      <c r="B617" s="78" t="n">
        <v>0.4673611111111111</v>
      </c>
      <c r="C617" s="5" t="inlineStr">
        <is>
          <t>BELLA Health + Wellness</t>
        </is>
      </c>
      <c r="D617" s="5" t="n">
        <v>1</v>
      </c>
      <c r="F617" s="6" t="inlineStr">
        <is>
          <t>1107181259</t>
        </is>
      </c>
      <c r="G617" s="15" t="inlineStr">
        <is>
          <t>2025302BO8102</t>
        </is>
      </c>
      <c r="H617" s="9" t="inlineStr">
        <is>
          <t>Tovi's Birth: Obstetrics care from Drew Lawler, CNM</t>
        </is>
      </c>
      <c r="I617" s="5" t="n">
        <v>1</v>
      </c>
      <c r="K617" s="5" t="n">
        <v>9701</v>
      </c>
    </row>
    <row r="618" ht="15" customFormat="1" customHeight="1" s="5">
      <c r="A618" s="81" t="n">
        <v>45968</v>
      </c>
      <c r="B618" s="78" t="n">
        <v>0.4673611111111111</v>
      </c>
      <c r="C618" s="5" t="inlineStr">
        <is>
          <t>BELLA Health + Wellness</t>
        </is>
      </c>
      <c r="D618" s="5" t="n">
        <v>1</v>
      </c>
      <c r="F618" s="6" t="inlineStr">
        <is>
          <t>1107181259</t>
        </is>
      </c>
      <c r="G618" s="15" t="inlineStr">
        <is>
          <t>2025302BO8102</t>
        </is>
      </c>
      <c r="H618" s="9" t="inlineStr">
        <is>
          <t>**DISCOUNT** BCBS: "Ob care antepartum vag dlvr&amp;postpartum Service Code 59400"</t>
        </is>
      </c>
      <c r="I618" s="5" t="n">
        <v>1</v>
      </c>
      <c r="K618" s="5" t="n">
        <v>-7283.29</v>
      </c>
    </row>
    <row r="619" ht="15" customFormat="1" customHeight="1" s="5">
      <c r="A619" s="81" t="n">
        <v>45968</v>
      </c>
      <c r="B619" s="78" t="n">
        <v>0.4673611111111111</v>
      </c>
      <c r="C619" s="5" t="inlineStr">
        <is>
          <t>BELLA Health + Wellness</t>
        </is>
      </c>
      <c r="D619" s="5" t="n">
        <v>1</v>
      </c>
      <c r="F619" s="6" t="inlineStr">
        <is>
          <t>1107181259</t>
        </is>
      </c>
      <c r="G619" s="15" t="inlineStr">
        <is>
          <t>2025302BO8102</t>
        </is>
      </c>
      <c r="H619" s="9" t="inlineStr">
        <is>
          <t>**DISCOUNT** BCBS PAID</t>
        </is>
      </c>
      <c r="I619" s="5" t="n">
        <v>1</v>
      </c>
      <c r="J619" s="5" t="inlineStr">
        <is>
          <t>cnt</t>
        </is>
      </c>
      <c r="K619" s="5" t="n">
        <v>-1934.17</v>
      </c>
    </row>
    <row r="620" ht="15" customFormat="1" customHeight="1" s="5">
      <c r="A620" s="81" t="n">
        <v>45967</v>
      </c>
      <c r="B620" s="82" t="n">
        <v>0.7164814814814815</v>
      </c>
      <c r="C620" s="5" t="inlineStr">
        <is>
          <t>H-Mart</t>
        </is>
      </c>
      <c r="E620" s="5" t="n">
        <v>1</v>
      </c>
      <c r="F620" s="6" t="inlineStr">
        <is>
          <t>5507250215201</t>
        </is>
      </c>
      <c r="G620" s="10" t="n"/>
      <c r="H620" s="9" t="inlineStr">
        <is>
          <t>Roma Tomato USA/MEX @$1.08/lb</t>
        </is>
      </c>
      <c r="I620" s="9" t="n">
        <v>0.65</v>
      </c>
      <c r="J620" s="9" t="inlineStr">
        <is>
          <t>lb</t>
        </is>
      </c>
      <c r="K620" s="9" t="n">
        <v>0.7</v>
      </c>
    </row>
    <row r="621" ht="15" customFormat="1" customHeight="1" s="5">
      <c r="A621" s="81" t="n">
        <v>45967</v>
      </c>
      <c r="B621" s="82" t="n">
        <v>0.7164814814814815</v>
      </c>
      <c r="C621" s="5" t="inlineStr">
        <is>
          <t>H-Mart</t>
        </is>
      </c>
      <c r="E621" s="5" t="n">
        <v>1</v>
      </c>
      <c r="F621" s="6" t="inlineStr">
        <is>
          <t>5507250215201</t>
        </is>
      </c>
      <c r="G621" s="10" t="n"/>
      <c r="H621" s="9" t="inlineStr">
        <is>
          <t>Shanghai Bok Choy USA @$0.68/lb</t>
        </is>
      </c>
      <c r="I621" s="9" t="n">
        <v>1.58</v>
      </c>
      <c r="J621" s="9" t="inlineStr">
        <is>
          <t>lb</t>
        </is>
      </c>
      <c r="K621" s="9" t="n">
        <v>1.07</v>
      </c>
    </row>
    <row r="622" ht="15" customFormat="1" customHeight="1" s="5">
      <c r="A622" s="81" t="n">
        <v>45967</v>
      </c>
      <c r="B622" s="82" t="n">
        <v>0.7164814814814815</v>
      </c>
      <c r="C622" s="5" t="inlineStr">
        <is>
          <t>H-Mart</t>
        </is>
      </c>
      <c r="E622" s="5" t="n">
        <v>1</v>
      </c>
      <c r="F622" s="6" t="inlineStr">
        <is>
          <t>5507250215201</t>
        </is>
      </c>
      <c r="G622" s="10" t="n"/>
      <c r="H622" s="9" t="inlineStr">
        <is>
          <t>Yu Choy Sum USA @$1.38/lb</t>
        </is>
      </c>
      <c r="I622" s="9" t="n">
        <v>1.44</v>
      </c>
      <c r="J622" s="9" t="inlineStr">
        <is>
          <t>lb</t>
        </is>
      </c>
      <c r="K622" s="9" t="n">
        <v>1.99</v>
      </c>
    </row>
    <row r="623" ht="15" customFormat="1" customHeight="1" s="5">
      <c r="A623" s="81" t="n">
        <v>45967</v>
      </c>
      <c r="B623" s="82" t="n">
        <v>0.7164814814814815</v>
      </c>
      <c r="C623" s="5" t="inlineStr">
        <is>
          <t>H-Mart</t>
        </is>
      </c>
      <c r="E623" s="5" t="n">
        <v>1</v>
      </c>
      <c r="F623" s="6" t="inlineStr">
        <is>
          <t>5507250215201</t>
        </is>
      </c>
      <c r="G623" s="10" t="n"/>
      <c r="H623" s="9" t="inlineStr">
        <is>
          <t>Maruman Honzukuri Shishu Genen Miso</t>
        </is>
      </c>
      <c r="I623" s="9" t="n">
        <v>26.4</v>
      </c>
      <c r="J623" s="9" t="inlineStr">
        <is>
          <t>oz</t>
        </is>
      </c>
      <c r="K623" s="9" t="n">
        <v>6.99</v>
      </c>
    </row>
    <row r="624" ht="15" customFormat="1" customHeight="1" s="5">
      <c r="A624" s="81" t="n">
        <v>45967</v>
      </c>
      <c r="B624" s="82" t="n">
        <v>0.7164814814814815</v>
      </c>
      <c r="C624" s="5" t="inlineStr">
        <is>
          <t>H-Mart</t>
        </is>
      </c>
      <c r="E624" s="5" t="n">
        <v>1</v>
      </c>
      <c r="F624" s="6" t="inlineStr">
        <is>
          <t>5507250215201</t>
        </is>
      </c>
      <c r="G624" s="10" t="n"/>
      <c r="H624" s="9" t="inlineStr">
        <is>
          <t>Green Bean USA/MEX @$1.28/lb</t>
        </is>
      </c>
      <c r="I624" s="9" t="n">
        <v>0.62</v>
      </c>
      <c r="J624" s="9" t="inlineStr">
        <is>
          <t>lb</t>
        </is>
      </c>
      <c r="K624" s="9" t="n">
        <v>0.79</v>
      </c>
    </row>
    <row r="625" ht="15" customFormat="1" customHeight="1" s="5">
      <c r="A625" s="81" t="n">
        <v>45967</v>
      </c>
      <c r="B625" s="82" t="n">
        <v>0.7164814814814815</v>
      </c>
      <c r="C625" s="5" t="inlineStr">
        <is>
          <t>H-Mart</t>
        </is>
      </c>
      <c r="E625" s="5" t="n">
        <v>1</v>
      </c>
      <c r="F625" s="6" t="inlineStr">
        <is>
          <t>5507250215201</t>
        </is>
      </c>
      <c r="G625" s="10" t="n"/>
      <c r="H625" s="9" t="inlineStr">
        <is>
          <t>Farm-Raised Canada Trout @$8.79/lb -- 4 fish</t>
        </is>
      </c>
      <c r="I625" s="9" t="n">
        <v>2.65</v>
      </c>
      <c r="J625" s="9" t="inlineStr">
        <is>
          <t>lb</t>
        </is>
      </c>
      <c r="K625" s="9" t="n">
        <v>23.29</v>
      </c>
    </row>
    <row r="626" ht="15" customFormat="1" customHeight="1" s="5">
      <c r="A626" s="81" t="n">
        <v>45967</v>
      </c>
      <c r="B626" s="82" t="n">
        <v>0.7164814814814815</v>
      </c>
      <c r="C626" s="5" t="inlineStr">
        <is>
          <t>H-Mart</t>
        </is>
      </c>
      <c r="E626" s="5" t="n">
        <v>1</v>
      </c>
      <c r="F626" s="6" t="inlineStr">
        <is>
          <t>5507250215201</t>
        </is>
      </c>
      <c r="G626" s="10" t="n"/>
      <c r="H626" s="9" t="inlineStr">
        <is>
          <t>Tax</t>
        </is>
      </c>
      <c r="I626" s="9" t="n">
        <v>6</v>
      </c>
      <c r="J626" s="9" t="inlineStr">
        <is>
          <t>cnt</t>
        </is>
      </c>
      <c r="K626" s="9" t="n">
        <v>0</v>
      </c>
    </row>
    <row r="627" ht="15" customFormat="1" customHeight="1" s="5">
      <c r="A627" s="81" t="n">
        <v>45967</v>
      </c>
      <c r="B627" s="82" t="n">
        <v>0.6874421296296296</v>
      </c>
      <c r="C627" s="5" t="inlineStr">
        <is>
          <t>Shamrock</t>
        </is>
      </c>
      <c r="E627" s="5" t="n">
        <v>1</v>
      </c>
      <c r="F627" s="6" t="inlineStr">
        <is>
          <t>574-002</t>
        </is>
      </c>
      <c r="G627" s="15" t="inlineStr">
        <is>
          <t>4613661</t>
        </is>
      </c>
      <c r="H627" s="9" t="inlineStr">
        <is>
          <t>Flex Fish Knife 8"</t>
        </is>
      </c>
      <c r="I627" s="9" t="n">
        <v>1</v>
      </c>
      <c r="J627" s="9" t="inlineStr">
        <is>
          <t>cnt</t>
        </is>
      </c>
      <c r="K627" s="9" t="n">
        <v>10.99</v>
      </c>
    </row>
    <row r="628" ht="15" customFormat="1" customHeight="1" s="5">
      <c r="A628" s="81" t="n">
        <v>45967</v>
      </c>
      <c r="B628" s="82" t="n">
        <v>0.6874421296296296</v>
      </c>
      <c r="C628" s="5" t="inlineStr">
        <is>
          <t>Shamrock</t>
        </is>
      </c>
      <c r="E628" s="5" t="n">
        <v>1</v>
      </c>
      <c r="F628" s="6" t="inlineStr">
        <is>
          <t>574-002</t>
        </is>
      </c>
      <c r="G628" s="10" t="n"/>
      <c r="H628" s="9" t="inlineStr">
        <is>
          <t>**DISCOUNT** Loyalty Savings</t>
        </is>
      </c>
      <c r="I628" s="9" t="n">
        <v>1</v>
      </c>
      <c r="J628" s="9" t="inlineStr">
        <is>
          <t>cnt</t>
        </is>
      </c>
      <c r="K628" s="9" t="n">
        <v>-1</v>
      </c>
    </row>
    <row r="629" ht="15" customFormat="1" customHeight="1" s="5">
      <c r="A629" s="81" t="n">
        <v>45967</v>
      </c>
      <c r="B629" s="82" t="n">
        <v>0.6874421296296296</v>
      </c>
      <c r="C629" s="5" t="inlineStr">
        <is>
          <t>Shamrock</t>
        </is>
      </c>
      <c r="E629" s="5" t="n">
        <v>1</v>
      </c>
      <c r="F629" s="6" t="inlineStr">
        <is>
          <t>574-002</t>
        </is>
      </c>
      <c r="G629" s="10" t="n"/>
      <c r="H629" s="9" t="inlineStr">
        <is>
          <t>Tax 2</t>
        </is>
      </c>
      <c r="I629" s="9" t="n">
        <v>1</v>
      </c>
      <c r="J629" s="9" t="inlineStr">
        <is>
          <t>cnt</t>
        </is>
      </c>
      <c r="K629" s="9" t="n">
        <v>0.8</v>
      </c>
    </row>
    <row r="630" ht="15" customFormat="1" customHeight="1" s="5">
      <c r="A630" s="81" t="n">
        <v>45967</v>
      </c>
      <c r="B630" s="82" t="n">
        <v>0.5590277777777778</v>
      </c>
      <c r="C630" s="5" t="inlineStr">
        <is>
          <t>Walmart</t>
        </is>
      </c>
      <c r="D630" s="5" t="n">
        <v>1</v>
      </c>
      <c r="F630" s="6" t="inlineStr">
        <is>
          <t># 2000140-51185878</t>
        </is>
      </c>
      <c r="G630" s="15" t="inlineStr">
        <is>
          <t>CAB4Q92V7T</t>
        </is>
      </c>
      <c r="H630" s="9" t="inlineStr">
        <is>
          <t>$10 off next $15+ order for pads mix-up from 10/7 order '#2000135-52090184</t>
        </is>
      </c>
      <c r="I630" s="9" t="n">
        <v>1</v>
      </c>
      <c r="J630" s="9" t="inlineStr">
        <is>
          <t>cnt</t>
        </is>
      </c>
      <c r="K630" s="9" t="n">
        <v>-10.06</v>
      </c>
    </row>
    <row r="631" ht="15" customFormat="1" customHeight="1" s="5">
      <c r="A631" s="81" t="n">
        <v>45967</v>
      </c>
      <c r="B631" s="82" t="n">
        <v>0.5590277777777778</v>
      </c>
      <c r="C631" s="5" t="inlineStr">
        <is>
          <t>Walmart</t>
        </is>
      </c>
      <c r="D631" s="5" t="n">
        <v>1</v>
      </c>
      <c r="F631" s="6" t="inlineStr">
        <is>
          <t># 2000140-51185878</t>
        </is>
      </c>
      <c r="G631" s="10" t="n"/>
      <c r="H631" s="9" t="inlineStr">
        <is>
          <t>Fresh Green Kale Bunch, Each</t>
        </is>
      </c>
      <c r="I631" s="9" t="n">
        <v>1</v>
      </c>
      <c r="J631" s="9" t="n"/>
      <c r="K631" s="85" t="n">
        <v>1.48</v>
      </c>
    </row>
    <row r="632" ht="15" customFormat="1" customHeight="1" s="5">
      <c r="A632" s="81" t="n">
        <v>45967</v>
      </c>
      <c r="B632" s="82" t="n">
        <v>0.5590277777777778</v>
      </c>
      <c r="C632" s="5" t="inlineStr">
        <is>
          <t>Walmart</t>
        </is>
      </c>
      <c r="D632" s="5" t="n">
        <v>1</v>
      </c>
      <c r="F632" s="6" t="inlineStr">
        <is>
          <t># 2000140-51185878</t>
        </is>
      </c>
      <c r="G632" s="10" t="n"/>
      <c r="H632" s="9" t="inlineStr">
        <is>
          <t>Fresh Acorn Squash, Each $1.54/lb</t>
        </is>
      </c>
      <c r="I632" s="9" t="n">
        <v>1.23</v>
      </c>
      <c r="J632" s="9" t="inlineStr">
        <is>
          <t>lb</t>
        </is>
      </c>
      <c r="K632" s="85" t="n">
        <v>1.9</v>
      </c>
    </row>
    <row r="633" ht="15" customFormat="1" customHeight="1" s="5">
      <c r="A633" s="81" t="n">
        <v>45967</v>
      </c>
      <c r="B633" s="82" t="n">
        <v>0.5590277777777778</v>
      </c>
      <c r="C633" s="5" t="inlineStr">
        <is>
          <t>Walmart</t>
        </is>
      </c>
      <c r="D633" s="5" t="n">
        <v>1</v>
      </c>
      <c r="F633" s="6" t="inlineStr">
        <is>
          <t># 2000140-51185878</t>
        </is>
      </c>
      <c r="G633" s="10" t="n"/>
      <c r="H633" s="9" t="inlineStr">
        <is>
          <t>Great Value Ground Cayenne Red Pepper, 5.2 oz 83.8¢/oz</t>
        </is>
      </c>
      <c r="I633" s="9" t="n">
        <v>5.2</v>
      </c>
      <c r="J633" s="9" t="inlineStr">
        <is>
          <t>oz</t>
        </is>
      </c>
      <c r="K633" s="85" t="n">
        <v>4.36</v>
      </c>
    </row>
    <row r="634" ht="15" customFormat="1" customHeight="1" s="5">
      <c r="A634" s="81" t="n">
        <v>45967</v>
      </c>
      <c r="B634" s="82" t="n">
        <v>0.5590277777777778</v>
      </c>
      <c r="C634" s="5" t="inlineStr">
        <is>
          <t>Walmart</t>
        </is>
      </c>
      <c r="D634" s="5" t="n">
        <v>1</v>
      </c>
      <c r="F634" s="6" t="inlineStr">
        <is>
          <t># 2000140-51185878</t>
        </is>
      </c>
      <c r="G634" s="10" t="n"/>
      <c r="H634" s="9" t="inlineStr">
        <is>
          <t>Equate Petroleum Jelly, Skin Protectant, 13 oz, Compare to Vaseline®18.2¢/oz</t>
        </is>
      </c>
      <c r="I634" s="9" t="n">
        <v>13</v>
      </c>
      <c r="J634" s="9" t="inlineStr">
        <is>
          <t>oz</t>
        </is>
      </c>
      <c r="K634" s="85" t="n">
        <v>2.36</v>
      </c>
    </row>
    <row r="635" ht="15" customFormat="1" customHeight="1" s="5">
      <c r="A635" s="81" t="n">
        <v>45967</v>
      </c>
      <c r="B635" s="82" t="n">
        <v>0.5590277777777778</v>
      </c>
      <c r="C635" s="5" t="inlineStr">
        <is>
          <t>Walmart</t>
        </is>
      </c>
      <c r="D635" s="5" t="n">
        <v>1</v>
      </c>
      <c r="F635" s="6" t="inlineStr">
        <is>
          <t># 2000140-51185878</t>
        </is>
      </c>
      <c r="G635" s="10" t="n"/>
      <c r="H635" s="9" t="inlineStr">
        <is>
          <t>Great Value Frozen Sweet Peas, 32 oz Bag, No Added Sugars 7.8¢/oz</t>
        </is>
      </c>
      <c r="I635" s="9" t="n">
        <v>32</v>
      </c>
      <c r="J635" s="9" t="inlineStr">
        <is>
          <t>oz</t>
        </is>
      </c>
      <c r="K635" s="85" t="n">
        <v>2.48</v>
      </c>
    </row>
    <row r="636" ht="15" customFormat="1" customHeight="1" s="5">
      <c r="A636" s="81" t="n">
        <v>45967</v>
      </c>
      <c r="B636" s="82" t="n">
        <v>0.5590277777777778</v>
      </c>
      <c r="C636" s="5" t="inlineStr">
        <is>
          <t>Walmart</t>
        </is>
      </c>
      <c r="D636" s="5" t="n">
        <v>1</v>
      </c>
      <c r="F636" s="6" t="inlineStr">
        <is>
          <t># 2000140-51185878</t>
        </is>
      </c>
      <c r="G636" s="10" t="n"/>
      <c r="H636" s="9" t="inlineStr">
        <is>
          <t>Fresh Cucumber, Each 67.0¢/ea</t>
        </is>
      </c>
      <c r="I636" s="9" t="n">
        <v>1</v>
      </c>
      <c r="J636" s="9" t="inlineStr">
        <is>
          <t>cnt</t>
        </is>
      </c>
      <c r="K636" s="85" t="n">
        <v>0.67</v>
      </c>
    </row>
    <row r="637" ht="15" customFormat="1" customHeight="1" s="5">
      <c r="A637" s="81" t="n">
        <v>45967</v>
      </c>
      <c r="B637" s="82" t="n">
        <v>0.5590277777777778</v>
      </c>
      <c r="C637" s="5" t="inlineStr">
        <is>
          <t>Walmart</t>
        </is>
      </c>
      <c r="D637" s="5" t="n">
        <v>1</v>
      </c>
      <c r="F637" s="6" t="inlineStr">
        <is>
          <t># 2000140-51185878</t>
        </is>
      </c>
      <c r="G637" s="10" t="n"/>
      <c r="H637" s="9" t="inlineStr">
        <is>
          <t>Kraft NotCo White Cheddar Style Plant Based Mac &amp; Cheese, 6 oz Box, Packaged Meal, Shelf-Stable 41.2¢/oz</t>
        </is>
      </c>
      <c r="I637" s="9" t="n">
        <v>6</v>
      </c>
      <c r="J637" s="9" t="inlineStr">
        <is>
          <t>oz</t>
        </is>
      </c>
      <c r="K637" s="85" t="n">
        <v>2.74</v>
      </c>
    </row>
    <row r="638" ht="15" customFormat="1" customHeight="1" s="5">
      <c r="A638" s="81" t="n">
        <v>45967</v>
      </c>
      <c r="B638" s="82" t="n">
        <v>0.5590277777777778</v>
      </c>
      <c r="C638" s="5" t="inlineStr">
        <is>
          <t>Walmart</t>
        </is>
      </c>
      <c r="D638" s="5" t="n">
        <v>1</v>
      </c>
      <c r="F638" s="6" t="inlineStr">
        <is>
          <t># 2000140-51185878</t>
        </is>
      </c>
      <c r="G638" s="10" t="n"/>
      <c r="H638" s="9" t="inlineStr">
        <is>
          <t>Fresh Produce, Baby Peeled Carrots, 1lb Bag 7.3¢/oz</t>
        </is>
      </c>
      <c r="I638" s="9" t="n">
        <v>1</v>
      </c>
      <c r="J638" s="9" t="inlineStr">
        <is>
          <t>lb</t>
        </is>
      </c>
      <c r="K638" s="85" t="n">
        <v>1.37</v>
      </c>
    </row>
    <row r="639" ht="15" customFormat="1" customHeight="1" s="5">
      <c r="A639" s="81" t="n">
        <v>45967</v>
      </c>
      <c r="B639" s="82" t="n">
        <v>0.5590277777777778</v>
      </c>
      <c r="C639" s="5" t="inlineStr">
        <is>
          <t>Walmart</t>
        </is>
      </c>
      <c r="D639" s="5" t="n">
        <v>1</v>
      </c>
      <c r="F639" s="6" t="inlineStr">
        <is>
          <t># 2000140-51185878</t>
        </is>
      </c>
      <c r="G639" s="10" t="n"/>
      <c r="H639" s="9" t="inlineStr">
        <is>
          <t>Marketside Gluten-Free Roasted Red Pepper Hummus 10 oz, Ready to Eat, Resealable Cup, 2 Tbsp. (28g) 27.2¢/oz</t>
        </is>
      </c>
      <c r="I639" s="9" t="n">
        <v>10</v>
      </c>
      <c r="J639" s="9" t="inlineStr">
        <is>
          <t>oz</t>
        </is>
      </c>
      <c r="K639" s="85" t="n">
        <v>2.72</v>
      </c>
    </row>
    <row r="640" ht="15" customFormat="1" customHeight="1" s="5">
      <c r="A640" s="81" t="n">
        <v>45967</v>
      </c>
      <c r="B640" s="82" t="n">
        <v>0.5590277777777778</v>
      </c>
      <c r="C640" s="5" t="inlineStr">
        <is>
          <t>Walmart</t>
        </is>
      </c>
      <c r="D640" s="5" t="n">
        <v>1</v>
      </c>
      <c r="F640" s="6" t="inlineStr">
        <is>
          <t># 2000140-51185878</t>
        </is>
      </c>
      <c r="G640" s="10" t="n"/>
      <c r="H640" s="9" t="inlineStr">
        <is>
          <t>(2 pack) FRAM Motorcycle/ATV Oil Filter, PH6017A for Select Harley-Davidson, Honda, Indian, Yamaha, Polaris, Triumph and Victory Models
Multipack Quantity: 2 $6.94/ea</t>
        </is>
      </c>
      <c r="I640" s="9" t="n">
        <v>2</v>
      </c>
      <c r="J640" s="9" t="inlineStr">
        <is>
          <t>cnt</t>
        </is>
      </c>
      <c r="K640" s="85" t="n">
        <v>13.88</v>
      </c>
    </row>
    <row r="641" ht="15" customFormat="1" customHeight="1" s="5">
      <c r="A641" s="81" t="n">
        <v>45967</v>
      </c>
      <c r="B641" s="82" t="n">
        <v>0.5590277777777778</v>
      </c>
      <c r="C641" s="5" t="inlineStr">
        <is>
          <t>Walmart</t>
        </is>
      </c>
      <c r="D641" s="5" t="n">
        <v>1</v>
      </c>
      <c r="F641" s="6" t="inlineStr">
        <is>
          <t># 2000140-51185878</t>
        </is>
      </c>
      <c r="G641" s="10" t="n"/>
      <c r="H641" s="9" t="inlineStr">
        <is>
          <t>Co retail delivery fees</t>
        </is>
      </c>
      <c r="I641" s="9" t="n">
        <v>1</v>
      </c>
      <c r="J641" s="9" t="inlineStr">
        <is>
          <t>cnt</t>
        </is>
      </c>
      <c r="K641" s="85" t="n">
        <v>0.28</v>
      </c>
    </row>
    <row r="642" ht="15" customFormat="1" customHeight="1" s="5">
      <c r="A642" s="81" t="n">
        <v>45967</v>
      </c>
      <c r="B642" s="82" t="n">
        <v>0.5590277777777778</v>
      </c>
      <c r="C642" s="5" t="inlineStr">
        <is>
          <t>Walmart</t>
        </is>
      </c>
      <c r="D642" s="5" t="n">
        <v>1</v>
      </c>
      <c r="F642" s="6" t="inlineStr">
        <is>
          <t># 2000140-51185878</t>
        </is>
      </c>
      <c r="G642" s="10" t="n"/>
      <c r="H642" s="9" t="inlineStr">
        <is>
          <t>Bag Fee</t>
        </is>
      </c>
      <c r="I642" s="9" t="n">
        <v>1</v>
      </c>
      <c r="J642" s="9" t="inlineStr">
        <is>
          <t>cnt</t>
        </is>
      </c>
      <c r="K642" s="85" t="n">
        <v>0.1</v>
      </c>
    </row>
    <row r="643" ht="15" customFormat="1" customHeight="1" s="5">
      <c r="A643" s="81" t="n">
        <v>45967</v>
      </c>
      <c r="B643" s="82" t="n">
        <v>0.5590277777777778</v>
      </c>
      <c r="C643" s="5" t="inlineStr">
        <is>
          <t>Walmart</t>
        </is>
      </c>
      <c r="D643" s="5" t="n">
        <v>1</v>
      </c>
      <c r="F643" s="6" t="inlineStr">
        <is>
          <t># 2000140-51185878</t>
        </is>
      </c>
      <c r="G643" s="10" t="n"/>
      <c r="H643" s="9" t="inlineStr">
        <is>
          <t>Tax</t>
        </is>
      </c>
      <c r="I643" s="9" t="n">
        <v>10</v>
      </c>
      <c r="J643" s="9" t="inlineStr">
        <is>
          <t>cnt</t>
        </is>
      </c>
      <c r="K643" s="85" t="n">
        <v>0.76</v>
      </c>
    </row>
    <row r="644" ht="15" customFormat="1" customHeight="1" s="5">
      <c r="A644" s="81" t="n">
        <v>45967</v>
      </c>
      <c r="B644" s="82" t="n">
        <v>0.5590277777777778</v>
      </c>
      <c r="C644" s="5" t="inlineStr">
        <is>
          <t>Walmart</t>
        </is>
      </c>
      <c r="D644" s="5" t="n">
        <v>1</v>
      </c>
      <c r="F644" s="6" t="inlineStr">
        <is>
          <t># 2000140-51185878</t>
        </is>
      </c>
      <c r="G644" s="10" t="n"/>
      <c r="H644" s="9" t="inlineStr">
        <is>
          <t>Walmart+ Savings</t>
        </is>
      </c>
      <c r="I644" s="9" t="n">
        <v>3</v>
      </c>
      <c r="J644" s="9" t="inlineStr">
        <is>
          <t>cnt</t>
        </is>
      </c>
      <c r="K644" s="85" t="n">
        <v>-0.47</v>
      </c>
    </row>
    <row r="645" ht="15" customFormat="1" customHeight="1" s="5">
      <c r="A645" s="81" t="n">
        <v>45967</v>
      </c>
      <c r="B645" s="82" t="n">
        <v>0.5590277777777778</v>
      </c>
      <c r="C645" s="5" t="inlineStr">
        <is>
          <t>Walmart</t>
        </is>
      </c>
      <c r="D645" s="5" t="n">
        <v>1</v>
      </c>
      <c r="F645" s="6" t="inlineStr">
        <is>
          <t># 2000140-51185878</t>
        </is>
      </c>
      <c r="G645" s="15" t="inlineStr">
        <is>
          <t xml:space="preserve">PRACTV4ZP6ZRG6 </t>
        </is>
      </c>
      <c r="H645" s="9" t="inlineStr">
        <is>
          <t>Promo code for something I cannot remember</t>
        </is>
      </c>
      <c r="I645" s="9" t="n">
        <v>1</v>
      </c>
      <c r="J645" s="9" t="inlineStr">
        <is>
          <t>cnt</t>
        </is>
      </c>
      <c r="K645" s="85" t="n">
        <v>-5.04</v>
      </c>
    </row>
    <row r="646" ht="15" customFormat="1" customHeight="1" s="5">
      <c r="A646" s="81" t="n">
        <v>45967</v>
      </c>
      <c r="B646" s="82" t="n">
        <v>0.5416666666666666</v>
      </c>
      <c r="C646" s="5" t="inlineStr">
        <is>
          <t>Brakes Plus</t>
        </is>
      </c>
      <c r="E646" s="5" t="n">
        <v>1</v>
      </c>
      <c r="F646" s="16" t="n">
        <v>10114123808</v>
      </c>
      <c r="G646" s="10" t="n"/>
      <c r="H646" s="9" t="inlineStr">
        <is>
          <t>Brake Fluid Replacement: Labor</t>
        </is>
      </c>
      <c r="I646" s="9" t="n"/>
      <c r="J646" s="9" t="n"/>
      <c r="K646" s="9" t="n">
        <v>65</v>
      </c>
    </row>
    <row r="647" ht="15" customFormat="1" customHeight="1" s="5">
      <c r="A647" s="81" t="n">
        <v>45967</v>
      </c>
      <c r="B647" s="82" t="n">
        <v>0.5416666666666666</v>
      </c>
      <c r="C647" s="5" t="inlineStr">
        <is>
          <t>Brakes Plus</t>
        </is>
      </c>
      <c r="E647" s="5" t="n">
        <v>1</v>
      </c>
      <c r="F647" s="16" t="n">
        <v>10114123808</v>
      </c>
      <c r="G647" s="10" t="n"/>
      <c r="H647" s="9" t="inlineStr">
        <is>
          <t>Brake Fluid Replacement: Disposal Labor</t>
        </is>
      </c>
      <c r="I647" s="9" t="n"/>
      <c r="J647" s="9" t="n"/>
      <c r="K647" s="9" t="n">
        <v>3</v>
      </c>
    </row>
    <row r="648" ht="15" customFormat="1" customHeight="1" s="5">
      <c r="A648" s="81" t="n">
        <v>45967</v>
      </c>
      <c r="B648" s="82" t="n">
        <v>0.5416666666666666</v>
      </c>
      <c r="C648" s="5" t="inlineStr">
        <is>
          <t>Brakes Plus</t>
        </is>
      </c>
      <c r="E648" s="5" t="n">
        <v>1</v>
      </c>
      <c r="F648" s="16" t="n">
        <v>10114123808</v>
      </c>
      <c r="G648" s="10" t="n"/>
      <c r="H648" s="9" t="inlineStr">
        <is>
          <t>Brake Fluid Replacement: Parts</t>
        </is>
      </c>
      <c r="I648" s="9" t="n"/>
      <c r="J648" s="9" t="n"/>
      <c r="K648" s="9" t="n">
        <v>19.99</v>
      </c>
    </row>
    <row r="649" ht="15" customFormat="1" customHeight="1" s="5">
      <c r="A649" s="81" t="n">
        <v>45967</v>
      </c>
      <c r="B649" s="82" t="n">
        <v>0.5416666666666666</v>
      </c>
      <c r="C649" s="5" t="inlineStr">
        <is>
          <t>Brakes Plus</t>
        </is>
      </c>
      <c r="E649" s="5" t="n">
        <v>1</v>
      </c>
      <c r="F649" s="16" t="n">
        <v>10114123808</v>
      </c>
      <c r="G649" s="10" t="n"/>
      <c r="H649" s="9" t="inlineStr">
        <is>
          <t>Brake Fluid Replacement: Fluids/Supplies</t>
        </is>
      </c>
      <c r="I649" s="9" t="n"/>
      <c r="J649" s="9" t="n"/>
      <c r="K649" s="9" t="n">
        <v>3.6</v>
      </c>
    </row>
    <row r="650" ht="15" customFormat="1" customHeight="1" s="5">
      <c r="A650" s="81" t="n">
        <v>45967</v>
      </c>
      <c r="B650" s="82" t="n">
        <v>0.5416666666666666</v>
      </c>
      <c r="C650" s="5" t="inlineStr">
        <is>
          <t>Brakes Plus</t>
        </is>
      </c>
      <c r="E650" s="5" t="n">
        <v>1</v>
      </c>
      <c r="F650" s="16" t="n">
        <v>10114123808</v>
      </c>
      <c r="G650" s="10" t="n"/>
      <c r="H650" s="9" t="inlineStr">
        <is>
          <t>Sales Tax</t>
        </is>
      </c>
      <c r="I650" s="9" t="n"/>
      <c r="J650" s="9" t="n"/>
      <c r="K650" s="9" t="n">
        <v>1.59</v>
      </c>
    </row>
    <row r="651" ht="15" customFormat="1" customHeight="1" s="5">
      <c r="A651" s="81" t="n">
        <v>45967</v>
      </c>
      <c r="B651" s="82" t="n">
        <v>0.46875</v>
      </c>
      <c r="C651" s="5" t="inlineStr">
        <is>
          <t>Scratches Happen</t>
        </is>
      </c>
      <c r="D651" s="5" t="n">
        <v>1</v>
      </c>
      <c r="F651" s="16" t="n">
        <v>1046628</v>
      </c>
      <c r="G651" s="10" t="n"/>
      <c r="H651" s="9" t="inlineStr">
        <is>
          <t>Subaru Sunshine Orange (PAK) Touch Up Paint - Bottle, Preferred</t>
        </is>
      </c>
      <c r="I651" s="9" t="n"/>
      <c r="J651" s="9" t="n"/>
      <c r="K651" s="9" t="n">
        <v>27.95</v>
      </c>
    </row>
    <row r="652" ht="15" customFormat="1" customHeight="1" s="5">
      <c r="A652" s="81" t="n">
        <v>45967</v>
      </c>
      <c r="B652" s="82" t="n">
        <v>0.46875</v>
      </c>
      <c r="C652" s="5" t="inlineStr">
        <is>
          <t>Scratches Happen</t>
        </is>
      </c>
      <c r="D652" s="5" t="n">
        <v>1</v>
      </c>
      <c r="F652" s="16" t="n">
        <v>1046628</v>
      </c>
      <c r="G652" s="10" t="n"/>
      <c r="H652" s="9" t="inlineStr">
        <is>
          <t>Discount</t>
        </is>
      </c>
      <c r="I652" s="9" t="n"/>
      <c r="J652" s="9" t="n"/>
      <c r="K652" s="9" t="n">
        <v>-2.79</v>
      </c>
    </row>
    <row r="653" ht="15" customFormat="1" customHeight="1" s="5">
      <c r="A653" s="81" t="n">
        <v>45967</v>
      </c>
      <c r="B653" s="82" t="n">
        <v>0.46875</v>
      </c>
      <c r="C653" s="5" t="inlineStr">
        <is>
          <t>Scratches Happen</t>
        </is>
      </c>
      <c r="D653" s="5" t="n">
        <v>1</v>
      </c>
      <c r="F653" s="16" t="n">
        <v>1046628</v>
      </c>
      <c r="G653" s="10" t="n"/>
      <c r="H653" s="9" t="inlineStr">
        <is>
          <t>Shipping</t>
        </is>
      </c>
      <c r="I653" s="9" t="n"/>
      <c r="J653" s="9" t="n"/>
      <c r="K653" s="9" t="n">
        <v>5.16</v>
      </c>
    </row>
    <row r="654" ht="15" customFormat="1" customHeight="1" s="5">
      <c r="A654" s="81" t="n">
        <v>45967</v>
      </c>
      <c r="B654" s="82" t="n">
        <v>0.46875</v>
      </c>
      <c r="C654" s="5" t="inlineStr">
        <is>
          <t>Scratches Happen</t>
        </is>
      </c>
      <c r="D654" s="5" t="n">
        <v>1</v>
      </c>
      <c r="F654" s="16" t="n">
        <v>1046628</v>
      </c>
      <c r="G654" s="10" t="n"/>
      <c r="H654" s="9" t="inlineStr">
        <is>
          <t>Sales Tax</t>
        </is>
      </c>
      <c r="I654" s="9" t="n"/>
      <c r="J654" s="9" t="n"/>
      <c r="K654" s="9" t="n">
        <v>2.01</v>
      </c>
    </row>
    <row r="655" ht="15" customFormat="1" customHeight="1" s="5">
      <c r="A655" s="81" t="n">
        <v>45966</v>
      </c>
      <c r="B655" s="82" t="n">
        <v>0.3375</v>
      </c>
      <c r="C655" s="5" t="inlineStr">
        <is>
          <t>Xfinity</t>
        </is>
      </c>
      <c r="D655" s="5" t="n">
        <v>1</v>
      </c>
      <c r="F655" s="6" t="n"/>
      <c r="G655" s="10" t="n"/>
      <c r="H655" s="9" t="inlineStr">
        <is>
          <t>Internet Oct 14 - Nov 13</t>
        </is>
      </c>
      <c r="I655" s="9" t="n"/>
      <c r="J655" s="9" t="n"/>
      <c r="K655" s="9" t="n">
        <v>110</v>
      </c>
    </row>
    <row r="656" ht="15" customFormat="1" customHeight="1" s="5">
      <c r="A656" s="81" t="n">
        <v>45966</v>
      </c>
      <c r="B656" s="82" t="n">
        <v>0.3375</v>
      </c>
      <c r="C656" s="5" t="inlineStr">
        <is>
          <t>Xfinity</t>
        </is>
      </c>
      <c r="D656" s="5" t="n">
        <v>1</v>
      </c>
      <c r="F656" s="6" t="n"/>
      <c r="G656" s="10" t="n"/>
      <c r="H656" s="9" t="inlineStr">
        <is>
          <t>**DISCOUNT** 1 year (expires Sep 13 2026) Discount</t>
        </is>
      </c>
      <c r="I656" s="9" t="n"/>
      <c r="J656" s="9" t="n"/>
      <c r="K656" s="9" t="n">
        <v>-50</v>
      </c>
    </row>
    <row r="657" ht="15" customFormat="1" customHeight="1" s="5">
      <c r="A657" s="81" t="n">
        <v>45966</v>
      </c>
      <c r="B657" s="82" t="n">
        <v>0.3375</v>
      </c>
      <c r="C657" s="5" t="inlineStr">
        <is>
          <t>Xfinity</t>
        </is>
      </c>
      <c r="D657" s="5" t="n">
        <v>1</v>
      </c>
      <c r="F657" s="6" t="n"/>
      <c r="G657" s="10" t="n"/>
      <c r="H657" s="9" t="inlineStr">
        <is>
          <t>**DISCOUNT** Autopay from Bank + Paperless Billing</t>
        </is>
      </c>
      <c r="I657" s="9" t="n"/>
      <c r="J657" s="9" t="n"/>
      <c r="K657" s="9" t="n">
        <v>-10</v>
      </c>
    </row>
    <row r="658" ht="15" customFormat="1" customHeight="1" s="5">
      <c r="A658" s="81" t="n">
        <v>45966</v>
      </c>
      <c r="B658" s="82" t="n">
        <v>0.3375</v>
      </c>
      <c r="C658" s="5" t="inlineStr">
        <is>
          <t>Xfinity</t>
        </is>
      </c>
      <c r="D658" s="5" t="n">
        <v>1</v>
      </c>
      <c r="F658" s="6" t="n"/>
      <c r="G658" s="10" t="n"/>
      <c r="H658" s="9" t="inlineStr">
        <is>
          <t>Taxs, fees, and other charges</t>
        </is>
      </c>
      <c r="I658" s="9" t="n"/>
      <c r="J658" s="9" t="n"/>
      <c r="K658" s="9" t="n">
        <v>1.21</v>
      </c>
    </row>
    <row r="659" ht="15" customFormat="1" customHeight="1" s="5">
      <c r="A659" s="81" t="n">
        <v>45965</v>
      </c>
      <c r="B659" s="82" t="n">
        <v>0.6263888888888889</v>
      </c>
      <c r="C659" s="5" t="inlineStr">
        <is>
          <t>Shell</t>
        </is>
      </c>
      <c r="E659" s="5" t="n">
        <v>1</v>
      </c>
      <c r="F659" s="6" t="inlineStr">
        <is>
          <t>57443811203</t>
        </is>
      </c>
      <c r="G659" s="15" t="inlineStr">
        <is>
          <t>#8</t>
        </is>
      </c>
      <c r="H659" s="9" t="inlineStr">
        <is>
          <t>Kawi Gas 3.369 Gallons @$2.219/gal</t>
        </is>
      </c>
      <c r="I659" s="9" t="n">
        <v>3.369</v>
      </c>
      <c r="J659" s="9" t="inlineStr">
        <is>
          <t>Gal</t>
        </is>
      </c>
      <c r="K659" s="9" t="n">
        <v>7.48</v>
      </c>
    </row>
    <row r="660" ht="15" customFormat="1" customHeight="1" s="5">
      <c r="A660" s="81" t="n">
        <v>45965</v>
      </c>
      <c r="B660" s="82" t="n">
        <v>0.6263888888888889</v>
      </c>
      <c r="C660" s="5" t="inlineStr">
        <is>
          <t>Shell</t>
        </is>
      </c>
      <c r="E660" s="5" t="n">
        <v>1</v>
      </c>
      <c r="F660" s="6" t="inlineStr">
        <is>
          <t>57443811203</t>
        </is>
      </c>
      <c r="G660" s="15" t="n"/>
      <c r="H660" s="9" t="inlineStr">
        <is>
          <t>**DISCOUNT** platinum rewards</t>
        </is>
      </c>
      <c r="I660" s="9" t="n">
        <v>3.369</v>
      </c>
      <c r="J660" s="9" t="inlineStr">
        <is>
          <t>Gal</t>
        </is>
      </c>
      <c r="K660" s="9" t="n">
        <v>-0.17</v>
      </c>
    </row>
    <row r="661" ht="15" customFormat="1" customHeight="1" s="5">
      <c r="A661" s="81" t="n">
        <v>45965</v>
      </c>
      <c r="B661" s="78" t="n">
        <v>0.4722222222222222</v>
      </c>
      <c r="C661" s="5" t="inlineStr">
        <is>
          <t>Safeway</t>
        </is>
      </c>
      <c r="E661" s="5" t="n">
        <v>1</v>
      </c>
      <c r="F661" s="6" t="inlineStr">
        <is>
          <t>2612 51 17 8851</t>
        </is>
      </c>
      <c r="G661" s="15" t="n"/>
      <c r="H661" s="9" t="inlineStr">
        <is>
          <t>Amazon 2024 Corrugated Vgc 10-500 -- Joy thanku for babysitting Sheva while Tovi labor</t>
        </is>
      </c>
      <c r="I661" s="9" t="n">
        <v>1</v>
      </c>
      <c r="J661" s="9" t="inlineStr">
        <is>
          <t>cnt</t>
        </is>
      </c>
      <c r="K661" s="9" t="n">
        <v>25</v>
      </c>
    </row>
    <row r="662" ht="15" customFormat="1" customHeight="1" s="5">
      <c r="A662" s="81" t="n">
        <v>45965</v>
      </c>
      <c r="B662" s="78" t="n">
        <v>0.4722222222222222</v>
      </c>
      <c r="C662" s="5" t="inlineStr">
        <is>
          <t>Safeway</t>
        </is>
      </c>
      <c r="E662" s="5" t="n">
        <v>1</v>
      </c>
      <c r="F662" s="6" t="inlineStr">
        <is>
          <t>2612 51 17 8851</t>
        </is>
      </c>
      <c r="G662" s="15" t="n"/>
      <c r="H662" s="9" t="inlineStr">
        <is>
          <t>Chipotle 20.00-200.00 -- Bryan birthday</t>
        </is>
      </c>
      <c r="I662" s="9" t="n">
        <v>1</v>
      </c>
      <c r="J662" s="9" t="inlineStr">
        <is>
          <t>cnt</t>
        </is>
      </c>
      <c r="K662" s="9" t="n">
        <v>20</v>
      </c>
    </row>
    <row r="663" ht="15" customFormat="1" customHeight="1" s="5">
      <c r="A663" s="81" t="n">
        <v>45965</v>
      </c>
      <c r="B663" s="78" t="n">
        <v>0.4722222222222222</v>
      </c>
      <c r="C663" s="5" t="inlineStr">
        <is>
          <t>Safeway</t>
        </is>
      </c>
      <c r="E663" s="5" t="n">
        <v>1</v>
      </c>
      <c r="F663" s="6" t="inlineStr">
        <is>
          <t>2612 51 17 8851</t>
        </is>
      </c>
      <c r="G663" s="15" t="n"/>
      <c r="H663" s="9" t="inlineStr">
        <is>
          <t>Pomegranates</t>
        </is>
      </c>
      <c r="I663" s="9" t="n">
        <v>3</v>
      </c>
      <c r="J663" s="9" t="inlineStr">
        <is>
          <t>cnt</t>
        </is>
      </c>
      <c r="K663" s="9" t="n">
        <v>2.99</v>
      </c>
    </row>
    <row r="664" ht="15" customFormat="1" customHeight="1" s="5">
      <c r="A664" s="81" t="n">
        <v>45965</v>
      </c>
      <c r="B664" s="78" t="n">
        <v>0.4722222222222222</v>
      </c>
      <c r="C664" s="5" t="inlineStr">
        <is>
          <t>Safeway</t>
        </is>
      </c>
      <c r="E664" s="5" t="n">
        <v>1</v>
      </c>
      <c r="F664" s="6" t="inlineStr">
        <is>
          <t>2612 51 17 8851</t>
        </is>
      </c>
      <c r="G664" s="15" t="n"/>
      <c r="H664" s="9" t="inlineStr">
        <is>
          <t>Talenti Alphonso Mango Sorbetto</t>
        </is>
      </c>
      <c r="I664" s="9" t="n">
        <v>1</v>
      </c>
      <c r="J664" s="9" t="inlineStr">
        <is>
          <t>pint</t>
        </is>
      </c>
      <c r="K664" s="9" t="n">
        <v>3.47</v>
      </c>
    </row>
    <row r="665" ht="15" customFormat="1" customHeight="1" s="5">
      <c r="A665" s="81" t="n">
        <v>45965</v>
      </c>
      <c r="B665" s="78" t="n">
        <v>0.4722222222222222</v>
      </c>
      <c r="C665" s="5" t="inlineStr">
        <is>
          <t>Safeway</t>
        </is>
      </c>
      <c r="E665" s="5" t="n">
        <v>1</v>
      </c>
      <c r="F665" s="6" t="inlineStr">
        <is>
          <t>2612 51 17 8851</t>
        </is>
      </c>
      <c r="G665" s="15" t="n"/>
      <c r="H665" s="9" t="inlineStr">
        <is>
          <t>Talenti Dairy-free Sorbetto Zesty Lemon 1 Pint</t>
        </is>
      </c>
      <c r="I665" s="9" t="n">
        <v>1</v>
      </c>
      <c r="J665" s="9" t="inlineStr">
        <is>
          <t>pint</t>
        </is>
      </c>
      <c r="K665" s="9" t="n">
        <v>3.47</v>
      </c>
    </row>
    <row r="666" ht="15" customFormat="1" customHeight="1" s="5">
      <c r="A666" s="81" t="n">
        <v>45965</v>
      </c>
      <c r="B666" s="78" t="n">
        <v>0.4722222222222222</v>
      </c>
      <c r="C666" s="5" t="inlineStr">
        <is>
          <t>Safeway</t>
        </is>
      </c>
      <c r="E666" s="5" t="n">
        <v>1</v>
      </c>
      <c r="F666" s="6" t="inlineStr">
        <is>
          <t>2612 51 17 8851</t>
        </is>
      </c>
      <c r="G666" s="15" t="n"/>
      <c r="H666" s="9" t="inlineStr">
        <is>
          <t>Tax</t>
        </is>
      </c>
      <c r="I666" s="9" t="n">
        <v>5</v>
      </c>
      <c r="J666" s="9" t="inlineStr">
        <is>
          <t>cnt</t>
        </is>
      </c>
      <c r="K666" s="9" t="n">
        <v>0</v>
      </c>
    </row>
    <row r="667" ht="15" customFormat="1" customHeight="1" s="5">
      <c r="A667" s="81" t="n">
        <v>45965</v>
      </c>
      <c r="B667" s="78" t="n">
        <v>0.4548611111111111</v>
      </c>
      <c r="C667" s="5" t="inlineStr">
        <is>
          <t>Costco</t>
        </is>
      </c>
      <c r="E667" s="5" t="n">
        <v>1</v>
      </c>
      <c r="F667" s="6" t="inlineStr">
        <is>
          <t>439 208 45 708</t>
        </is>
      </c>
      <c r="G667" s="15" t="inlineStr">
        <is>
          <t>E 1872030</t>
        </is>
      </c>
      <c r="H667" s="9" t="inlineStr">
        <is>
          <t>Amara: 20 single serve pouches 6g 0.21 oz each (net 120g 4.2 oz)</t>
        </is>
      </c>
      <c r="I667" s="9" t="n">
        <v>120</v>
      </c>
      <c r="J667" s="9" t="inlineStr">
        <is>
          <t>g</t>
        </is>
      </c>
      <c r="K667" s="9" t="n">
        <v>17.99</v>
      </c>
    </row>
    <row r="668" ht="15" customFormat="1" customHeight="1" s="5">
      <c r="A668" s="81" t="n">
        <v>45965</v>
      </c>
      <c r="B668" s="78" t="n">
        <v>0.4548611111111111</v>
      </c>
      <c r="C668" s="5" t="inlineStr">
        <is>
          <t>Costco</t>
        </is>
      </c>
      <c r="E668" s="5" t="n">
        <v>1</v>
      </c>
      <c r="F668" s="6" t="inlineStr">
        <is>
          <t>439 208 45 708</t>
        </is>
      </c>
      <c r="G668" s="15" t="inlineStr">
        <is>
          <t>E 0000366105</t>
        </is>
      </c>
      <c r="H668" s="9" t="inlineStr">
        <is>
          <t>**DISCOUNT** /1872030 Amara Single Yogurt Melts</t>
        </is>
      </c>
      <c r="I668" s="9" t="n">
        <v>120</v>
      </c>
      <c r="J668" s="9" t="inlineStr">
        <is>
          <t>g</t>
        </is>
      </c>
      <c r="K668" s="9" t="inlineStr">
        <is>
          <t>4.20-</t>
        </is>
      </c>
    </row>
    <row r="669" ht="15" customFormat="1" customHeight="1" s="5">
      <c r="A669" s="81" t="n">
        <v>45965</v>
      </c>
      <c r="B669" s="78" t="n">
        <v>0.4548611111111111</v>
      </c>
      <c r="C669" s="5" t="inlineStr">
        <is>
          <t>Costco</t>
        </is>
      </c>
      <c r="E669" s="5" t="n">
        <v>1</v>
      </c>
      <c r="F669" s="6" t="inlineStr">
        <is>
          <t>439 208 45 708</t>
        </is>
      </c>
      <c r="G669" s="15" t="inlineStr">
        <is>
          <t>E 1950408</t>
        </is>
      </c>
      <c r="H669" s="9" t="inlineStr">
        <is>
          <t>Bakaji: Sadabahar Soanpapdi "Ethnic flaky sweet with pistachios and almonds, cereal based sweet"</t>
        </is>
      </c>
      <c r="I669" s="9" t="n">
        <v>35.27</v>
      </c>
      <c r="J669" s="9" t="inlineStr">
        <is>
          <t>oz</t>
        </is>
      </c>
      <c r="K669" s="9" t="n">
        <v>1.97</v>
      </c>
    </row>
    <row r="670" ht="15" customFormat="1" customHeight="1" s="5">
      <c r="A670" s="81" t="n">
        <v>45965</v>
      </c>
      <c r="B670" s="78" t="n">
        <v>0.4548611111111111</v>
      </c>
      <c r="C670" s="5" t="inlineStr">
        <is>
          <t>Costco</t>
        </is>
      </c>
      <c r="E670" s="5" t="n">
        <v>1</v>
      </c>
      <c r="F670" s="6" t="inlineStr">
        <is>
          <t>439 208 45 708</t>
        </is>
      </c>
      <c r="G670" s="15" t="inlineStr">
        <is>
          <t>E 1950408</t>
        </is>
      </c>
      <c r="H670" s="9" t="inlineStr">
        <is>
          <t>Bakaji: Sadabahar Soanpapdi "Ethnic flaky sweet with pistachios and almonds, cereal based sweet"</t>
        </is>
      </c>
      <c r="I670" s="9" t="n">
        <v>35.27</v>
      </c>
      <c r="J670" s="9" t="inlineStr">
        <is>
          <t>oz</t>
        </is>
      </c>
      <c r="K670" s="9" t="n">
        <v>1.97</v>
      </c>
    </row>
    <row r="671" ht="15" customFormat="1" customHeight="1" s="5">
      <c r="A671" s="81" t="n">
        <v>45965</v>
      </c>
      <c r="B671" s="78" t="n">
        <v>0.4548611111111111</v>
      </c>
      <c r="C671" s="5" t="inlineStr">
        <is>
          <t>Costco</t>
        </is>
      </c>
      <c r="E671" s="5" t="n">
        <v>1</v>
      </c>
      <c r="F671" s="6" t="inlineStr">
        <is>
          <t>439 208 45 708</t>
        </is>
      </c>
      <c r="G671" s="15" t="inlineStr">
        <is>
          <t>E 1950408</t>
        </is>
      </c>
      <c r="H671" s="9" t="inlineStr">
        <is>
          <t>Bakaji: Sadabahar Soanpapdi "Ethnic flaky sweet with pistachios and almonds, cereal based sweet"</t>
        </is>
      </c>
      <c r="I671" s="9" t="n">
        <v>35.27</v>
      </c>
      <c r="J671" s="9" t="inlineStr">
        <is>
          <t>oz</t>
        </is>
      </c>
      <c r="K671" s="9" t="n">
        <v>1.97</v>
      </c>
    </row>
    <row r="672" ht="15" customFormat="1" customHeight="1" s="5">
      <c r="A672" s="81" t="n">
        <v>45965</v>
      </c>
      <c r="B672" s="78" t="n">
        <v>0.4548611111111111</v>
      </c>
      <c r="C672" s="5" t="inlineStr">
        <is>
          <t>Costco</t>
        </is>
      </c>
      <c r="E672" s="5" t="n">
        <v>1</v>
      </c>
      <c r="F672" s="6" t="inlineStr">
        <is>
          <t>439 208 45 708</t>
        </is>
      </c>
      <c r="G672" s="15" t="inlineStr">
        <is>
          <t>E 1950408</t>
        </is>
      </c>
      <c r="H672" s="9" t="inlineStr">
        <is>
          <t>Bakaji: Sadabahar Soanpapdi "Ethnic flaky sweet with pistachios and almonds, cereal based sweet"</t>
        </is>
      </c>
      <c r="I672" s="9" t="n">
        <v>35.27</v>
      </c>
      <c r="J672" s="9" t="inlineStr">
        <is>
          <t>oz</t>
        </is>
      </c>
      <c r="K672" s="9" t="n">
        <v>1.97</v>
      </c>
    </row>
    <row r="673" ht="15" customFormat="1" customHeight="1" s="5">
      <c r="A673" s="81" t="n">
        <v>45965</v>
      </c>
      <c r="B673" s="78" t="n">
        <v>0.4548611111111111</v>
      </c>
      <c r="C673" s="5" t="inlineStr">
        <is>
          <t>Costco</t>
        </is>
      </c>
      <c r="E673" s="5" t="n">
        <v>1</v>
      </c>
      <c r="F673" s="6" t="inlineStr">
        <is>
          <t>439 208 45 708</t>
        </is>
      </c>
      <c r="G673" s="15" t="inlineStr">
        <is>
          <t>E 1950408</t>
        </is>
      </c>
      <c r="H673" s="9" t="inlineStr">
        <is>
          <t>Bakaji: Sadabahar Soanpapdi "Ethnic flaky sweet with pistachios and almonds, cereal based sweet"</t>
        </is>
      </c>
      <c r="I673" s="9" t="n">
        <v>35.27</v>
      </c>
      <c r="J673" s="9" t="inlineStr">
        <is>
          <t>oz</t>
        </is>
      </c>
      <c r="K673" s="9" t="n">
        <v>1.97</v>
      </c>
    </row>
    <row r="674" ht="15" customFormat="1" customHeight="1" s="5">
      <c r="A674" s="81" t="n">
        <v>45965</v>
      </c>
      <c r="B674" s="78" t="n">
        <v>0.4548611111111111</v>
      </c>
      <c r="C674" s="5" t="inlineStr">
        <is>
          <t>Costco</t>
        </is>
      </c>
      <c r="E674" s="5" t="n">
        <v>1</v>
      </c>
      <c r="F674" s="6" t="inlineStr">
        <is>
          <t>439 208 45 708</t>
        </is>
      </c>
      <c r="G674" s="15" t="inlineStr">
        <is>
          <t>E 1950408</t>
        </is>
      </c>
      <c r="H674" s="9" t="inlineStr">
        <is>
          <t>Bakaji: Sadabahar Soanpapdi "Ethnic flaky sweet with pistachios and almonds, cereal based sweet"</t>
        </is>
      </c>
      <c r="I674" s="9" t="n">
        <v>35.27</v>
      </c>
      <c r="J674" s="9" t="inlineStr">
        <is>
          <t>oz</t>
        </is>
      </c>
      <c r="K674" s="9" t="n">
        <v>1.97</v>
      </c>
    </row>
    <row r="675" ht="15" customFormat="1" customHeight="1" s="5">
      <c r="A675" s="81" t="n">
        <v>45965</v>
      </c>
      <c r="B675" s="78" t="n">
        <v>0.4548611111111111</v>
      </c>
      <c r="C675" s="5" t="inlineStr">
        <is>
          <t>Costco</t>
        </is>
      </c>
      <c r="E675" s="5" t="n">
        <v>1</v>
      </c>
      <c r="F675" s="6" t="inlineStr">
        <is>
          <t>439 208 45 708</t>
        </is>
      </c>
      <c r="G675" s="15" t="inlineStr">
        <is>
          <t>E 1950408</t>
        </is>
      </c>
      <c r="H675" s="9" t="inlineStr">
        <is>
          <t>Bakaji: Sadabahar Soanpapdi "Ethnic flaky sweet with pistachios and almonds, cereal based sweet"</t>
        </is>
      </c>
      <c r="I675" s="9" t="n">
        <v>35.27</v>
      </c>
      <c r="J675" s="9" t="inlineStr">
        <is>
          <t>oz</t>
        </is>
      </c>
      <c r="K675" s="9" t="n">
        <v>1.97</v>
      </c>
    </row>
    <row r="676" ht="15" customFormat="1" customHeight="1" s="5">
      <c r="A676" s="81" t="n">
        <v>45965</v>
      </c>
      <c r="B676" s="78" t="n">
        <v>0.4548611111111111</v>
      </c>
      <c r="C676" s="5" t="inlineStr">
        <is>
          <t>Costco</t>
        </is>
      </c>
      <c r="E676" s="5" t="n">
        <v>1</v>
      </c>
      <c r="F676" s="6" t="inlineStr">
        <is>
          <t>439 208 45 708</t>
        </is>
      </c>
      <c r="G676" s="15" t="inlineStr">
        <is>
          <t>E 1950408</t>
        </is>
      </c>
      <c r="H676" s="9" t="inlineStr">
        <is>
          <t>Bakaji: Sadabahar Soanpapdi "Ethnic flaky sweet with pistachios and almonds, cereal based sweet"</t>
        </is>
      </c>
      <c r="I676" s="9" t="n">
        <v>35.27</v>
      </c>
      <c r="J676" s="9" t="inlineStr">
        <is>
          <t>oz</t>
        </is>
      </c>
      <c r="K676" s="9" t="n">
        <v>1.97</v>
      </c>
    </row>
    <row r="677" ht="15" customFormat="1" customHeight="1" s="5">
      <c r="A677" s="81" t="n">
        <v>45965</v>
      </c>
      <c r="B677" s="78" t="n">
        <v>0.4548611111111111</v>
      </c>
      <c r="C677" s="5" t="inlineStr">
        <is>
          <t>Costco</t>
        </is>
      </c>
      <c r="E677" s="5" t="n">
        <v>1</v>
      </c>
      <c r="F677" s="6" t="inlineStr">
        <is>
          <t>439 208 45 708</t>
        </is>
      </c>
      <c r="G677" s="15" t="inlineStr">
        <is>
          <t>E 3379</t>
        </is>
      </c>
      <c r="H677" s="9" t="inlineStr">
        <is>
          <t>Truffettes De France Truffles, 2.2 lbs, 2-pack</t>
        </is>
      </c>
      <c r="I677" s="9" t="n">
        <v>2.2</v>
      </c>
      <c r="J677" s="9" t="inlineStr">
        <is>
          <t>lb</t>
        </is>
      </c>
      <c r="K677" s="9" t="inlineStr">
        <is>
          <t>13.89 EF</t>
        </is>
      </c>
    </row>
    <row r="678" ht="15" customFormat="1" customHeight="1" s="5">
      <c r="A678" s="81" t="n">
        <v>45965</v>
      </c>
      <c r="B678" s="78" t="n">
        <v>0.4548611111111111</v>
      </c>
      <c r="C678" s="5" t="inlineStr">
        <is>
          <t>Costco</t>
        </is>
      </c>
      <c r="E678" s="5" t="n">
        <v>1</v>
      </c>
      <c r="F678" s="6" t="inlineStr">
        <is>
          <t>439 208 45 708</t>
        </is>
      </c>
      <c r="G678" s="15" t="inlineStr">
        <is>
          <t>E 1182051</t>
        </is>
      </c>
      <c r="H678" s="9" t="inlineStr">
        <is>
          <t>Almond Roca "Buttercrunch toffee with almonds" -- Brown &amp; Haley 1912</t>
        </is>
      </c>
      <c r="I678" s="9" t="n">
        <v>28</v>
      </c>
      <c r="J678" s="9" t="inlineStr">
        <is>
          <t>oz</t>
        </is>
      </c>
      <c r="K678" s="9" t="inlineStr">
        <is>
          <t>14.99 EF</t>
        </is>
      </c>
    </row>
    <row r="679" ht="15" customFormat="1" customHeight="1" s="5">
      <c r="A679" s="81" t="n">
        <v>45965</v>
      </c>
      <c r="B679" s="78" t="n">
        <v>0.4548611111111111</v>
      </c>
      <c r="C679" s="5" t="inlineStr">
        <is>
          <t>Costco</t>
        </is>
      </c>
      <c r="E679" s="5" t="n">
        <v>1</v>
      </c>
      <c r="F679" s="6" t="inlineStr">
        <is>
          <t>439 208 45 708</t>
        </is>
      </c>
      <c r="G679" s="15" t="inlineStr">
        <is>
          <t>E 1928328</t>
        </is>
      </c>
      <c r="H679" s="9" t="inlineStr">
        <is>
          <t>Belgian Butters Butter Waffle Trio, 21.16 oz: "All butter, double chocolate, dark chocolate"</t>
        </is>
      </c>
      <c r="I679" s="9" t="n">
        <v>21.16</v>
      </c>
      <c r="J679" s="9" t="inlineStr">
        <is>
          <t>oz</t>
        </is>
      </c>
      <c r="K679" s="9" t="n">
        <v>13.99</v>
      </c>
    </row>
    <row r="680" ht="15" customFormat="1" customHeight="1" s="5">
      <c r="A680" s="81" t="n">
        <v>45965</v>
      </c>
      <c r="B680" s="78" t="n">
        <v>0.4548611111111111</v>
      </c>
      <c r="C680" s="5" t="inlineStr">
        <is>
          <t>Costco</t>
        </is>
      </c>
      <c r="E680" s="5" t="n">
        <v>1</v>
      </c>
      <c r="F680" s="6" t="inlineStr">
        <is>
          <t>439 208 45 708</t>
        </is>
      </c>
      <c r="G680" s="15" t="inlineStr">
        <is>
          <t>E 6148</t>
        </is>
      </c>
      <c r="H680" s="9" t="inlineStr">
        <is>
          <t>Persimmons 8 count</t>
        </is>
      </c>
      <c r="I680" s="9" t="n">
        <v>2</v>
      </c>
      <c r="J680" s="9" t="inlineStr">
        <is>
          <t>lb</t>
        </is>
      </c>
      <c r="K680" s="9" t="n">
        <v>4.99</v>
      </c>
    </row>
    <row r="681" ht="15" customFormat="1" customHeight="1" s="5">
      <c r="A681" s="81" t="n">
        <v>45965</v>
      </c>
      <c r="B681" s="78" t="n">
        <v>0.4548611111111111</v>
      </c>
      <c r="C681" s="5" t="inlineStr">
        <is>
          <t>Costco</t>
        </is>
      </c>
      <c r="E681" s="5" t="n">
        <v>1</v>
      </c>
      <c r="F681" s="6" t="inlineStr">
        <is>
          <t>439 208 45 708</t>
        </is>
      </c>
      <c r="G681" s="15" t="n"/>
      <c r="H681" s="9" t="inlineStr">
        <is>
          <t>Tax E 3.75%</t>
        </is>
      </c>
      <c r="I681" s="9" t="n">
        <v>2</v>
      </c>
      <c r="J681" s="9" t="inlineStr">
        <is>
          <t>cnt</t>
        </is>
      </c>
      <c r="K681" s="9" t="n">
        <v>1.08</v>
      </c>
    </row>
    <row r="682" ht="15" customFormat="1" customHeight="1" s="5">
      <c r="A682" s="81" t="n">
        <v>45965</v>
      </c>
      <c r="B682" s="78" t="n">
        <v>0.4548611111111111</v>
      </c>
      <c r="C682" s="5" t="inlineStr">
        <is>
          <t>Costco</t>
        </is>
      </c>
      <c r="E682" s="5" t="n">
        <v>1</v>
      </c>
      <c r="F682" s="6" t="inlineStr">
        <is>
          <t>439 208 45 708</t>
        </is>
      </c>
      <c r="G682" s="15" t="n"/>
      <c r="H682" s="9" t="inlineStr">
        <is>
          <t>Tax F 4.00%</t>
        </is>
      </c>
      <c r="I682" s="9" t="n">
        <v>2</v>
      </c>
      <c r="J682" s="9" t="inlineStr">
        <is>
          <t>cnt</t>
        </is>
      </c>
      <c r="K682" s="9" t="n">
        <v>1.16</v>
      </c>
    </row>
    <row r="683" ht="15" customFormat="1" customHeight="1" s="5">
      <c r="A683" s="81" t="n">
        <v>45964</v>
      </c>
      <c r="B683" s="78" t="n">
        <v>0.5111111111111111</v>
      </c>
      <c r="C683" s="5" t="inlineStr">
        <is>
          <t>PayPal</t>
        </is>
      </c>
      <c r="D683" s="5" t="n">
        <v>1</v>
      </c>
      <c r="F683" s="6" t="inlineStr">
        <is>
          <t>9FF54480SP588804T</t>
        </is>
      </c>
      <c r="G683" s="15" t="n"/>
      <c r="H683" s="9" t="inlineStr">
        <is>
          <t>Empowered birth doula: placenta deluxe encapsulation—pills + 4 prints</t>
        </is>
      </c>
      <c r="I683" s="9" t="n">
        <v>96</v>
      </c>
      <c r="J683" s="9" t="inlineStr">
        <is>
          <t>cnt</t>
        </is>
      </c>
      <c r="K683" s="9" t="n">
        <v>225</v>
      </c>
    </row>
    <row r="684" ht="15" customFormat="1" customHeight="1" s="5">
      <c r="A684" s="81" t="n">
        <v>45964</v>
      </c>
      <c r="B684" s="82" t="n">
        <v>0.2916666666666667</v>
      </c>
      <c r="C684" s="5" t="inlineStr">
        <is>
          <t>Lakeview Mortgage (??)</t>
        </is>
      </c>
      <c r="D684" s="5" t="n">
        <v>1</v>
      </c>
      <c r="F684" s="6" t="inlineStr">
        <is>
          <t>0068721927_08</t>
        </is>
      </c>
      <c r="G684" s="10" t="n"/>
      <c r="H684" s="9" t="inlineStr">
        <is>
          <t>Interest</t>
        </is>
      </c>
      <c r="I684" s="9" t="n"/>
      <c r="J684" s="9" t="n"/>
      <c r="K684" s="9" t="n">
        <v>1145.98</v>
      </c>
    </row>
    <row r="685" ht="15" customFormat="1" customHeight="1" s="5">
      <c r="A685" s="81" t="n">
        <v>45964</v>
      </c>
      <c r="B685" s="82" t="n">
        <v>0.2916666666666667</v>
      </c>
      <c r="C685" s="5" t="inlineStr">
        <is>
          <t>Lakeview Mortgage (??)</t>
        </is>
      </c>
      <c r="D685" s="5" t="n">
        <v>1</v>
      </c>
      <c r="F685" s="6" t="inlineStr">
        <is>
          <t>0068721927_08</t>
        </is>
      </c>
      <c r="G685" s="10" t="n"/>
      <c r="H685" s="9" t="inlineStr">
        <is>
          <t>Principal</t>
        </is>
      </c>
      <c r="I685" s="9" t="n"/>
      <c r="J685" s="9" t="n"/>
      <c r="K685" s="9" t="n">
        <v>268.5</v>
      </c>
    </row>
    <row r="686" ht="15" customFormat="1" customHeight="1" s="5">
      <c r="A686" s="81" t="n">
        <v>45964</v>
      </c>
      <c r="B686" s="82" t="n">
        <v>0.2916666666666667</v>
      </c>
      <c r="C686" s="5" t="inlineStr">
        <is>
          <t>Lakeview Mortgage (??)</t>
        </is>
      </c>
      <c r="D686" s="5" t="n">
        <v>1</v>
      </c>
      <c r="F686" s="6" t="inlineStr">
        <is>
          <t>0068721927_08</t>
        </is>
      </c>
      <c r="G686" s="10" t="n"/>
      <c r="H686" s="9" t="inlineStr">
        <is>
          <t>Taxes and Insurance ESCROW</t>
        </is>
      </c>
      <c r="I686" s="9" t="n"/>
      <c r="J686" s="9" t="n"/>
      <c r="K686" s="9" t="n">
        <v>219.78</v>
      </c>
    </row>
    <row r="687" ht="15" customFormat="1" customHeight="1" s="5">
      <c r="A687" s="81" t="n">
        <v>45963</v>
      </c>
      <c r="B687" s="78" t="n">
        <v>0.7291666666666666</v>
      </c>
      <c r="C687" s="5" t="inlineStr">
        <is>
          <t>NOMI Thai Aurora CO</t>
        </is>
      </c>
      <c r="D687" s="5" t="n">
        <v>1</v>
      </c>
      <c r="F687" s="6" t="inlineStr">
        <is>
          <t>DoorDash_06</t>
        </is>
      </c>
      <c r="G687" s="15" t="n"/>
      <c r="H687" s="9" t="inlineStr">
        <is>
          <t>Green Curry, Chicken, Mild</t>
        </is>
      </c>
      <c r="I687" s="9" t="n">
        <v>1</v>
      </c>
      <c r="J687" s="9" t="inlineStr">
        <is>
          <t>cnt</t>
        </is>
      </c>
      <c r="K687" s="9" t="n">
        <v>21.49</v>
      </c>
    </row>
    <row r="688" ht="15" customFormat="1" customHeight="1" s="5">
      <c r="A688" s="81" t="n">
        <v>45963</v>
      </c>
      <c r="B688" s="78" t="n">
        <v>0.7291666666666666</v>
      </c>
      <c r="C688" s="5" t="inlineStr">
        <is>
          <t>NOMI Thai Aurora CO</t>
        </is>
      </c>
      <c r="D688" s="5" t="n">
        <v>1</v>
      </c>
      <c r="F688" s="6" t="inlineStr">
        <is>
          <t>DoorDash_06</t>
        </is>
      </c>
      <c r="G688" s="15" t="n"/>
      <c r="H688" s="9" t="inlineStr">
        <is>
          <t>Pad Thai, Pork, 3.5/5</t>
        </is>
      </c>
      <c r="I688" s="9" t="n">
        <v>1</v>
      </c>
      <c r="J688" s="9" t="inlineStr">
        <is>
          <t>cnt</t>
        </is>
      </c>
      <c r="K688" s="9" t="n">
        <v>21.49</v>
      </c>
    </row>
    <row r="689" ht="15" customFormat="1" customHeight="1" s="5">
      <c r="A689" s="81" t="n">
        <v>45963</v>
      </c>
      <c r="B689" s="78" t="n">
        <v>0.7291666666666666</v>
      </c>
      <c r="C689" s="5" t="inlineStr">
        <is>
          <t>NOMI Thai Aurora CO</t>
        </is>
      </c>
      <c r="D689" s="5" t="n">
        <v>1</v>
      </c>
      <c r="F689" s="6" t="inlineStr">
        <is>
          <t>DoorDash_06</t>
        </is>
      </c>
      <c r="G689" s="15" t="n"/>
      <c r="H689" s="9" t="inlineStr">
        <is>
          <t>Golden Tofu</t>
        </is>
      </c>
      <c r="I689" s="9" t="n">
        <v>1</v>
      </c>
      <c r="J689" s="9" t="inlineStr">
        <is>
          <t>cnt</t>
        </is>
      </c>
      <c r="K689" s="9" t="n">
        <v>11.99</v>
      </c>
    </row>
    <row r="690" ht="15" customFormat="1" customHeight="1" s="5">
      <c r="A690" s="81" t="n">
        <v>45963</v>
      </c>
      <c r="B690" s="78" t="n">
        <v>0.7291666666666666</v>
      </c>
      <c r="C690" s="5" t="inlineStr">
        <is>
          <t>NOMI Thai Aurora CO</t>
        </is>
      </c>
      <c r="D690" s="5" t="n">
        <v>1</v>
      </c>
      <c r="F690" s="6" t="inlineStr">
        <is>
          <t>DoorDash_06</t>
        </is>
      </c>
      <c r="G690" s="15" t="n"/>
      <c r="H690" s="9" t="inlineStr">
        <is>
          <t>Co retail delivery fees</t>
        </is>
      </c>
      <c r="I690" s="9" t="n">
        <v>3</v>
      </c>
      <c r="J690" s="9" t="inlineStr">
        <is>
          <t>cnt</t>
        </is>
      </c>
      <c r="K690" s="9" t="n">
        <v>0.28</v>
      </c>
    </row>
    <row r="691" ht="15" customFormat="1" customHeight="1" s="5">
      <c r="A691" s="81" t="n">
        <v>45963</v>
      </c>
      <c r="B691" s="78" t="n">
        <v>0.7291666666666666</v>
      </c>
      <c r="C691" s="5" t="inlineStr">
        <is>
          <t>NOMI Thai Aurora CO</t>
        </is>
      </c>
      <c r="D691" s="5" t="n">
        <v>1</v>
      </c>
      <c r="F691" s="6" t="inlineStr">
        <is>
          <t>DoorDash_06</t>
        </is>
      </c>
      <c r="G691" s="15" t="n"/>
      <c r="H691" s="9" t="inlineStr">
        <is>
          <t>Service Fee Doordash</t>
        </is>
      </c>
      <c r="I691" s="9" t="n">
        <v>3</v>
      </c>
      <c r="J691" s="9" t="inlineStr">
        <is>
          <t>cnt</t>
        </is>
      </c>
      <c r="K691" s="9" t="n">
        <v>2.75</v>
      </c>
    </row>
    <row r="692" ht="15" customFormat="1" customHeight="1" s="5">
      <c r="A692" s="81" t="n">
        <v>45963</v>
      </c>
      <c r="B692" s="78" t="n">
        <v>0.7291666666666666</v>
      </c>
      <c r="C692" s="5" t="inlineStr">
        <is>
          <t>NOMI Thai Aurora CO</t>
        </is>
      </c>
      <c r="D692" s="5" t="n">
        <v>1</v>
      </c>
      <c r="F692" s="6" t="inlineStr">
        <is>
          <t>DoorDash_06</t>
        </is>
      </c>
      <c r="G692" s="15" t="n"/>
      <c r="H692" s="9" t="inlineStr">
        <is>
          <t>Tax</t>
        </is>
      </c>
      <c r="I692" s="9" t="n">
        <v>3</v>
      </c>
      <c r="J692" s="9" t="inlineStr">
        <is>
          <t>cnt</t>
        </is>
      </c>
      <c r="K692" s="9" t="n">
        <v>2.45</v>
      </c>
    </row>
    <row r="693" ht="15" customFormat="1" customHeight="1" s="5">
      <c r="A693" s="81" t="n">
        <v>45963</v>
      </c>
      <c r="B693" s="78" t="n">
        <v>0.7291666666666666</v>
      </c>
      <c r="C693" s="5" t="inlineStr">
        <is>
          <t>NOMI Thai Aurora CO</t>
        </is>
      </c>
      <c r="D693" s="5" t="n">
        <v>1</v>
      </c>
      <c r="F693" s="6" t="inlineStr">
        <is>
          <t>DoorDash_06</t>
        </is>
      </c>
      <c r="G693" s="15" t="n"/>
      <c r="H693" s="9" t="inlineStr">
        <is>
          <t>Dasher Tip</t>
        </is>
      </c>
      <c r="I693" s="9" t="n">
        <v>1</v>
      </c>
      <c r="J693" s="9" t="inlineStr">
        <is>
          <t>cnt</t>
        </is>
      </c>
      <c r="K693" s="9" t="n">
        <v>1.5</v>
      </c>
    </row>
    <row r="694" ht="15" customFormat="1" customHeight="1" s="5">
      <c r="A694" s="81" t="n">
        <v>45963</v>
      </c>
      <c r="B694" s="78" t="n">
        <v>0.7291666666666666</v>
      </c>
      <c r="C694" s="5" t="inlineStr">
        <is>
          <t>NOMI Thai Aurora CO</t>
        </is>
      </c>
      <c r="D694" s="5" t="n">
        <v>1</v>
      </c>
      <c r="F694" s="6" t="inlineStr">
        <is>
          <t>DoorDash_06</t>
        </is>
      </c>
      <c r="G694" s="15" t="n"/>
      <c r="H694" s="9" t="inlineStr">
        <is>
          <t>DoorDash Gift Card (Jane $100, Jenny $100, Elise $50, Dana $50, Brenna $50)</t>
        </is>
      </c>
      <c r="I694" s="9" t="n">
        <v>1</v>
      </c>
      <c r="J694" s="9" t="inlineStr">
        <is>
          <t>cnt</t>
        </is>
      </c>
      <c r="K694" s="9" t="n">
        <v>-61.95</v>
      </c>
    </row>
    <row r="695" ht="15" customFormat="1" customHeight="1" s="5">
      <c r="A695" s="81" t="n">
        <v>45962</v>
      </c>
      <c r="B695" s="82" t="n">
        <v>0.7180555555555556</v>
      </c>
      <c r="C695" s="5" t="inlineStr">
        <is>
          <t>Mt. Fuji Hibachi and Sushi</t>
        </is>
      </c>
      <c r="D695" s="5" t="n">
        <v>1</v>
      </c>
      <c r="F695" s="6" t="inlineStr">
        <is>
          <t>DoorDash_04</t>
        </is>
      </c>
      <c r="G695" s="10" t="n"/>
      <c r="H695" s="9" t="inlineStr">
        <is>
          <t>Salmon Lover Roll</t>
        </is>
      </c>
      <c r="I695" s="9" t="n">
        <v>1</v>
      </c>
      <c r="J695" s="9" t="inlineStr">
        <is>
          <t>cnt</t>
        </is>
      </c>
      <c r="K695" s="9" t="n">
        <v>22.75</v>
      </c>
    </row>
    <row r="696" ht="15" customFormat="1" customHeight="1" s="5">
      <c r="A696" s="81" t="n">
        <v>45962</v>
      </c>
      <c r="B696" s="82" t="n">
        <v>0.7180555555555556</v>
      </c>
      <c r="C696" s="5" t="inlineStr">
        <is>
          <t>Mt. Fuji Hibachi and Sushi</t>
        </is>
      </c>
      <c r="D696" s="5" t="n">
        <v>1</v>
      </c>
      <c r="F696" s="6" t="inlineStr">
        <is>
          <t>DoorDash_04</t>
        </is>
      </c>
      <c r="G696" s="10" t="n"/>
      <c r="H696" s="9" t="inlineStr">
        <is>
          <t>Alaska Roll</t>
        </is>
      </c>
      <c r="I696" s="9" t="n">
        <v>1</v>
      </c>
      <c r="J696" s="9" t="inlineStr">
        <is>
          <t>cnt</t>
        </is>
      </c>
      <c r="K696" s="9" t="n">
        <v>7.5</v>
      </c>
    </row>
    <row r="697" ht="15" customFormat="1" customHeight="1" s="5">
      <c r="A697" s="81" t="n">
        <v>45962</v>
      </c>
      <c r="B697" s="82" t="n">
        <v>0.7180555555555556</v>
      </c>
      <c r="C697" s="5" t="inlineStr">
        <is>
          <t>Mt. Fuji Hibachi and Sushi</t>
        </is>
      </c>
      <c r="D697" s="5" t="n">
        <v>1</v>
      </c>
      <c r="F697" s="6" t="inlineStr">
        <is>
          <t>DoorDash_04</t>
        </is>
      </c>
      <c r="G697" s="10" t="inlineStr">
        <is>
          <t>S06</t>
        </is>
      </c>
      <c r="H697" s="9" t="inlineStr">
        <is>
          <t>I Love Eel Roll</t>
        </is>
      </c>
      <c r="I697" s="9" t="n">
        <v>1</v>
      </c>
      <c r="J697" s="9" t="inlineStr">
        <is>
          <t>cnt</t>
        </is>
      </c>
      <c r="K697" s="9" t="n">
        <v>13.5</v>
      </c>
    </row>
    <row r="698" ht="15" customFormat="1" customHeight="1" s="5">
      <c r="A698" s="81" t="n">
        <v>45962</v>
      </c>
      <c r="B698" s="82" t="n">
        <v>0.7180555555555556</v>
      </c>
      <c r="C698" s="5" t="inlineStr">
        <is>
          <t>Mt. Fuji Hibachi and Sushi</t>
        </is>
      </c>
      <c r="D698" s="5" t="n">
        <v>1</v>
      </c>
      <c r="F698" s="6" t="inlineStr">
        <is>
          <t>DoorDash_04</t>
        </is>
      </c>
      <c r="G698" s="10" t="inlineStr">
        <is>
          <t>S01</t>
        </is>
      </c>
      <c r="H698" s="9" t="inlineStr">
        <is>
          <t>I Love Eel Roll</t>
        </is>
      </c>
      <c r="I698" s="9" t="n">
        <v>1</v>
      </c>
      <c r="J698" s="9" t="inlineStr">
        <is>
          <t>cnt</t>
        </is>
      </c>
      <c r="K698" s="9" t="n">
        <v>13.5</v>
      </c>
    </row>
    <row r="699" ht="15" customFormat="1" customHeight="1" s="5">
      <c r="A699" s="81" t="n">
        <v>45962</v>
      </c>
      <c r="B699" s="82" t="n">
        <v>0.7180555555555556</v>
      </c>
      <c r="C699" s="5" t="inlineStr">
        <is>
          <t>Mt. Fuji Hibachi and Sushi</t>
        </is>
      </c>
      <c r="D699" s="5" t="n">
        <v>1</v>
      </c>
      <c r="F699" s="6" t="inlineStr">
        <is>
          <t>DoorDash_04</t>
        </is>
      </c>
      <c r="G699" s="10" t="n"/>
      <c r="H699" s="9" t="inlineStr">
        <is>
          <t>Co retail delivery fees</t>
        </is>
      </c>
      <c r="I699" s="9" t="n">
        <v>1</v>
      </c>
      <c r="J699" s="9" t="inlineStr">
        <is>
          <t>cnt</t>
        </is>
      </c>
      <c r="K699" s="9" t="n">
        <v>0.28</v>
      </c>
    </row>
    <row r="700" ht="15" customFormat="1" customHeight="1" s="5">
      <c r="A700" s="81" t="n">
        <v>45962</v>
      </c>
      <c r="B700" s="82" t="n">
        <v>0.7180555555555556</v>
      </c>
      <c r="C700" s="5" t="inlineStr">
        <is>
          <t>Mt. Fuji Hibachi and Sushi</t>
        </is>
      </c>
      <c r="D700" s="5" t="n">
        <v>1</v>
      </c>
      <c r="F700" s="6" t="inlineStr">
        <is>
          <t>DoorDash_04</t>
        </is>
      </c>
      <c r="G700" s="10" t="n"/>
      <c r="H700" s="9" t="inlineStr">
        <is>
          <t>Service Fee Doordash</t>
        </is>
      </c>
      <c r="I700" s="9" t="n">
        <v>1</v>
      </c>
      <c r="J700" s="9" t="inlineStr">
        <is>
          <t>cnt</t>
        </is>
      </c>
      <c r="K700" s="9" t="n">
        <v>2.86</v>
      </c>
    </row>
    <row r="701" ht="15" customFormat="1" customHeight="1" s="5">
      <c r="A701" s="81" t="n">
        <v>45962</v>
      </c>
      <c r="B701" s="82" t="n">
        <v>0.7180555555555556</v>
      </c>
      <c r="C701" s="5" t="inlineStr">
        <is>
          <t>Mt. Fuji Hibachi and Sushi</t>
        </is>
      </c>
      <c r="D701" s="5" t="n">
        <v>1</v>
      </c>
      <c r="F701" s="6" t="inlineStr">
        <is>
          <t>DoorDash_04</t>
        </is>
      </c>
      <c r="G701" s="10" t="n"/>
      <c r="H701" s="9" t="inlineStr">
        <is>
          <t>Tax</t>
        </is>
      </c>
      <c r="I701" s="9" t="n">
        <v>4</v>
      </c>
      <c r="J701" s="9" t="inlineStr">
        <is>
          <t>cnt</t>
        </is>
      </c>
      <c r="K701" s="9" t="n">
        <v>4.17</v>
      </c>
    </row>
    <row r="702" ht="15" customFormat="1" customHeight="1" s="5">
      <c r="A702" s="81" t="n">
        <v>45962</v>
      </c>
      <c r="B702" s="82" t="n">
        <v>0.7180555555555556</v>
      </c>
      <c r="C702" s="5" t="inlineStr">
        <is>
          <t>Mt. Fuji Hibachi and Sushi</t>
        </is>
      </c>
      <c r="D702" s="5" t="n">
        <v>1</v>
      </c>
      <c r="F702" s="6" t="inlineStr">
        <is>
          <t>DoorDash_04</t>
        </is>
      </c>
      <c r="G702" s="10" t="n"/>
      <c r="H702" s="9" t="inlineStr">
        <is>
          <t>**DISCOUNT** Doordash</t>
        </is>
      </c>
      <c r="I702" s="9" t="n">
        <v>1</v>
      </c>
      <c r="J702" s="9" t="inlineStr">
        <is>
          <t>cnt</t>
        </is>
      </c>
      <c r="K702" s="9" t="n">
        <v>-8</v>
      </c>
    </row>
    <row r="703" ht="15" customFormat="1" customHeight="1" s="5">
      <c r="A703" s="81" t="n">
        <v>45962</v>
      </c>
      <c r="B703" s="82" t="n">
        <v>0.7180555555555556</v>
      </c>
      <c r="C703" s="5" t="inlineStr">
        <is>
          <t>Mt. Fuji Hibachi and Sushi</t>
        </is>
      </c>
      <c r="D703" s="5" t="n">
        <v>1</v>
      </c>
      <c r="F703" s="6" t="inlineStr">
        <is>
          <t>DoorDash_04</t>
        </is>
      </c>
      <c r="G703" s="10" t="n"/>
      <c r="H703" s="9" t="inlineStr">
        <is>
          <t>Dasher Tip</t>
        </is>
      </c>
      <c r="I703" s="9" t="n">
        <v>1</v>
      </c>
      <c r="J703" s="9" t="inlineStr">
        <is>
          <t>cnt</t>
        </is>
      </c>
      <c r="K703" s="9" t="n">
        <v>1.5</v>
      </c>
    </row>
    <row r="704" ht="15" customFormat="1" customHeight="1" s="5">
      <c r="A704" s="81" t="n">
        <v>45962</v>
      </c>
      <c r="B704" s="82" t="n">
        <v>0.7180555555555556</v>
      </c>
      <c r="C704" s="5" t="inlineStr">
        <is>
          <t>Mt. Fuji Hibachi and Sushi</t>
        </is>
      </c>
      <c r="D704" s="5" t="n">
        <v>1</v>
      </c>
      <c r="F704" s="6" t="inlineStr">
        <is>
          <t>DoorDash_04</t>
        </is>
      </c>
      <c r="G704" s="10" t="n"/>
      <c r="H704" s="9" t="inlineStr">
        <is>
          <t>DoorDash Gift Card (Jane $100, Jenny $100, Elise $50, Dana $50, Brenna $50)</t>
        </is>
      </c>
      <c r="I704" s="9" t="n">
        <v>1</v>
      </c>
      <c r="J704" s="9" t="inlineStr">
        <is>
          <t>cnt</t>
        </is>
      </c>
      <c r="K704" s="9" t="n">
        <v>-58.06</v>
      </c>
    </row>
    <row r="705" ht="15" customFormat="1" customHeight="1" s="5">
      <c r="A705" s="81" t="n">
        <v>45962</v>
      </c>
      <c r="B705" s="82" t="n">
        <v>0.7180555555555556</v>
      </c>
      <c r="C705" s="5" t="inlineStr">
        <is>
          <t>Mt. Fuji Hibachi and Sushi</t>
        </is>
      </c>
      <c r="D705" s="5" t="n">
        <v>1</v>
      </c>
      <c r="F705" s="6" t="inlineStr">
        <is>
          <t>DoorDash_05</t>
        </is>
      </c>
      <c r="G705" s="10" t="n"/>
      <c r="H705" s="9" t="inlineStr">
        <is>
          <t>Alaska Roll (For sheva)</t>
        </is>
      </c>
      <c r="I705" s="9" t="n">
        <v>1</v>
      </c>
      <c r="J705" s="9" t="inlineStr">
        <is>
          <t>cnt</t>
        </is>
      </c>
      <c r="K705" s="9" t="n">
        <v>7.5</v>
      </c>
    </row>
    <row r="706" ht="15" customFormat="1" customHeight="1" s="5">
      <c r="A706" s="81" t="n">
        <v>45962</v>
      </c>
      <c r="B706" s="82" t="n">
        <v>0.7180555555555556</v>
      </c>
      <c r="C706" s="5" t="inlineStr">
        <is>
          <t>Mt. Fuji Hibachi and Sushi</t>
        </is>
      </c>
      <c r="D706" s="5" t="n">
        <v>1</v>
      </c>
      <c r="F706" s="6" t="inlineStr">
        <is>
          <t>DoorDash_05</t>
        </is>
      </c>
      <c r="G706" s="10" t="n"/>
      <c r="H706" s="9" t="inlineStr">
        <is>
          <t>Co retail delivery fees</t>
        </is>
      </c>
      <c r="I706" s="9" t="n">
        <v>1</v>
      </c>
      <c r="J706" s="9" t="inlineStr">
        <is>
          <t>cnt</t>
        </is>
      </c>
      <c r="K706" s="9" t="n">
        <v>0.28</v>
      </c>
    </row>
    <row r="707" ht="15" customFormat="1" customHeight="1" s="5">
      <c r="A707" s="81" t="n">
        <v>45962</v>
      </c>
      <c r="B707" s="82" t="n">
        <v>0.7180555555555556</v>
      </c>
      <c r="C707" s="5" t="inlineStr">
        <is>
          <t>Mt. Fuji Hibachi and Sushi</t>
        </is>
      </c>
      <c r="D707" s="5" t="n">
        <v>1</v>
      </c>
      <c r="F707" s="6" t="inlineStr">
        <is>
          <t>DoorDash_05</t>
        </is>
      </c>
      <c r="G707" s="10" t="n"/>
      <c r="H707" s="9" t="inlineStr">
        <is>
          <t>Service Fee Doordash</t>
        </is>
      </c>
      <c r="I707" s="9" t="n">
        <v>1</v>
      </c>
      <c r="J707" s="9" t="inlineStr">
        <is>
          <t>cnt</t>
        </is>
      </c>
      <c r="K707" s="9" t="n">
        <v>1.19</v>
      </c>
    </row>
    <row r="708" ht="15" customFormat="1" customHeight="1" s="5">
      <c r="A708" s="83" t="n">
        <v>45962</v>
      </c>
      <c r="B708" s="82" t="n">
        <v>0.7180555555555556</v>
      </c>
      <c r="C708" s="5" t="inlineStr">
        <is>
          <t>Mt. Fuji Hibachi and Sushi</t>
        </is>
      </c>
      <c r="D708" s="5" t="n">
        <v>1</v>
      </c>
      <c r="F708" s="6" t="inlineStr">
        <is>
          <t>DoorDash_05</t>
        </is>
      </c>
      <c r="G708" s="10" t="n"/>
      <c r="H708" s="9" t="inlineStr">
        <is>
          <t>Tax</t>
        </is>
      </c>
      <c r="I708" s="9" t="n">
        <v>1</v>
      </c>
      <c r="J708" s="9" t="inlineStr">
        <is>
          <t>cnt</t>
        </is>
      </c>
      <c r="K708" s="9" t="n">
        <v>0.7</v>
      </c>
    </row>
    <row r="709" ht="15" customFormat="1" customHeight="1" s="5">
      <c r="A709" s="83" t="n">
        <v>45962</v>
      </c>
      <c r="B709" s="82" t="n">
        <v>0.7180555555555556</v>
      </c>
      <c r="C709" s="5" t="inlineStr">
        <is>
          <t>Mt. Fuji Hibachi and Sushi</t>
        </is>
      </c>
      <c r="D709" s="5" t="n">
        <v>1</v>
      </c>
      <c r="F709" s="6" t="inlineStr">
        <is>
          <t>DoorDash_05</t>
        </is>
      </c>
      <c r="G709" s="10" t="n"/>
      <c r="H709" s="9" t="inlineStr">
        <is>
          <t>Dasher Tip</t>
        </is>
      </c>
      <c r="I709" s="9" t="n">
        <v>1</v>
      </c>
      <c r="J709" s="9" t="inlineStr">
        <is>
          <t>cnt</t>
        </is>
      </c>
      <c r="K709" s="9" t="n">
        <v>0</v>
      </c>
    </row>
    <row r="710" ht="15" customFormat="1" customHeight="1" s="5">
      <c r="A710" s="83" t="n">
        <v>45962</v>
      </c>
      <c r="B710" s="82" t="n">
        <v>0.7180555555555556</v>
      </c>
      <c r="C710" s="5" t="inlineStr">
        <is>
          <t>Mt. Fuji Hibachi and Sushi</t>
        </is>
      </c>
      <c r="D710" s="5" t="n">
        <v>1</v>
      </c>
      <c r="F710" s="6" t="inlineStr">
        <is>
          <t>DoorDash_05</t>
        </is>
      </c>
      <c r="G710" s="10" t="n"/>
      <c r="H710" s="9" t="inlineStr">
        <is>
          <t>DoorDash Gift Card (Jane $100, Jenny $100, Elise $50, Dana $50, Brenna $50)</t>
        </is>
      </c>
      <c r="I710" s="9" t="n">
        <v>1</v>
      </c>
      <c r="J710" s="9" t="inlineStr">
        <is>
          <t>cnt</t>
        </is>
      </c>
      <c r="K710" s="9" t="n">
        <v>-9.67</v>
      </c>
    </row>
    <row r="711" ht="15" customFormat="1" customHeight="1" s="5">
      <c r="A711" s="81" t="n">
        <v>45962</v>
      </c>
      <c r="B711" s="82" t="n">
        <v>0.4819444444444445</v>
      </c>
      <c r="C711" s="5" t="inlineStr">
        <is>
          <t>House Denver</t>
        </is>
      </c>
      <c r="D711" s="5" t="n">
        <v>1</v>
      </c>
      <c r="F711" s="6" t="n">
        <v>53852722946</v>
      </c>
      <c r="G711" s="10" t="n"/>
      <c r="H711" s="9" t="inlineStr">
        <is>
          <t>Monthly overflow chunk of 2025 tithe bunched into 2024. This transaction was actually made on 12/31/25, but it is logged against 2025 budget.</t>
        </is>
      </c>
      <c r="I711" s="9" t="n"/>
      <c r="J711" s="9" t="n"/>
      <c r="K711" s="9">
        <f>(9500-8750.43)/12</f>
        <v/>
      </c>
    </row>
    <row r="712" ht="15" customFormat="1" customHeight="1" s="5">
      <c r="A712" s="81" t="n">
        <v>45962</v>
      </c>
      <c r="B712" s="82" t="n">
        <v>0.4819444444444445</v>
      </c>
      <c r="C712" s="5" t="inlineStr">
        <is>
          <t>House Denver</t>
        </is>
      </c>
      <c r="D712" s="5" t="n">
        <v>1</v>
      </c>
      <c r="F712" s="6" t="n">
        <v>53852722946</v>
      </c>
      <c r="G712" s="10" t="n"/>
      <c r="H712" s="9" t="inlineStr">
        <is>
          <t>Monthly chunk of 2025 tithe bunched into 2024. This transaction was actually made on 12/31/25, but it is logged against 2025 budget.</t>
        </is>
      </c>
      <c r="I712" s="9" t="n"/>
      <c r="J712" s="9" t="n"/>
      <c r="K712" s="9" t="n">
        <v>658.7071247441078</v>
      </c>
    </row>
    <row r="713" ht="15" customFormat="1" customHeight="1" s="5">
      <c r="A713" s="81" t="n">
        <v>45962</v>
      </c>
      <c r="B713" s="78" t="n">
        <v>0.4368055555555556</v>
      </c>
      <c r="C713" s="5" t="inlineStr">
        <is>
          <t>Safeway</t>
        </is>
      </c>
      <c r="E713" s="5" t="n">
        <v>1</v>
      </c>
      <c r="F713" s="6" t="inlineStr">
        <is>
          <t>2612 54 56 8854</t>
        </is>
      </c>
      <c r="G713" s="15" t="inlineStr">
        <is>
          <t>9843296070</t>
        </is>
      </c>
      <c r="H713" s="9" t="inlineStr">
        <is>
          <t>Bromeliad 4 in succulant (Sheva picked it) Bromeliad W/clay Pot</t>
        </is>
      </c>
      <c r="I713" s="9" t="n">
        <v>1</v>
      </c>
      <c r="J713" s="9" t="inlineStr">
        <is>
          <t>cnt</t>
        </is>
      </c>
      <c r="K713" s="9" t="n">
        <v>14.99</v>
      </c>
    </row>
    <row r="714" ht="15" customFormat="1" customHeight="1" s="5">
      <c r="A714" s="81" t="n">
        <v>45962</v>
      </c>
      <c r="B714" s="78" t="n">
        <v>0.4368055555555556</v>
      </c>
      <c r="C714" s="5" t="inlineStr">
        <is>
          <t>Safeway</t>
        </is>
      </c>
      <c r="E714" s="5" t="n">
        <v>1</v>
      </c>
      <c r="F714" s="6" t="inlineStr">
        <is>
          <t>2612 54 56 8854</t>
        </is>
      </c>
      <c r="G714" s="15" t="n"/>
      <c r="H714" s="9" t="inlineStr">
        <is>
          <t>Tax</t>
        </is>
      </c>
      <c r="I714" s="9" t="n">
        <v>1</v>
      </c>
      <c r="J714" s="9" t="inlineStr">
        <is>
          <t>cnt</t>
        </is>
      </c>
      <c r="K714" s="9" t="n">
        <v>1.2</v>
      </c>
    </row>
    <row r="715" ht="15" customFormat="1" customHeight="1" s="5">
      <c r="A715" s="81" t="n">
        <v>45961</v>
      </c>
      <c r="B715" s="82" t="n">
        <v>0.7041666666666667</v>
      </c>
      <c r="C715" s="5" t="inlineStr">
        <is>
          <t>Tyndall Green</t>
        </is>
      </c>
      <c r="D715" s="5" t="n">
        <v>1</v>
      </c>
      <c r="F715" s="6" t="inlineStr">
        <is>
          <t>402204858</t>
        </is>
      </c>
      <c r="G715" s="15" t="n"/>
      <c r="H715" s="9" t="inlineStr">
        <is>
          <t>HOA Tyndall Green October Payment</t>
        </is>
      </c>
      <c r="I715" s="9" t="n"/>
      <c r="J715" s="9" t="n"/>
      <c r="K715" s="9" t="n">
        <v>331.12</v>
      </c>
    </row>
    <row r="716" ht="15" customFormat="1" customHeight="1" s="5">
      <c r="A716" s="81" t="n">
        <v>45961</v>
      </c>
      <c r="B716" s="78" t="n">
        <v>0.5076388888888889</v>
      </c>
      <c r="C716" s="5" t="inlineStr">
        <is>
          <t>Accelerate Health</t>
        </is>
      </c>
      <c r="D716" s="5" t="n">
        <v>1</v>
      </c>
      <c r="F716" s="6" t="inlineStr">
        <is>
          <t>1031181139</t>
        </is>
      </c>
      <c r="G716" s="15" t="inlineStr">
        <is>
          <t>2025283BH3030</t>
        </is>
      </c>
      <c r="H716" s="9" t="inlineStr">
        <is>
          <t>10/7 Lydia Chiro 20 minute follow up Dr. Kelly -- was more like 15 bc Dr. Kelly was late</t>
        </is>
      </c>
      <c r="K716" s="5" t="n">
        <v>112.12</v>
      </c>
    </row>
    <row r="717" ht="15" customFormat="1" customHeight="1" s="5">
      <c r="A717" s="81" t="n">
        <v>45961</v>
      </c>
      <c r="B717" s="78" t="n">
        <v>0.5076388888888889</v>
      </c>
      <c r="C717" s="5" t="inlineStr">
        <is>
          <t>Accelerate Health</t>
        </is>
      </c>
      <c r="D717" s="5" t="n">
        <v>1</v>
      </c>
      <c r="F717" s="6" t="inlineStr">
        <is>
          <t>1031181139</t>
        </is>
      </c>
      <c r="G717" s="15" t="inlineStr">
        <is>
          <t>2025287BL6288</t>
        </is>
      </c>
      <c r="H717" s="9" t="inlineStr">
        <is>
          <t>10/13 Lydia Chiro 20 minute follow up Dr. Kelly</t>
        </is>
      </c>
      <c r="K717" s="5" t="n">
        <v>103.88</v>
      </c>
    </row>
    <row r="718" ht="15" customFormat="1" customHeight="1" s="5">
      <c r="A718" s="81" t="n">
        <v>45961</v>
      </c>
      <c r="B718" s="78" t="n">
        <v>0.5076388888888889</v>
      </c>
      <c r="C718" s="5" t="inlineStr">
        <is>
          <t>Accelerate Health</t>
        </is>
      </c>
      <c r="D718" s="5" t="n">
        <v>1</v>
      </c>
      <c r="F718" s="6" t="inlineStr">
        <is>
          <t>1031181139</t>
        </is>
      </c>
      <c r="G718" s="15" t="inlineStr">
        <is>
          <t>2025287BL6288</t>
        </is>
      </c>
      <c r="H718" s="9" t="inlineStr">
        <is>
          <t>10/13 Lydia spot massage 20 minutes, Michelle</t>
        </is>
      </c>
      <c r="K718" s="5" t="n">
        <v>31.86</v>
      </c>
    </row>
    <row r="719" ht="15" customFormat="1" customHeight="1" s="5">
      <c r="A719" s="81" t="n">
        <v>45961</v>
      </c>
      <c r="B719" s="78" t="n">
        <v>0.5076388888888889</v>
      </c>
      <c r="C719" s="5" t="inlineStr">
        <is>
          <t>Accelerate Health</t>
        </is>
      </c>
      <c r="D719" s="5" t="n">
        <v>1</v>
      </c>
      <c r="F719" s="6" t="inlineStr">
        <is>
          <t>1031181139</t>
        </is>
      </c>
      <c r="G719" s="15" t="inlineStr">
        <is>
          <t>2025295BE2778</t>
        </is>
      </c>
      <c r="H719" s="9" t="inlineStr">
        <is>
          <t>10/17 Lydia spot massage 20 minutes, Michelle</t>
        </is>
      </c>
      <c r="K719" s="9" t="n">
        <v>17.34</v>
      </c>
    </row>
    <row r="720" ht="15" customFormat="1" customHeight="1" s="5">
      <c r="A720" s="81" t="n">
        <v>45961</v>
      </c>
      <c r="B720" s="78" t="n">
        <v>0.5076388888888889</v>
      </c>
      <c r="C720" s="5" t="inlineStr">
        <is>
          <t>Accelerate Health</t>
        </is>
      </c>
      <c r="D720" s="5" t="n">
        <v>1</v>
      </c>
      <c r="F720" s="6" t="inlineStr">
        <is>
          <t>1031181139</t>
        </is>
      </c>
      <c r="G720" s="15" t="inlineStr">
        <is>
          <t>2025295BE2778</t>
        </is>
      </c>
      <c r="H720" s="9" t="inlineStr">
        <is>
          <t>10/17 Lydia Chiro 20 minute follow up Dr. Matt</t>
        </is>
      </c>
      <c r="K720" s="9" t="n">
        <v>118.4</v>
      </c>
    </row>
    <row r="721" ht="15" customFormat="1" customHeight="1" s="5">
      <c r="A721" s="81" t="n">
        <v>45961</v>
      </c>
      <c r="B721" s="78" t="n">
        <v>0.5076388888888889</v>
      </c>
      <c r="C721" s="5" t="inlineStr">
        <is>
          <t>Accelerate Health</t>
        </is>
      </c>
      <c r="D721" s="5" t="n">
        <v>1</v>
      </c>
      <c r="F721" s="6" t="inlineStr">
        <is>
          <t>1031181139</t>
        </is>
      </c>
      <c r="G721" s="15" t="inlineStr">
        <is>
          <t>2025254BC9116</t>
        </is>
      </c>
      <c r="H721" s="9" t="inlineStr">
        <is>
          <t>9/8 Lydia Spot massage 20 minutes with a guy</t>
        </is>
      </c>
      <c r="K721" s="5" t="n">
        <v>31.86</v>
      </c>
    </row>
    <row r="722" ht="15" customFormat="1" customHeight="1" s="5">
      <c r="A722" s="81" t="n">
        <v>45961</v>
      </c>
      <c r="B722" s="78" t="n">
        <v>0.5076388888888889</v>
      </c>
      <c r="C722" s="5" t="inlineStr">
        <is>
          <t>Accelerate Health</t>
        </is>
      </c>
      <c r="D722" s="5" t="n">
        <v>1</v>
      </c>
      <c r="F722" s="54" t="inlineStr">
        <is>
          <t>Na_noReceipt</t>
        </is>
      </c>
      <c r="G722" s="15" t="inlineStr">
        <is>
          <t>2025283BH3030</t>
        </is>
      </c>
      <c r="H722" s="9" t="inlineStr">
        <is>
          <t>10/7 Insurance shows that I owe $135.74 total, but I only paid $112.12 (this was a short visit bc Kelly was late due to an appointment)</t>
        </is>
      </c>
      <c r="K722" s="5" t="n">
        <v>-31.86</v>
      </c>
    </row>
    <row r="723" ht="15" customFormat="1" customHeight="1" s="5">
      <c r="A723" s="81" t="n">
        <v>45961</v>
      </c>
      <c r="B723" s="78" t="n">
        <v>0.5076388888888889</v>
      </c>
      <c r="C723" s="5" t="inlineStr">
        <is>
          <t>Accelerate Health</t>
        </is>
      </c>
      <c r="D723" s="5" t="n">
        <v>1</v>
      </c>
      <c r="F723" s="54" t="inlineStr">
        <is>
          <t>Na_noReceipt</t>
        </is>
      </c>
      <c r="G723" s="15" t="inlineStr">
        <is>
          <t>2025283BH3030</t>
        </is>
      </c>
      <c r="H723" s="9" t="inlineStr">
        <is>
          <t>10/7 Insurance shows that I owe $135.74 total, but I only paid $112.12 (this was a short visit bc Kelly was late due to an appointment)</t>
        </is>
      </c>
      <c r="K723" s="5" t="n">
        <v>31.86</v>
      </c>
    </row>
    <row r="724" ht="15" customFormat="1" customHeight="1" s="5">
      <c r="A724" s="81" t="n">
        <v>45961</v>
      </c>
      <c r="B724" s="82" t="n">
        <v>0.2916666666666667</v>
      </c>
      <c r="C724" s="5" t="inlineStr">
        <is>
          <t>Amazon</t>
        </is>
      </c>
      <c r="D724" s="5" t="n">
        <v>1</v>
      </c>
      <c r="F724" s="6" t="inlineStr">
        <is>
          <t>D01-7884602-3891456</t>
        </is>
      </c>
      <c r="G724" s="10" t="n"/>
      <c r="H724" s="9" t="inlineStr">
        <is>
          <t>Amazon Prime* TBD Amzn.com/bill WA</t>
        </is>
      </c>
      <c r="I724" s="9" t="n">
        <v>1</v>
      </c>
      <c r="J724" s="9" t="inlineStr">
        <is>
          <t>cnt</t>
        </is>
      </c>
      <c r="K724" s="9" t="n">
        <v>7.49</v>
      </c>
    </row>
    <row r="725" customFormat="1" s="5">
      <c r="A725" s="81" t="n">
        <v>45961</v>
      </c>
      <c r="B725" s="82" t="n">
        <v>0.2916666666666667</v>
      </c>
      <c r="C725" s="5" t="inlineStr">
        <is>
          <t>Amazon</t>
        </is>
      </c>
      <c r="D725" s="5" t="n">
        <v>1</v>
      </c>
      <c r="F725" s="6" t="inlineStr">
        <is>
          <t>D01-7884602-3891456</t>
        </is>
      </c>
      <c r="G725" s="10" t="n"/>
      <c r="H725" s="9" t="inlineStr">
        <is>
          <t>Tax</t>
        </is>
      </c>
      <c r="I725" s="9" t="n">
        <v>1</v>
      </c>
      <c r="J725" s="9" t="inlineStr">
        <is>
          <t>cnt</t>
        </is>
      </c>
      <c r="K725" s="9" t="n">
        <v>0.6</v>
      </c>
    </row>
    <row r="726" ht="15" customFormat="1" customHeight="1" s="5">
      <c r="A726" s="81" t="n">
        <v>45961</v>
      </c>
      <c r="B726" s="82" t="n">
        <v>0.2916666666666667</v>
      </c>
      <c r="C726" s="5" t="inlineStr">
        <is>
          <t>Amazon</t>
        </is>
      </c>
      <c r="D726" s="5" t="n">
        <v>1</v>
      </c>
      <c r="F726" s="6" t="inlineStr">
        <is>
          <t>D01-7884602-3891456</t>
        </is>
      </c>
      <c r="G726" s="10" t="n"/>
      <c r="H726" s="9" t="inlineStr">
        <is>
          <t>**DISCOUNT** Rewards Points</t>
        </is>
      </c>
      <c r="I726" s="9" t="n">
        <v>1</v>
      </c>
      <c r="J726" s="9" t="inlineStr">
        <is>
          <t>cnt</t>
        </is>
      </c>
      <c r="K726" s="9" t="n">
        <v>-8.09</v>
      </c>
    </row>
    <row r="727" ht="15" customFormat="1" customHeight="1" s="5">
      <c r="A727" s="81" t="n">
        <v>45960</v>
      </c>
      <c r="B727" s="82" t="n">
        <v>0.9777777777777777</v>
      </c>
      <c r="C727" s="5" t="inlineStr">
        <is>
          <t>NFCU</t>
        </is>
      </c>
      <c r="D727" s="5" t="n">
        <v>1</v>
      </c>
      <c r="F727" s="6" t="inlineStr">
        <is>
          <t>00931184J5362214A</t>
        </is>
      </c>
      <c r="G727" s="15" t="n"/>
      <c r="H727" s="9" t="inlineStr">
        <is>
          <t>Eli Account Paypal Cash-back rewards</t>
        </is>
      </c>
      <c r="I727" s="9" t="n">
        <v>1</v>
      </c>
      <c r="J727" s="9" t="inlineStr">
        <is>
          <t>cnt</t>
        </is>
      </c>
      <c r="K727" s="9" t="n">
        <v>-23.91</v>
      </c>
    </row>
    <row r="728" ht="15" customFormat="1" customHeight="1" s="5">
      <c r="A728" s="81" t="n">
        <v>45960</v>
      </c>
      <c r="B728" s="82" t="n">
        <v>0.4270833333333333</v>
      </c>
      <c r="C728" s="5" t="inlineStr">
        <is>
          <t>Venmo</t>
        </is>
      </c>
      <c r="D728" s="5" t="n">
        <v>1</v>
      </c>
      <c r="F728" s="6" t="inlineStr">
        <is>
          <t>4454962402841375780</t>
        </is>
      </c>
      <c r="G728" s="15" t="n"/>
      <c r="H728" s="9" t="inlineStr">
        <is>
          <t>Sell all of our unlocks (5 total)</t>
        </is>
      </c>
      <c r="I728" s="9" t="n">
        <v>5</v>
      </c>
      <c r="J728" s="9" t="inlineStr">
        <is>
          <t>cnt</t>
        </is>
      </c>
      <c r="K728" s="9" t="n">
        <v>-45</v>
      </c>
    </row>
    <row r="729" ht="15" customFormat="1" customHeight="1" s="5">
      <c r="A729" s="81" t="n">
        <v>45960</v>
      </c>
      <c r="B729" s="82" t="n">
        <v>0.3708333333333333</v>
      </c>
      <c r="C729" s="5" t="inlineStr">
        <is>
          <t>Walmart</t>
        </is>
      </c>
      <c r="D729" s="5" t="n">
        <v>1</v>
      </c>
      <c r="F729" s="6" t="inlineStr">
        <is>
          <t># 2000138-06276058</t>
        </is>
      </c>
      <c r="G729" s="10" t="n"/>
      <c r="H729" s="9" t="inlineStr">
        <is>
          <t>Snickers Fun Size Chocolate Candy Bars - 10.59 oz Bag; Product Line: Snickers; Size: 10.59 oz; 46.4¢/oz</t>
        </is>
      </c>
      <c r="I729" s="9" t="n">
        <v>10.59</v>
      </c>
      <c r="J729" s="9" t="inlineStr">
        <is>
          <t>oz</t>
        </is>
      </c>
      <c r="K729" s="9" t="n">
        <v>4.92</v>
      </c>
    </row>
    <row r="730" ht="15" customFormat="1" customHeight="1" s="5">
      <c r="A730" s="81" t="n">
        <v>45960</v>
      </c>
      <c r="B730" s="82" t="n">
        <v>0.3708333333333333</v>
      </c>
      <c r="C730" s="5" t="inlineStr">
        <is>
          <t>Walmart</t>
        </is>
      </c>
      <c r="D730" s="5" t="n">
        <v>1</v>
      </c>
      <c r="F730" s="6" t="inlineStr">
        <is>
          <t># 2000138-06276058</t>
        </is>
      </c>
      <c r="G730" s="10" t="n"/>
      <c r="H730" s="9" t="inlineStr">
        <is>
          <t>Reese's Take 5 Pretzel, Peanut and Chocolate Snack Size Candy, Bag 10.5 oz; 52.2¢/oz</t>
        </is>
      </c>
      <c r="I730" s="9" t="n">
        <v>10.5</v>
      </c>
      <c r="J730" s="9" t="inlineStr">
        <is>
          <t>oz</t>
        </is>
      </c>
      <c r="K730" s="9" t="n">
        <v>5.48</v>
      </c>
    </row>
    <row r="731" ht="15" customFormat="1" customHeight="1" s="5">
      <c r="A731" s="81" t="n">
        <v>45960</v>
      </c>
      <c r="B731" s="82" t="n">
        <v>0.3708333333333333</v>
      </c>
      <c r="C731" s="5" t="inlineStr">
        <is>
          <t>Walmart</t>
        </is>
      </c>
      <c r="D731" s="5" t="n">
        <v>1</v>
      </c>
      <c r="F731" s="6" t="inlineStr">
        <is>
          <t># 2000138-06276058</t>
        </is>
      </c>
      <c r="G731" s="10" t="n"/>
      <c r="H731" s="9" t="inlineStr">
        <is>
          <t>Co retail delivery fees</t>
        </is>
      </c>
      <c r="I731" s="9" t="n">
        <v>2</v>
      </c>
      <c r="J731" s="9" t="inlineStr">
        <is>
          <t>cnt</t>
        </is>
      </c>
      <c r="K731" s="9" t="n">
        <v>0.28</v>
      </c>
    </row>
    <row r="732" ht="15" customFormat="1" customHeight="1" s="5">
      <c r="A732" s="81" t="n">
        <v>45960</v>
      </c>
      <c r="B732" s="82" t="n">
        <v>0.3708333333333333</v>
      </c>
      <c r="C732" s="5" t="inlineStr">
        <is>
          <t>Walmart</t>
        </is>
      </c>
      <c r="D732" s="5" t="n">
        <v>1</v>
      </c>
      <c r="F732" s="6" t="inlineStr">
        <is>
          <t># 2000138-06276058</t>
        </is>
      </c>
      <c r="G732" s="10" t="n"/>
      <c r="H732" s="9" t="inlineStr">
        <is>
          <t>Tax</t>
        </is>
      </c>
      <c r="I732" s="9" t="n">
        <v>2</v>
      </c>
      <c r="J732" s="9" t="inlineStr">
        <is>
          <t>cnt</t>
        </is>
      </c>
      <c r="K732" s="9" t="n">
        <v>0.39</v>
      </c>
    </row>
    <row r="733" ht="15" customFormat="1" customHeight="1" s="5">
      <c r="A733" s="81" t="n">
        <v>45960</v>
      </c>
      <c r="B733" s="82" t="n">
        <v>0.2916666666666667</v>
      </c>
      <c r="C733" s="5" t="inlineStr">
        <is>
          <t>Amazon</t>
        </is>
      </c>
      <c r="D733" s="5" t="n">
        <v>1</v>
      </c>
      <c r="F733" s="6" t="inlineStr">
        <is>
          <t>D01-4607508-1392243</t>
        </is>
      </c>
      <c r="G733" s="10" t="n"/>
      <c r="H733" s="9" t="inlineStr">
        <is>
          <t>AMAZON PRIME Student Membership Fee</t>
        </is>
      </c>
      <c r="I733" s="5" t="n">
        <v>1</v>
      </c>
      <c r="J733" s="5" t="inlineStr">
        <is>
          <t>cnt</t>
        </is>
      </c>
      <c r="K733" s="5" t="n">
        <v>7.49</v>
      </c>
    </row>
    <row r="734" ht="15" customFormat="1" customHeight="1" s="5">
      <c r="A734" s="81" t="n">
        <v>45960</v>
      </c>
      <c r="B734" s="82" t="n">
        <v>0.2916666666666667</v>
      </c>
      <c r="C734" s="5" t="inlineStr">
        <is>
          <t>Amazon</t>
        </is>
      </c>
      <c r="D734" s="5" t="n">
        <v>1</v>
      </c>
      <c r="F734" s="6" t="inlineStr">
        <is>
          <t>D01-4607508-1392243</t>
        </is>
      </c>
      <c r="G734" s="10" t="n"/>
      <c r="H734" s="9" t="inlineStr">
        <is>
          <t>Tax</t>
        </is>
      </c>
      <c r="I734" s="5" t="n">
        <v>1</v>
      </c>
      <c r="J734" s="5" t="inlineStr">
        <is>
          <t>cnt</t>
        </is>
      </c>
      <c r="K734" s="5" t="n">
        <v>0.6</v>
      </c>
    </row>
    <row r="735" ht="15" customFormat="1" customHeight="1" s="5">
      <c r="A735" s="81" t="n">
        <v>45960</v>
      </c>
      <c r="B735" s="82" t="n">
        <v>0.2916666666666667</v>
      </c>
      <c r="C735" s="5" t="inlineStr">
        <is>
          <t>US Tax Witholding</t>
        </is>
      </c>
      <c r="D735" s="5" t="n">
        <v>1</v>
      </c>
      <c r="F735" s="6" t="inlineStr">
        <is>
          <t>RTX_Paycheck_25_48</t>
        </is>
      </c>
      <c r="G735" s="7" t="n"/>
      <c r="H735" s="9" t="inlineStr">
        <is>
          <t>Federal Income Tax</t>
        </is>
      </c>
      <c r="I735" s="9" t="n"/>
      <c r="J735" s="9" t="n"/>
      <c r="K735" s="9" t="n">
        <v>547.76</v>
      </c>
    </row>
    <row r="736" ht="15" customFormat="1" customHeight="1" s="5">
      <c r="A736" s="81" t="n">
        <v>45960</v>
      </c>
      <c r="B736" s="82" t="n">
        <v>0.2916666666666667</v>
      </c>
      <c r="C736" s="5" t="inlineStr">
        <is>
          <t>US Tax Witholding</t>
        </is>
      </c>
      <c r="D736" s="5" t="n">
        <v>1</v>
      </c>
      <c r="F736" s="6" t="inlineStr">
        <is>
          <t>RTX_Paycheck_25_48</t>
        </is>
      </c>
      <c r="G736" s="7" t="n"/>
      <c r="H736" s="9" t="inlineStr">
        <is>
          <t>Social Security Tax</t>
        </is>
      </c>
      <c r="I736" s="9" t="n"/>
      <c r="J736" s="9" t="n"/>
      <c r="K736" s="9" t="n">
        <v>357.76</v>
      </c>
    </row>
    <row r="737" ht="15" customFormat="1" customHeight="1" s="5">
      <c r="A737" s="81" t="n">
        <v>45960</v>
      </c>
      <c r="B737" s="82" t="n">
        <v>0.2916666666666667</v>
      </c>
      <c r="C737" s="5" t="inlineStr">
        <is>
          <t>US Tax Witholding</t>
        </is>
      </c>
      <c r="D737" s="5" t="n">
        <v>1</v>
      </c>
      <c r="F737" s="6" t="inlineStr">
        <is>
          <t>RTX_Paycheck_25_48</t>
        </is>
      </c>
      <c r="G737" s="7" t="n"/>
      <c r="H737" s="9" t="inlineStr">
        <is>
          <t>Medicare Tax</t>
        </is>
      </c>
      <c r="I737" s="9" t="n"/>
      <c r="J737" s="9" t="n"/>
      <c r="K737" s="9" t="n">
        <v>83.67</v>
      </c>
    </row>
    <row r="738" ht="15" customFormat="1" customHeight="1" s="5">
      <c r="A738" s="81" t="n">
        <v>45960</v>
      </c>
      <c r="B738" s="82" t="n">
        <v>0.2916666666666667</v>
      </c>
      <c r="C738" s="5" t="inlineStr">
        <is>
          <t>Raytheon</t>
        </is>
      </c>
      <c r="D738" s="5" t="n">
        <v>1</v>
      </c>
      <c r="F738" s="6" t="inlineStr">
        <is>
          <t>RTX_Paycheck_25_48</t>
        </is>
      </c>
      <c r="G738" s="17" t="inlineStr">
        <is>
          <t>XXXX3523</t>
        </is>
      </c>
      <c r="H738" s="9" t="inlineStr">
        <is>
          <t>Net Paycheck [Sep 27 - Oct 10]</t>
        </is>
      </c>
      <c r="I738" s="9" t="n"/>
      <c r="J738" s="9" t="n"/>
      <c r="K738" s="9" t="n">
        <v>3473.28</v>
      </c>
    </row>
    <row r="739" ht="15" customFormat="1" customHeight="1" s="5">
      <c r="A739" s="81" t="n">
        <v>45960</v>
      </c>
      <c r="B739" s="82" t="n">
        <v>0.2916666666666667</v>
      </c>
      <c r="C739" s="5" t="inlineStr">
        <is>
          <t>Raytheon</t>
        </is>
      </c>
      <c r="D739" s="5" t="n">
        <v>1</v>
      </c>
      <c r="F739" s="6" t="inlineStr">
        <is>
          <t>RTX_Paycheck_25_48</t>
        </is>
      </c>
      <c r="G739" s="10" t="n"/>
      <c r="H739" s="9" t="inlineStr">
        <is>
          <t>RTX Direct Deposit -- cancelling offset</t>
        </is>
      </c>
      <c r="I739" s="9" t="n"/>
      <c r="J739" s="9" t="n"/>
      <c r="K739" s="9" t="n">
        <v>-3473.29</v>
      </c>
    </row>
    <row r="740" ht="15" customFormat="1" customHeight="1" s="5">
      <c r="A740" s="81" t="n">
        <v>45960</v>
      </c>
      <c r="B740" s="82" t="n">
        <v>0.2916666666666667</v>
      </c>
      <c r="C740" s="5" t="inlineStr">
        <is>
          <t>Raytheon</t>
        </is>
      </c>
      <c r="D740" s="5" t="n">
        <v>1</v>
      </c>
      <c r="F740" s="6" t="inlineStr">
        <is>
          <t>RTX_Paycheck_25_48</t>
        </is>
      </c>
      <c r="G740" s="10" t="n"/>
      <c r="H740" s="9" t="inlineStr">
        <is>
          <t>Gross Paycheck [Oct 11 - Oct 24] ($62.5000/hr)</t>
        </is>
      </c>
      <c r="I740" s="9" t="n"/>
      <c r="J740" s="9" t="n"/>
      <c r="K740" s="6" t="n">
        <v>-6199.12</v>
      </c>
    </row>
    <row r="741" ht="15" customFormat="1" customHeight="1" s="5">
      <c r="A741" s="81" t="n">
        <v>45960</v>
      </c>
      <c r="B741" s="82" t="n">
        <v>0.2916666666666667</v>
      </c>
      <c r="C741" s="5" t="inlineStr">
        <is>
          <t>Raytheon</t>
        </is>
      </c>
      <c r="D741" s="5" t="n">
        <v>1</v>
      </c>
      <c r="F741" s="6" t="inlineStr">
        <is>
          <t>RTX_Paycheck_25_48</t>
        </is>
      </c>
      <c r="G741" s="10" t="n"/>
      <c r="H741" s="9" t="inlineStr">
        <is>
          <t>Ed(ucation) Assi(tance) Offset</t>
        </is>
      </c>
      <c r="I741" s="9" t="n"/>
      <c r="J741" s="9" t="n"/>
      <c r="K741" s="9" t="n">
        <v>711.62</v>
      </c>
    </row>
    <row r="742" ht="15" customFormat="1" customHeight="1" s="5">
      <c r="A742" s="81" t="n">
        <v>45960</v>
      </c>
      <c r="B742" s="82" t="n">
        <v>0.2916666666666667</v>
      </c>
      <c r="C742" s="5" t="inlineStr">
        <is>
          <t>Parents Gift Account</t>
        </is>
      </c>
      <c r="D742" s="5" t="n">
        <v>1</v>
      </c>
      <c r="F742" s="6" t="inlineStr">
        <is>
          <t>RTX_Paycheck_25_48</t>
        </is>
      </c>
      <c r="G742" s="17" t="inlineStr">
        <is>
          <t>XXXX7146</t>
        </is>
      </c>
      <c r="H742" s="9" t="inlineStr">
        <is>
          <t>Contribution to Parents Gift Account</t>
        </is>
      </c>
      <c r="I742" s="9" t="n"/>
      <c r="J742" s="9" t="n"/>
      <c r="K742" s="9" t="n">
        <v>0.01</v>
      </c>
    </row>
    <row r="743" ht="15" customFormat="1" customHeight="1" s="5">
      <c r="A743" s="81" t="n">
        <v>45960</v>
      </c>
      <c r="B743" s="82" t="n">
        <v>0.2916666666666667</v>
      </c>
      <c r="C743" s="5" t="inlineStr">
        <is>
          <t>HSA</t>
        </is>
      </c>
      <c r="D743" s="5" t="n">
        <v>1</v>
      </c>
      <c r="F743" s="6" t="inlineStr">
        <is>
          <t>RTX_Paycheck_25_48</t>
        </is>
      </c>
      <c r="G743" s="10" t="n"/>
      <c r="H743" s="9" t="inlineStr">
        <is>
          <t>Personal contribution to HSA</t>
        </is>
      </c>
      <c r="I743" s="9" t="n"/>
      <c r="J743" s="9" t="n"/>
      <c r="K743" s="9" t="n">
        <v>295.47</v>
      </c>
    </row>
    <row r="744" ht="15" customFormat="1" customHeight="1" s="5">
      <c r="A744" s="81" t="n">
        <v>45960</v>
      </c>
      <c r="B744" s="82" t="n">
        <v>0.2916666666666667</v>
      </c>
      <c r="C744" s="5" t="inlineStr">
        <is>
          <t>Delta Dental</t>
        </is>
      </c>
      <c r="D744" s="5" t="n">
        <v>1</v>
      </c>
      <c r="F744" s="6" t="inlineStr">
        <is>
          <t>RTX_Paycheck_25_48</t>
        </is>
      </c>
      <c r="G744" s="10" t="n"/>
      <c r="H744" s="9" t="inlineStr">
        <is>
          <t>Dental Insurance</t>
        </is>
      </c>
      <c r="I744" s="9" t="n"/>
      <c r="J744" s="9" t="n"/>
      <c r="K744" s="9" t="n">
        <v>4.26</v>
      </c>
    </row>
    <row r="745" ht="15" customFormat="1" customHeight="1" s="5">
      <c r="A745" s="81" t="n">
        <v>45960</v>
      </c>
      <c r="B745" s="82" t="n">
        <v>0.2916666666666667</v>
      </c>
      <c r="C745" s="5" t="inlineStr">
        <is>
          <t>CO Tax Witholding</t>
        </is>
      </c>
      <c r="D745" s="5" t="n">
        <v>1</v>
      </c>
      <c r="F745" s="6" t="inlineStr">
        <is>
          <t>RTX_Paycheck_25_48</t>
        </is>
      </c>
      <c r="G745" s="7" t="n"/>
      <c r="H745" s="9" t="inlineStr">
        <is>
          <t>CO State Income Tax</t>
        </is>
      </c>
      <c r="I745" s="9" t="n"/>
      <c r="J745" s="9" t="n"/>
      <c r="K745" s="9" t="n">
        <v>236.87</v>
      </c>
    </row>
    <row r="746" ht="15" customFormat="1" customHeight="1" s="5">
      <c r="A746" s="81" t="n">
        <v>45960</v>
      </c>
      <c r="B746" s="82" t="n">
        <v>0.2916666666666667</v>
      </c>
      <c r="C746" s="5" t="inlineStr">
        <is>
          <t>CO Tax Witholding</t>
        </is>
      </c>
      <c r="D746" s="5" t="n">
        <v>1</v>
      </c>
      <c r="F746" s="6" t="inlineStr">
        <is>
          <t>RTX_Paycheck_25_48</t>
        </is>
      </c>
      <c r="G746" s="7" t="n"/>
      <c r="H746" s="9" t="inlineStr">
        <is>
          <t>CO Paid Family Leave Insurance</t>
        </is>
      </c>
      <c r="I746" s="9" t="n"/>
      <c r="J746" s="9" t="n"/>
      <c r="K746" s="9" t="n">
        <v>27.89</v>
      </c>
    </row>
    <row r="747" ht="15" customFormat="1" customHeight="1" s="5">
      <c r="A747" s="81" t="n">
        <v>45960</v>
      </c>
      <c r="B747" s="82" t="n">
        <v>0.2916666666666667</v>
      </c>
      <c r="C747" s="5" t="inlineStr">
        <is>
          <t>Anthem BcBs</t>
        </is>
      </c>
      <c r="D747" s="5" t="n">
        <v>1</v>
      </c>
      <c r="F747" s="6" t="inlineStr">
        <is>
          <t>RTX_Paycheck_25_48</t>
        </is>
      </c>
      <c r="G747" s="10" t="n"/>
      <c r="H747" s="9" t="inlineStr">
        <is>
          <t>Medical Insurance</t>
        </is>
      </c>
      <c r="I747" s="9" t="n"/>
      <c r="J747" s="9" t="n"/>
      <c r="K747" s="9" t="n">
        <v>131.28</v>
      </c>
    </row>
    <row r="748" ht="15" customFormat="1" customHeight="1" s="5">
      <c r="A748" s="81" t="n">
        <v>45960</v>
      </c>
      <c r="B748" s="82" t="n">
        <v>0.2916666666666667</v>
      </c>
      <c r="C748" s="5" t="inlineStr">
        <is>
          <t>Alight</t>
        </is>
      </c>
      <c r="D748" s="5" t="n">
        <v>1</v>
      </c>
      <c r="F748" s="6" t="inlineStr">
        <is>
          <t>RTX_Paycheck_25_48</t>
        </is>
      </c>
      <c r="G748" s="10" t="n"/>
      <c r="H748" s="9" t="inlineStr">
        <is>
          <t>401k Basic -- Traditional</t>
        </is>
      </c>
      <c r="I748" s="9" t="n"/>
      <c r="J748" s="9" t="n"/>
      <c r="K748" s="9" t="n">
        <v>0</v>
      </c>
    </row>
    <row r="749" ht="15" customFormat="1" customHeight="1" s="5">
      <c r="A749" s="81" t="n">
        <v>45960</v>
      </c>
      <c r="B749" s="82" t="n">
        <v>0.2916666666666667</v>
      </c>
      <c r="C749" s="5" t="inlineStr">
        <is>
          <t>Alight</t>
        </is>
      </c>
      <c r="D749" s="5" t="n">
        <v>1</v>
      </c>
      <c r="F749" s="6" t="inlineStr">
        <is>
          <t>RTX_Paycheck_25_48</t>
        </is>
      </c>
      <c r="G749" s="10" t="n"/>
      <c r="H749" s="9" t="inlineStr">
        <is>
          <t>Roth 401k Basic</t>
        </is>
      </c>
      <c r="I749" s="9" t="n"/>
      <c r="J749" s="9" t="n"/>
      <c r="K749" s="9" t="n">
        <v>329.25</v>
      </c>
    </row>
    <row r="750" ht="15" customFormat="1" customHeight="1" s="5">
      <c r="A750" s="81" t="n">
        <v>45959</v>
      </c>
      <c r="B750" s="78" t="n">
        <v>0.4847222222222222</v>
      </c>
      <c r="C750" s="5" t="inlineStr">
        <is>
          <t>Costco</t>
        </is>
      </c>
      <c r="E750" s="5" t="n">
        <v>1</v>
      </c>
      <c r="F750" s="6" t="inlineStr">
        <is>
          <t>89056</t>
        </is>
      </c>
      <c r="G750" s="15" t="inlineStr">
        <is>
          <t>9</t>
        </is>
      </c>
      <c r="H750" s="9" t="inlineStr">
        <is>
          <t>Subaru Gas 12.473 Gallons @ $2.449/gal</t>
        </is>
      </c>
      <c r="I750" s="9" t="n">
        <v>12.473</v>
      </c>
      <c r="J750" s="9" t="inlineStr">
        <is>
          <t>gal</t>
        </is>
      </c>
      <c r="K750" s="9" t="n">
        <v>30.55</v>
      </c>
    </row>
    <row r="751" ht="15" customFormat="1" customHeight="1" s="5">
      <c r="A751" s="81" t="n">
        <v>45959</v>
      </c>
      <c r="B751" s="82" t="n">
        <v>0.4777777777777778</v>
      </c>
      <c r="C751" s="5" t="inlineStr">
        <is>
          <t>Costco</t>
        </is>
      </c>
      <c r="E751" s="5" t="n">
        <v>1</v>
      </c>
      <c r="F751" s="6" t="inlineStr">
        <is>
          <t>439 206 61 706</t>
        </is>
      </c>
      <c r="G751" s="15" t="inlineStr">
        <is>
          <t>1758910</t>
        </is>
      </c>
      <c r="H751" s="9" t="inlineStr">
        <is>
          <t>Smoke.CarbonMonoxide Alarm 8 -- 2 pack</t>
        </is>
      </c>
      <c r="I751" s="9" t="n">
        <v>2</v>
      </c>
      <c r="J751" s="9" t="inlineStr">
        <is>
          <t>cnt</t>
        </is>
      </c>
      <c r="K751" s="9" t="inlineStr">
        <is>
          <t>69.99 A</t>
        </is>
      </c>
    </row>
    <row r="752" ht="15" customFormat="1" customHeight="1" s="5">
      <c r="A752" s="81" t="n">
        <v>45959</v>
      </c>
      <c r="B752" s="82" t="n">
        <v>0.4777777777777778</v>
      </c>
      <c r="C752" s="5" t="inlineStr">
        <is>
          <t>Costco</t>
        </is>
      </c>
      <c r="E752" s="5" t="n">
        <v>1</v>
      </c>
      <c r="F752" s="6" t="inlineStr">
        <is>
          <t>439 206 61 706</t>
        </is>
      </c>
      <c r="G752" s="15" t="inlineStr">
        <is>
          <t>0000365893</t>
        </is>
      </c>
      <c r="H752" s="9" t="inlineStr">
        <is>
          <t>**DISCOUNT** /1758910</t>
        </is>
      </c>
      <c r="I752" s="9" t="n">
        <v>2</v>
      </c>
      <c r="J752" s="9" t="inlineStr">
        <is>
          <t>cnt</t>
        </is>
      </c>
      <c r="K752" s="9" t="inlineStr">
        <is>
          <t>15.00-A</t>
        </is>
      </c>
    </row>
    <row r="753" ht="15" customFormat="1" customHeight="1" s="5">
      <c r="A753" s="81" t="n">
        <v>45959</v>
      </c>
      <c r="B753" s="82" t="n">
        <v>0.4777777777777778</v>
      </c>
      <c r="C753" s="5" t="inlineStr">
        <is>
          <t>Costco</t>
        </is>
      </c>
      <c r="E753" s="5" t="n">
        <v>1</v>
      </c>
      <c r="F753" s="6" t="inlineStr">
        <is>
          <t>439 206 61 706</t>
        </is>
      </c>
      <c r="G753" s="10" t="inlineStr">
        <is>
          <t>E 1048072</t>
        </is>
      </c>
      <c r="H753" s="9" t="inlineStr">
        <is>
          <t>Kirkland Signature Organic Greek Nonfat Yogurt, Plain, 3 lbs</t>
        </is>
      </c>
      <c r="I753" s="9" t="n">
        <v>48</v>
      </c>
      <c r="J753" s="9" t="inlineStr">
        <is>
          <t>oz</t>
        </is>
      </c>
      <c r="K753" s="9" t="n">
        <v>6.89</v>
      </c>
    </row>
    <row r="754" ht="15" customFormat="1" customHeight="1" s="5">
      <c r="A754" s="81" t="n">
        <v>45959</v>
      </c>
      <c r="B754" s="82" t="n">
        <v>0.4777777777777778</v>
      </c>
      <c r="C754" s="5" t="inlineStr">
        <is>
          <t>Costco</t>
        </is>
      </c>
      <c r="E754" s="5" t="n">
        <v>1</v>
      </c>
      <c r="F754" s="6" t="inlineStr">
        <is>
          <t>439 206 61 706</t>
        </is>
      </c>
      <c r="G754" s="15" t="inlineStr">
        <is>
          <t>1805950</t>
        </is>
      </c>
      <c r="H754" s="9" t="inlineStr">
        <is>
          <t>Kirkland Signature Diaper Size 1, 96-count 8-14lb</t>
        </is>
      </c>
      <c r="I754" s="9" t="n">
        <v>96</v>
      </c>
      <c r="J754" s="9" t="inlineStr">
        <is>
          <t>cnt</t>
        </is>
      </c>
      <c r="K754" s="9" t="inlineStr">
        <is>
          <t>14.99 B</t>
        </is>
      </c>
    </row>
    <row r="755" ht="15" customFormat="1" customHeight="1" s="5">
      <c r="A755" s="81" t="n">
        <v>45959</v>
      </c>
      <c r="B755" s="82" t="n">
        <v>0.4777777777777778</v>
      </c>
      <c r="C755" s="5" t="inlineStr">
        <is>
          <t>Costco</t>
        </is>
      </c>
      <c r="E755" s="5" t="n">
        <v>1</v>
      </c>
      <c r="F755" s="6" t="inlineStr">
        <is>
          <t>439 206 61 706</t>
        </is>
      </c>
      <c r="G755" s="15" t="inlineStr">
        <is>
          <t>0000365899</t>
        </is>
      </c>
      <c r="H755" s="9" t="inlineStr">
        <is>
          <t>**DISCOUNT** /1805950 Diapers</t>
        </is>
      </c>
      <c r="I755" s="9" t="n">
        <v>96</v>
      </c>
      <c r="J755" s="9" t="inlineStr">
        <is>
          <t>cnt</t>
        </is>
      </c>
      <c r="K755" s="9" t="inlineStr">
        <is>
          <t>5.00-B</t>
        </is>
      </c>
    </row>
    <row r="756" ht="15" customFormat="1" customHeight="1" s="5">
      <c r="A756" s="81" t="n">
        <v>45959</v>
      </c>
      <c r="B756" s="82" t="n">
        <v>0.4777777777777778</v>
      </c>
      <c r="C756" s="5" t="inlineStr">
        <is>
          <t>Costco</t>
        </is>
      </c>
      <c r="E756" s="5" t="n">
        <v>1</v>
      </c>
      <c r="F756" s="6" t="inlineStr">
        <is>
          <t>439 206 61 706</t>
        </is>
      </c>
      <c r="G756" s="10" t="inlineStr">
        <is>
          <t>E 331100</t>
        </is>
      </c>
      <c r="H756" s="9" t="inlineStr">
        <is>
          <t>Organic Gourmet Medley Potatoes, 5 lbs</t>
        </is>
      </c>
      <c r="I756" s="9" t="n">
        <v>5</v>
      </c>
      <c r="J756" s="9" t="inlineStr">
        <is>
          <t>lb</t>
        </is>
      </c>
      <c r="K756" s="9" t="n">
        <v>6.29</v>
      </c>
    </row>
    <row r="757" ht="15" customFormat="1" customHeight="1" s="5">
      <c r="A757" s="81" t="n">
        <v>45959</v>
      </c>
      <c r="B757" s="82" t="n">
        <v>0.4777777777777778</v>
      </c>
      <c r="C757" s="5" t="inlineStr">
        <is>
          <t>Costco</t>
        </is>
      </c>
      <c r="E757" s="5" t="n">
        <v>1</v>
      </c>
      <c r="F757" s="6" t="inlineStr">
        <is>
          <t>439 206 61 706</t>
        </is>
      </c>
      <c r="G757" s="10" t="inlineStr">
        <is>
          <t>E 0000366070</t>
        </is>
      </c>
      <c r="H757" s="9" t="inlineStr">
        <is>
          <t>**DICSOUNT** /331100 Small Potatoes Medley</t>
        </is>
      </c>
      <c r="I757" s="9" t="n">
        <v>5</v>
      </c>
      <c r="J757" s="9" t="inlineStr">
        <is>
          <t>lb</t>
        </is>
      </c>
      <c r="K757" s="9" t="inlineStr">
        <is>
          <t>2.0-</t>
        </is>
      </c>
    </row>
    <row r="758" ht="15" customFormat="1" customHeight="1" s="5">
      <c r="A758" s="81" t="n">
        <v>45959</v>
      </c>
      <c r="B758" s="82" t="n">
        <v>0.4777777777777778</v>
      </c>
      <c r="C758" s="5" t="inlineStr">
        <is>
          <t>Costco</t>
        </is>
      </c>
      <c r="E758" s="5" t="n">
        <v>1</v>
      </c>
      <c r="F758" s="6" t="inlineStr">
        <is>
          <t>439 206 61 706</t>
        </is>
      </c>
      <c r="G758" s="15" t="inlineStr">
        <is>
          <t>1307810</t>
        </is>
      </c>
      <c r="H758" s="9" t="inlineStr">
        <is>
          <t>32D Women's Medium Tee: Green/White</t>
        </is>
      </c>
      <c r="I758" s="9" t="n">
        <v>2</v>
      </c>
      <c r="J758" s="9" t="inlineStr">
        <is>
          <t>cnt</t>
        </is>
      </c>
      <c r="K758" s="9" t="inlineStr">
        <is>
          <t>12.99 A</t>
        </is>
      </c>
    </row>
    <row r="759" ht="15" customFormat="1" customHeight="1" s="5">
      <c r="A759" s="81" t="n">
        <v>45959</v>
      </c>
      <c r="B759" s="82" t="n">
        <v>0.4777777777777778</v>
      </c>
      <c r="C759" s="5" t="inlineStr">
        <is>
          <t>Costco</t>
        </is>
      </c>
      <c r="E759" s="5" t="n">
        <v>1</v>
      </c>
      <c r="F759" s="6" t="inlineStr">
        <is>
          <t>439 206 61 706</t>
        </is>
      </c>
      <c r="G759" s="15" t="inlineStr">
        <is>
          <t>0000363420</t>
        </is>
      </c>
      <c r="H759" s="9" t="inlineStr">
        <is>
          <t>**DISCOUNT** /1307810 Heat Tee 32 Degrees</t>
        </is>
      </c>
      <c r="I759" s="9" t="n">
        <v>2</v>
      </c>
      <c r="J759" s="9" t="inlineStr">
        <is>
          <t>cnt</t>
        </is>
      </c>
      <c r="K759" s="9" t="inlineStr">
        <is>
          <t>3.0-A</t>
        </is>
      </c>
    </row>
    <row r="760" ht="15" customFormat="1" customHeight="1" s="5">
      <c r="A760" s="81" t="n">
        <v>45959</v>
      </c>
      <c r="B760" s="82" t="n">
        <v>0.4777777777777778</v>
      </c>
      <c r="C760" s="5" t="inlineStr">
        <is>
          <t>Costco</t>
        </is>
      </c>
      <c r="E760" s="5" t="n">
        <v>1</v>
      </c>
      <c r="F760" s="6" t="inlineStr">
        <is>
          <t>439 206 61 706</t>
        </is>
      </c>
      <c r="G760" s="15" t="inlineStr">
        <is>
          <t>1787575</t>
        </is>
      </c>
      <c r="H760" s="9" t="inlineStr">
        <is>
          <t>Puma Fleece Joggers Black Mens 30x32</t>
        </is>
      </c>
      <c r="I760" s="9" t="n">
        <v>1</v>
      </c>
      <c r="J760" s="9" t="inlineStr">
        <is>
          <t>cnt</t>
        </is>
      </c>
      <c r="K760" s="9" t="inlineStr">
        <is>
          <t>18.99 A</t>
        </is>
      </c>
    </row>
    <row r="761" ht="15" customFormat="1" customHeight="1" s="5">
      <c r="A761" s="81" t="n">
        <v>45959</v>
      </c>
      <c r="B761" s="82" t="n">
        <v>0.4777777777777778</v>
      </c>
      <c r="C761" s="5" t="inlineStr">
        <is>
          <t>Costco</t>
        </is>
      </c>
      <c r="E761" s="5" t="n">
        <v>1</v>
      </c>
      <c r="F761" s="6" t="inlineStr">
        <is>
          <t>439 206 61 706</t>
        </is>
      </c>
      <c r="G761" s="15" t="inlineStr">
        <is>
          <t>0000363417</t>
        </is>
      </c>
      <c r="H761" s="9" t="inlineStr">
        <is>
          <t>**DISCOUNT** /1787575 Joggers</t>
        </is>
      </c>
      <c r="I761" s="9" t="n">
        <v>1</v>
      </c>
      <c r="J761" s="9" t="inlineStr">
        <is>
          <t>cnt</t>
        </is>
      </c>
      <c r="K761" s="9" t="inlineStr">
        <is>
          <t>4.0-A</t>
        </is>
      </c>
    </row>
    <row r="762" ht="15" customFormat="1" customHeight="1" s="5">
      <c r="A762" s="81" t="n">
        <v>45959</v>
      </c>
      <c r="B762" s="82" t="n">
        <v>0.4777777777777778</v>
      </c>
      <c r="C762" s="5" t="inlineStr">
        <is>
          <t>Costco</t>
        </is>
      </c>
      <c r="E762" s="5" t="n">
        <v>1</v>
      </c>
      <c r="F762" s="6" t="inlineStr">
        <is>
          <t>439 206 61 706</t>
        </is>
      </c>
      <c r="G762" s="10" t="inlineStr">
        <is>
          <t>E 1392843</t>
        </is>
      </c>
      <c r="H762" s="9" t="inlineStr">
        <is>
          <t>Chosen Foods Avocado Oil Spray, 13.5 oz, 2-count</t>
        </is>
      </c>
      <c r="I762" s="9" t="n">
        <v>27</v>
      </c>
      <c r="J762" s="9" t="inlineStr">
        <is>
          <t>oz</t>
        </is>
      </c>
      <c r="K762" s="9" t="n">
        <v>13.79</v>
      </c>
    </row>
    <row r="763" ht="15" customFormat="1" customHeight="1" s="5">
      <c r="A763" s="81" t="n">
        <v>45959</v>
      </c>
      <c r="B763" s="82" t="n">
        <v>0.4777777777777778</v>
      </c>
      <c r="C763" s="5" t="inlineStr">
        <is>
          <t>Costco</t>
        </is>
      </c>
      <c r="E763" s="5" t="n">
        <v>1</v>
      </c>
      <c r="F763" s="6" t="inlineStr">
        <is>
          <t>439 206 61 706</t>
        </is>
      </c>
      <c r="G763" s="10" t="n"/>
      <c r="H763" s="9" t="inlineStr">
        <is>
          <t>Tax A 8.00%</t>
        </is>
      </c>
      <c r="I763" s="9" t="n">
        <v>3</v>
      </c>
      <c r="J763" s="9" t="inlineStr">
        <is>
          <t>cnt</t>
        </is>
      </c>
      <c r="K763" s="9" t="n">
        <v>6.4</v>
      </c>
    </row>
    <row r="764" ht="15" customFormat="1" customHeight="1" s="5">
      <c r="A764" s="81" t="n">
        <v>45959</v>
      </c>
      <c r="B764" s="82" t="n">
        <v>0.4777777777777778</v>
      </c>
      <c r="C764" s="5" t="inlineStr">
        <is>
          <t>Costco</t>
        </is>
      </c>
      <c r="E764" s="5" t="n">
        <v>1</v>
      </c>
      <c r="F764" s="6" t="inlineStr">
        <is>
          <t>439 206 61 706</t>
        </is>
      </c>
      <c r="G764" s="10" t="n"/>
      <c r="H764" s="9" t="inlineStr">
        <is>
          <t>Tax B 0.25%</t>
        </is>
      </c>
      <c r="I764" s="9" t="n">
        <v>1</v>
      </c>
      <c r="J764" s="9" t="inlineStr">
        <is>
          <t>cnt</t>
        </is>
      </c>
      <c r="K764" s="9" t="n">
        <v>0.02</v>
      </c>
    </row>
    <row r="765" ht="15" customFormat="1" customHeight="1" s="5">
      <c r="A765" s="81" t="n">
        <v>45959</v>
      </c>
      <c r="B765" s="82" t="n">
        <v>0.3638888888888889</v>
      </c>
      <c r="C765" s="5" t="inlineStr">
        <is>
          <t>Amazon</t>
        </is>
      </c>
      <c r="D765" s="5" t="n">
        <v>1</v>
      </c>
      <c r="F765" s="6" t="inlineStr">
        <is>
          <t>2568584751231764</t>
        </is>
      </c>
      <c r="G765" s="10" t="n"/>
      <c r="H765" s="9" t="inlineStr">
        <is>
          <t>**GIFT** From Karla Quinton and Bria Busta: "Really want you to treat yourself with what you want. Again so happy for you and your little ones. Love you."</t>
        </is>
      </c>
      <c r="I765" s="9" t="n"/>
      <c r="J765" s="9" t="n"/>
      <c r="K765" s="9" t="n">
        <v>-100</v>
      </c>
    </row>
    <row r="766" ht="15" customFormat="1" customHeight="1" s="5">
      <c r="A766" s="81" t="n">
        <v>45958</v>
      </c>
      <c r="B766" s="82" t="n">
        <v>0.74375</v>
      </c>
      <c r="C766" s="5" t="inlineStr">
        <is>
          <t>Mt. Fuji Hibachi and Sushi</t>
        </is>
      </c>
      <c r="D766" s="5" t="n">
        <v>1</v>
      </c>
      <c r="F766" s="6" t="inlineStr">
        <is>
          <t>DoorDash_03</t>
        </is>
      </c>
      <c r="G766" s="10" t="n"/>
      <c r="H766" s="9" t="inlineStr">
        <is>
          <t>Salmon Lover Roll</t>
        </is>
      </c>
      <c r="I766" s="9" t="n">
        <v>1</v>
      </c>
      <c r="J766" s="9" t="inlineStr">
        <is>
          <t>cnt</t>
        </is>
      </c>
      <c r="K766" s="9" t="n">
        <v>22.75</v>
      </c>
    </row>
    <row r="767" ht="15" customFormat="1" customHeight="1" s="5">
      <c r="A767" s="81" t="n">
        <v>45958</v>
      </c>
      <c r="B767" s="82" t="n">
        <v>0.74375</v>
      </c>
      <c r="C767" s="5" t="inlineStr">
        <is>
          <t>Mt. Fuji Hibachi and Sushi</t>
        </is>
      </c>
      <c r="D767" s="5" t="n">
        <v>1</v>
      </c>
      <c r="F767" s="6" t="inlineStr">
        <is>
          <t>DoorDash_03</t>
        </is>
      </c>
      <c r="G767" s="10" t="n"/>
      <c r="H767" s="9" t="inlineStr">
        <is>
          <t>Alaska Roll</t>
        </is>
      </c>
      <c r="I767" s="9" t="n">
        <v>1</v>
      </c>
      <c r="J767" s="9" t="inlineStr">
        <is>
          <t>cnt</t>
        </is>
      </c>
      <c r="K767" s="9" t="n">
        <v>7.5</v>
      </c>
    </row>
    <row r="768" ht="15" customFormat="1" customHeight="1" s="5">
      <c r="A768" s="81" t="n">
        <v>45958</v>
      </c>
      <c r="B768" s="82" t="n">
        <v>0.74375</v>
      </c>
      <c r="C768" s="5" t="inlineStr">
        <is>
          <t>Mt. Fuji Hibachi and Sushi</t>
        </is>
      </c>
      <c r="D768" s="5" t="n">
        <v>1</v>
      </c>
      <c r="F768" s="6" t="inlineStr">
        <is>
          <t>DoorDash_03</t>
        </is>
      </c>
      <c r="G768" s="10" t="inlineStr">
        <is>
          <t>S06</t>
        </is>
      </c>
      <c r="H768" s="9" t="inlineStr">
        <is>
          <t>I Love Eel Roll</t>
        </is>
      </c>
      <c r="I768" s="9" t="n">
        <v>1</v>
      </c>
      <c r="J768" s="9" t="inlineStr">
        <is>
          <t>cnt</t>
        </is>
      </c>
      <c r="K768" s="9" t="n">
        <v>13.5</v>
      </c>
    </row>
    <row r="769" ht="15" customFormat="1" customHeight="1" s="5">
      <c r="A769" s="81" t="n">
        <v>45958</v>
      </c>
      <c r="B769" s="82" t="n">
        <v>0.74375</v>
      </c>
      <c r="C769" s="5" t="inlineStr">
        <is>
          <t>Mt. Fuji Hibachi and Sushi</t>
        </is>
      </c>
      <c r="D769" s="5" t="n">
        <v>1</v>
      </c>
      <c r="F769" s="6" t="inlineStr">
        <is>
          <t>DoorDash_03</t>
        </is>
      </c>
      <c r="G769" s="10" t="inlineStr">
        <is>
          <t>S01</t>
        </is>
      </c>
      <c r="H769" s="9" t="inlineStr">
        <is>
          <t>I Love Eel Roll</t>
        </is>
      </c>
      <c r="I769" s="9" t="n">
        <v>1</v>
      </c>
      <c r="J769" s="9" t="inlineStr">
        <is>
          <t>cnt</t>
        </is>
      </c>
      <c r="K769" s="9" t="n">
        <v>13.5</v>
      </c>
    </row>
    <row r="770" ht="15" customFormat="1" customHeight="1" s="5">
      <c r="A770" s="81" t="n">
        <v>45958</v>
      </c>
      <c r="B770" s="82" t="n">
        <v>0.74375</v>
      </c>
      <c r="C770" s="5" t="inlineStr">
        <is>
          <t>Mt. Fuji Hibachi and Sushi</t>
        </is>
      </c>
      <c r="D770" s="5" t="n">
        <v>1</v>
      </c>
      <c r="F770" s="6" t="inlineStr">
        <is>
          <t>DoorDash_03</t>
        </is>
      </c>
      <c r="G770" s="10" t="n"/>
      <c r="H770" s="9" t="inlineStr">
        <is>
          <t>Tax</t>
        </is>
      </c>
      <c r="I770" s="9" t="n">
        <v>4</v>
      </c>
      <c r="J770" s="9" t="inlineStr">
        <is>
          <t>cnt</t>
        </is>
      </c>
      <c r="K770" s="9" t="n">
        <v>3.94</v>
      </c>
    </row>
    <row r="771" ht="15" customFormat="1" customHeight="1" s="5">
      <c r="A771" s="81" t="n">
        <v>45958</v>
      </c>
      <c r="B771" s="82" t="n">
        <v>0.74375</v>
      </c>
      <c r="C771" s="5" t="inlineStr">
        <is>
          <t>Mt. Fuji Hibachi and Sushi</t>
        </is>
      </c>
      <c r="D771" s="5" t="n">
        <v>1</v>
      </c>
      <c r="F771" s="6" t="inlineStr">
        <is>
          <t>DoorDash_03</t>
        </is>
      </c>
      <c r="G771" s="10" t="n"/>
      <c r="H771" s="9" t="inlineStr">
        <is>
          <t>**DISCOUNT** Doordash</t>
        </is>
      </c>
      <c r="I771" s="9" t="n">
        <v>1</v>
      </c>
      <c r="J771" s="9" t="inlineStr">
        <is>
          <t>cnt</t>
        </is>
      </c>
      <c r="K771" s="9" t="n">
        <v>-8</v>
      </c>
    </row>
    <row r="772" ht="15" customFormat="1" customHeight="1" s="5">
      <c r="A772" s="81" t="n">
        <v>45958</v>
      </c>
      <c r="B772" s="82" t="n">
        <v>0.74375</v>
      </c>
      <c r="C772" s="5" t="inlineStr">
        <is>
          <t>Mt. Fuji Hibachi and Sushi</t>
        </is>
      </c>
      <c r="D772" s="5" t="n">
        <v>1</v>
      </c>
      <c r="F772" s="6" t="inlineStr">
        <is>
          <t>DoorDash_03</t>
        </is>
      </c>
      <c r="G772" s="10" t="n"/>
      <c r="H772" s="9" t="inlineStr">
        <is>
          <t>DoorDash Gift Card (Jane $100, Jenny $100, Elise $50, Dana $50, Brenna $50)</t>
        </is>
      </c>
      <c r="I772" s="9" t="n">
        <v>1</v>
      </c>
      <c r="J772" s="9" t="inlineStr">
        <is>
          <t>cnt</t>
        </is>
      </c>
      <c r="K772" s="9" t="n">
        <v>-53.19</v>
      </c>
    </row>
    <row r="773" ht="15" customFormat="1" customHeight="1" s="5">
      <c r="A773" s="81" t="n">
        <v>45957</v>
      </c>
      <c r="B773" s="82" t="n">
        <v>0.7944444444444444</v>
      </c>
      <c r="C773" s="5" t="inlineStr">
        <is>
          <t>Five Guys</t>
        </is>
      </c>
      <c r="D773" s="5" t="n">
        <v>1</v>
      </c>
      <c r="F773" s="6" t="inlineStr">
        <is>
          <t>DoorDash_02</t>
        </is>
      </c>
      <c r="G773" s="10" t="n"/>
      <c r="H773" s="9" t="inlineStr">
        <is>
          <t>1× Hamburger ++ Jalapeno Peppers (+ 5 calories), Mayo (+110 calories), Green Peppers (+5 calories), Tomato (+10 calories), Lettuce (+5 calories), Pickle (+5 calories), Grilled Mushrooms (+20 calories), Ketchup (+30 calories), Mustard (+ 0 calories), Onions (+10 calories)</t>
        </is>
      </c>
      <c r="I773" s="9" t="n">
        <v>1</v>
      </c>
      <c r="J773" s="9" t="inlineStr">
        <is>
          <t>cnt</t>
        </is>
      </c>
      <c r="K773" s="9" t="n">
        <v>13.07</v>
      </c>
    </row>
    <row r="774" ht="15" customFormat="1" customHeight="1" s="5">
      <c r="A774" s="81" t="n">
        <v>45957</v>
      </c>
      <c r="B774" s="82" t="n">
        <v>0.7944444444444444</v>
      </c>
      <c r="C774" s="5" t="inlineStr">
        <is>
          <t>Five Guys</t>
        </is>
      </c>
      <c r="D774" s="5" t="n">
        <v>1</v>
      </c>
      <c r="F774" s="6" t="inlineStr">
        <is>
          <t>DoorDash_02</t>
        </is>
      </c>
      <c r="G774" s="10" t="n"/>
      <c r="H774" s="9" t="inlineStr">
        <is>
          <t>1x Little Cajun Fries</t>
        </is>
      </c>
      <c r="I774" s="9" t="n">
        <v>1</v>
      </c>
      <c r="J774" s="9" t="inlineStr">
        <is>
          <t>cnt</t>
        </is>
      </c>
      <c r="K774" s="9" t="n">
        <v>6.83</v>
      </c>
    </row>
    <row r="775" ht="15" customFormat="1" customHeight="1" s="5">
      <c r="A775" s="81" t="n">
        <v>45957</v>
      </c>
      <c r="B775" s="82" t="n">
        <v>0.7944444444444444</v>
      </c>
      <c r="C775" s="5" t="inlineStr">
        <is>
          <t>Five Guys</t>
        </is>
      </c>
      <c r="D775" s="5" t="n">
        <v>1</v>
      </c>
      <c r="F775" s="6" t="inlineStr">
        <is>
          <t>DoorDash_02</t>
        </is>
      </c>
      <c r="G775" s="10" t="n"/>
      <c r="H775" s="9" t="inlineStr">
        <is>
          <t>1x Little Hamburger ++ Tomato (+10 calories), Pickle (+5 calories), Lettuce (+5 calories), Mayo (+110 calories), Green Peppers (+5 calories), Relish (+ 15 calories)</t>
        </is>
      </c>
      <c r="I775" s="9" t="n">
        <v>1</v>
      </c>
      <c r="J775" s="9" t="inlineStr">
        <is>
          <t>cnt</t>
        </is>
      </c>
      <c r="K775" s="9" t="n">
        <v>9.83</v>
      </c>
    </row>
    <row r="776" ht="15" customFormat="1" customHeight="1" s="5">
      <c r="A776" s="81" t="n">
        <v>45957</v>
      </c>
      <c r="B776" s="82" t="n">
        <v>0.7944444444444444</v>
      </c>
      <c r="C776" s="5" t="inlineStr">
        <is>
          <t>Five Guys</t>
        </is>
      </c>
      <c r="D776" s="5" t="n">
        <v>1</v>
      </c>
      <c r="F776" s="6" t="inlineStr">
        <is>
          <t>DoorDash_02</t>
        </is>
      </c>
      <c r="G776" s="10" t="n"/>
      <c r="H776" s="9" t="inlineStr">
        <is>
          <t>Co retail delivery fees</t>
        </is>
      </c>
      <c r="I776" s="9" t="n">
        <v>1</v>
      </c>
      <c r="J776" s="9" t="inlineStr">
        <is>
          <t>cnt</t>
        </is>
      </c>
      <c r="K776" s="9" t="n">
        <v>0.28</v>
      </c>
    </row>
    <row r="777" ht="15" customFormat="1" customHeight="1" s="5">
      <c r="A777" s="81" t="n">
        <v>45957</v>
      </c>
      <c r="B777" s="82" t="n">
        <v>0.7944444444444444</v>
      </c>
      <c r="C777" s="5" t="inlineStr">
        <is>
          <t>Five Guys</t>
        </is>
      </c>
      <c r="D777" s="5" t="n">
        <v>1</v>
      </c>
      <c r="F777" s="6" t="inlineStr">
        <is>
          <t>DoorDash_02</t>
        </is>
      </c>
      <c r="G777" s="10" t="n"/>
      <c r="H777" s="9" t="inlineStr">
        <is>
          <t>Service Fee Doordash</t>
        </is>
      </c>
      <c r="I777" s="9" t="n">
        <v>1</v>
      </c>
      <c r="J777" s="9" t="inlineStr">
        <is>
          <t>cnt</t>
        </is>
      </c>
      <c r="K777" s="9" t="n">
        <v>1.49</v>
      </c>
    </row>
    <row r="778" ht="15" customFormat="1" customHeight="1" s="5">
      <c r="A778" s="81" t="n">
        <v>45957</v>
      </c>
      <c r="B778" s="82" t="n">
        <v>0.7944444444444444</v>
      </c>
      <c r="C778" s="5" t="inlineStr">
        <is>
          <t>Five Guys</t>
        </is>
      </c>
      <c r="D778" s="5" t="n">
        <v>1</v>
      </c>
      <c r="F778" s="6" t="inlineStr">
        <is>
          <t>DoorDash_02</t>
        </is>
      </c>
      <c r="G778" s="10" t="n"/>
      <c r="H778" s="9" t="inlineStr">
        <is>
          <t>Tax</t>
        </is>
      </c>
      <c r="I778" s="9" t="n">
        <v>3</v>
      </c>
      <c r="J778" s="9" t="inlineStr">
        <is>
          <t>cnt</t>
        </is>
      </c>
      <c r="K778" s="9" t="n">
        <v>2.1</v>
      </c>
    </row>
    <row r="779" ht="15" customFormat="1" customHeight="1" s="5">
      <c r="A779" s="81" t="n">
        <v>45957</v>
      </c>
      <c r="B779" s="82" t="n">
        <v>0.7944444444444444</v>
      </c>
      <c r="C779" s="5" t="inlineStr">
        <is>
          <t>Five Guys</t>
        </is>
      </c>
      <c r="D779" s="5" t="n">
        <v>1</v>
      </c>
      <c r="F779" s="6" t="inlineStr">
        <is>
          <t>DoorDash_02</t>
        </is>
      </c>
      <c r="G779" s="10" t="n"/>
      <c r="H779" s="9" t="inlineStr">
        <is>
          <t>**DISCOUNT** Doordash</t>
        </is>
      </c>
      <c r="I779" s="9" t="n">
        <v>1</v>
      </c>
      <c r="J779" s="9" t="inlineStr">
        <is>
          <t>cnt</t>
        </is>
      </c>
      <c r="K779" s="9" t="n">
        <v>-5</v>
      </c>
    </row>
    <row r="780" ht="15" customFormat="1" customHeight="1" s="5">
      <c r="A780" s="81" t="n">
        <v>45957</v>
      </c>
      <c r="B780" s="82" t="n">
        <v>0.7944444444444444</v>
      </c>
      <c r="C780" s="5" t="inlineStr">
        <is>
          <t>Five Guys</t>
        </is>
      </c>
      <c r="D780" s="5" t="n">
        <v>1</v>
      </c>
      <c r="F780" s="6" t="inlineStr">
        <is>
          <t>DoorDash_02</t>
        </is>
      </c>
      <c r="G780" s="10" t="n"/>
      <c r="H780" s="9" t="inlineStr">
        <is>
          <t>Dasher Tip</t>
        </is>
      </c>
      <c r="I780" s="9" t="n">
        <v>1</v>
      </c>
      <c r="J780" s="9" t="inlineStr">
        <is>
          <t>cnt</t>
        </is>
      </c>
      <c r="K780" s="9" t="n">
        <v>1.5</v>
      </c>
    </row>
    <row r="781" ht="15" customFormat="1" customHeight="1" s="5">
      <c r="A781" s="81" t="n">
        <v>45957</v>
      </c>
      <c r="B781" s="82" t="n">
        <v>0.7944444444444444</v>
      </c>
      <c r="C781" s="5" t="inlineStr">
        <is>
          <t>Five Guys</t>
        </is>
      </c>
      <c r="D781" s="5" t="n">
        <v>1</v>
      </c>
      <c r="F781" s="6" t="inlineStr">
        <is>
          <t>DoorDash_02</t>
        </is>
      </c>
      <c r="G781" s="10" t="n"/>
      <c r="H781" s="9" t="inlineStr">
        <is>
          <t>DoorDash Gift Card (Jane $100, Jenny $100, Elise $50, Dana $50, Brenna $50)</t>
        </is>
      </c>
      <c r="I781" s="9" t="n">
        <v>1</v>
      </c>
      <c r="J781" s="9" t="inlineStr">
        <is>
          <t>cnt</t>
        </is>
      </c>
      <c r="K781" s="9" t="n">
        <v>-30.1</v>
      </c>
    </row>
    <row r="782" ht="15" customFormat="1" customHeight="1" s="5">
      <c r="A782" s="81" t="n">
        <v>45957</v>
      </c>
      <c r="B782" s="82" t="n">
        <v>0.3979166666666666</v>
      </c>
      <c r="C782" s="5" t="inlineStr">
        <is>
          <t>Costco</t>
        </is>
      </c>
      <c r="E782" s="5" t="n">
        <v>1</v>
      </c>
      <c r="F782" s="6" t="inlineStr">
        <is>
          <t>439 92 5 845</t>
        </is>
      </c>
      <c r="G782" s="10" t="inlineStr">
        <is>
          <t>E 47825</t>
        </is>
      </c>
      <c r="H782" s="9" t="inlineStr">
        <is>
          <t>Green Grapes Seedless Autumn Crisp</t>
        </is>
      </c>
      <c r="I782" s="9" t="n">
        <v>3</v>
      </c>
      <c r="J782" s="9" t="inlineStr">
        <is>
          <t>lb</t>
        </is>
      </c>
      <c r="K782" s="9" t="n">
        <v>5.99</v>
      </c>
    </row>
    <row r="783" ht="15" customFormat="1" customHeight="1" s="5">
      <c r="A783" s="81" t="n">
        <v>45957</v>
      </c>
      <c r="B783" s="82" t="n">
        <v>0.3979166666666666</v>
      </c>
      <c r="C783" s="5" t="inlineStr">
        <is>
          <t>Costco</t>
        </is>
      </c>
      <c r="E783" s="5" t="n">
        <v>1</v>
      </c>
      <c r="F783" s="6" t="inlineStr">
        <is>
          <t>439 92 5 845</t>
        </is>
      </c>
      <c r="G783" s="10" t="inlineStr">
        <is>
          <t>E 1050557</t>
        </is>
      </c>
      <c r="H783" s="9" t="inlineStr">
        <is>
          <t>KS PB Pretzels peanut butter</t>
        </is>
      </c>
      <c r="I783" s="9" t="n">
        <v>55</v>
      </c>
      <c r="J783" s="9" t="inlineStr">
        <is>
          <t>oz</t>
        </is>
      </c>
      <c r="K783" s="9" t="n">
        <v>9.99</v>
      </c>
    </row>
    <row r="784" ht="15" customFormat="1" customHeight="1" s="5">
      <c r="A784" s="81" t="n">
        <v>45957</v>
      </c>
      <c r="B784" s="82" t="n">
        <v>0.3979166666666666</v>
      </c>
      <c r="C784" s="5" t="inlineStr">
        <is>
          <t>Costco</t>
        </is>
      </c>
      <c r="E784" s="5" t="n">
        <v>1</v>
      </c>
      <c r="F784" s="6" t="inlineStr">
        <is>
          <t>439 92 5 845</t>
        </is>
      </c>
      <c r="G784" s="10" t="inlineStr">
        <is>
          <t>F 920000</t>
        </is>
      </c>
      <c r="H784" s="9" t="inlineStr">
        <is>
          <t>Pharm RX Tovi Adhesion Steroid ointment Betamethasone Dipropionate 0.05% Cream</t>
        </is>
      </c>
      <c r="I784" s="9" t="n">
        <v>15</v>
      </c>
      <c r="J784" s="9" t="inlineStr">
        <is>
          <t>g</t>
        </is>
      </c>
      <c r="K784" s="9" t="n">
        <v>28.79</v>
      </c>
    </row>
    <row r="785" ht="15" customFormat="1" customHeight="1" s="5">
      <c r="A785" s="81" t="n">
        <v>45957</v>
      </c>
      <c r="B785" s="82" t="n">
        <v>0.3979166666666666</v>
      </c>
      <c r="C785" s="5" t="inlineStr">
        <is>
          <t>Costco</t>
        </is>
      </c>
      <c r="E785" s="5" t="n">
        <v>1</v>
      </c>
      <c r="F785" s="6" t="inlineStr">
        <is>
          <t>439 92 5 845</t>
        </is>
      </c>
      <c r="G785" s="10" t="n"/>
      <c r="H785" s="9" t="inlineStr">
        <is>
          <t>Tax</t>
        </is>
      </c>
      <c r="I785" s="9" t="n">
        <v>3</v>
      </c>
      <c r="J785" s="9" t="inlineStr">
        <is>
          <t>cnt</t>
        </is>
      </c>
      <c r="K785" s="9" t="n">
        <v>0</v>
      </c>
    </row>
    <row r="786" ht="15" customFormat="1" customHeight="1" s="5">
      <c r="A786" s="81" t="n">
        <v>45957</v>
      </c>
      <c r="B786" s="82" t="n">
        <v>0.3229166666666667</v>
      </c>
      <c r="C786" s="5" t="inlineStr">
        <is>
          <t>Amazon</t>
        </is>
      </c>
      <c r="D786" s="5" t="n">
        <v>1</v>
      </c>
      <c r="F786" s="6" t="inlineStr">
        <is>
          <t>111-8720572-7857803</t>
        </is>
      </c>
      <c r="G786" s="10" t="n"/>
      <c r="H786" s="9" t="inlineStr">
        <is>
          <t>Huggies Size Newborn Diapers, Little Snugglers Baby Diapers, Size Newborn (up to 10 lbs), 144 Count, Packaging May Vary</t>
        </is>
      </c>
      <c r="I786" s="9" t="n">
        <v>144</v>
      </c>
      <c r="J786" s="9" t="inlineStr">
        <is>
          <t>cnt</t>
        </is>
      </c>
      <c r="K786" s="85" t="n">
        <v>37.8</v>
      </c>
    </row>
    <row r="787" ht="15" customFormat="1" customHeight="1" s="5">
      <c r="A787" s="81" t="n">
        <v>45957</v>
      </c>
      <c r="B787" s="82" t="n">
        <v>0.3229166666666667</v>
      </c>
      <c r="C787" s="5" t="inlineStr">
        <is>
          <t>Amazon</t>
        </is>
      </c>
      <c r="D787" s="5" t="n">
        <v>1</v>
      </c>
      <c r="F787" s="6" t="inlineStr">
        <is>
          <t>111-8720572-7857803</t>
        </is>
      </c>
      <c r="G787" s="10" t="n"/>
      <c r="H787" s="9" t="inlineStr">
        <is>
          <t>**DISCOUNT** Amazon Registry 15% discount</t>
        </is>
      </c>
      <c r="I787" s="9" t="n">
        <v>144</v>
      </c>
      <c r="J787" s="9" t="inlineStr">
        <is>
          <t>cnt</t>
        </is>
      </c>
      <c r="K787" s="85" t="n">
        <v>-5.67</v>
      </c>
    </row>
    <row r="788" ht="15" customFormat="1" customHeight="1" s="5">
      <c r="A788" s="81" t="n">
        <v>45957</v>
      </c>
      <c r="B788" s="82" t="n">
        <v>0.3229166666666667</v>
      </c>
      <c r="C788" s="5" t="inlineStr">
        <is>
          <t>Amazon</t>
        </is>
      </c>
      <c r="D788" s="5" t="n">
        <v>1</v>
      </c>
      <c r="F788" s="6" t="inlineStr">
        <is>
          <t>111-8720572-7857803</t>
        </is>
      </c>
      <c r="G788" s="10" t="n"/>
      <c r="H788" s="9" t="inlineStr">
        <is>
          <t>Tax</t>
        </is>
      </c>
      <c r="I788" s="9" t="n">
        <v>144</v>
      </c>
      <c r="J788" s="9" t="inlineStr">
        <is>
          <t>cnt</t>
        </is>
      </c>
      <c r="K788" s="85" t="n">
        <v>0</v>
      </c>
    </row>
    <row r="789" ht="15" customFormat="1" customHeight="1" s="5">
      <c r="A789" s="81" t="n">
        <v>45957</v>
      </c>
      <c r="B789" s="78" t="n">
        <v>0.2916666666666667</v>
      </c>
      <c r="C789" s="5" t="inlineStr">
        <is>
          <t>Groupon</t>
        </is>
      </c>
      <c r="D789" s="5" t="n">
        <v>1</v>
      </c>
      <c r="F789" s="6" t="inlineStr">
        <is>
          <t>1000-150715-652258</t>
        </is>
      </c>
      <c r="G789" s="15" t="n"/>
      <c r="H789" s="9" t="inlineStr">
        <is>
          <t>Aurora Point S Tire And Auto:  Wheel Alignment for all four wheels</t>
        </is>
      </c>
      <c r="I789" s="9" t="n"/>
      <c r="J789" s="9" t="n"/>
      <c r="K789" s="85" t="n">
        <v>85</v>
      </c>
    </row>
    <row r="790" ht="15" customFormat="1" customHeight="1" s="5">
      <c r="A790" s="81" t="n">
        <v>45957</v>
      </c>
      <c r="B790" s="78" t="n">
        <v>0.2916666666666667</v>
      </c>
      <c r="C790" s="5" t="inlineStr">
        <is>
          <t>Groupon</t>
        </is>
      </c>
      <c r="D790" s="5" t="n">
        <v>1</v>
      </c>
      <c r="F790" s="6" t="inlineStr">
        <is>
          <t>1000-150715-652258</t>
        </is>
      </c>
      <c r="G790" s="15" t="n"/>
      <c r="H790" s="9" t="inlineStr">
        <is>
          <t>**DISCOUNT** Groupon Promos</t>
        </is>
      </c>
      <c r="I790" s="9" t="n"/>
      <c r="J790" s="9" t="n"/>
      <c r="K790" s="85" t="n">
        <v>-17</v>
      </c>
    </row>
    <row r="791" ht="15" customFormat="1" customHeight="1" s="5">
      <c r="A791" s="81" t="n">
        <v>45957</v>
      </c>
      <c r="B791" s="78" t="n">
        <v>0.2916666666666667</v>
      </c>
      <c r="C791" s="5" t="inlineStr">
        <is>
          <t>Groupon</t>
        </is>
      </c>
      <c r="D791" s="5" t="n">
        <v>1</v>
      </c>
      <c r="F791" s="6" t="inlineStr">
        <is>
          <t>1000-150715-652258</t>
        </is>
      </c>
      <c r="G791" s="15" t="n"/>
      <c r="H791" s="9" t="inlineStr">
        <is>
          <t>Groupon Bucks</t>
        </is>
      </c>
      <c r="I791" s="9" t="n"/>
      <c r="J791" s="9" t="n"/>
      <c r="K791" s="9" t="n">
        <v>-6.84</v>
      </c>
    </row>
    <row r="792" ht="15" customFormat="1" customHeight="1" s="5">
      <c r="A792" s="81" t="n">
        <v>45957</v>
      </c>
      <c r="B792" s="82" t="n">
        <v>0.09097222222222222</v>
      </c>
      <c r="C792" s="5" t="inlineStr">
        <is>
          <t>Amazon</t>
        </is>
      </c>
      <c r="D792" s="5" t="n">
        <v>1</v>
      </c>
      <c r="F792" s="6" t="inlineStr">
        <is>
          <t>111-3953933-8381041</t>
        </is>
      </c>
      <c r="G792" s="10" t="n"/>
      <c r="H792" s="9" t="inlineStr">
        <is>
          <t>Christopher's Original Formulas Kid-e-Calc Extract, 2 fl oz (59 ml)</t>
        </is>
      </c>
      <c r="I792" s="9" t="n">
        <v>2</v>
      </c>
      <c r="J792" s="9" t="inlineStr">
        <is>
          <t>fl oz</t>
        </is>
      </c>
      <c r="K792" s="85" t="n">
        <v>13.35</v>
      </c>
    </row>
    <row r="793" ht="15" customFormat="1" customHeight="1" s="5">
      <c r="A793" s="81" t="n">
        <v>45957</v>
      </c>
      <c r="B793" s="82" t="n">
        <v>0.09097222222222222</v>
      </c>
      <c r="C793" s="5" t="inlineStr">
        <is>
          <t>Amazon</t>
        </is>
      </c>
      <c r="D793" s="5" t="n">
        <v>1</v>
      </c>
      <c r="F793" s="6" t="inlineStr">
        <is>
          <t>111-3953933-8381041</t>
        </is>
      </c>
      <c r="G793" s="10" t="n"/>
      <c r="H793" s="9" t="inlineStr">
        <is>
          <t>Boiron Calcarea Carbonica 30C Homeopathic Medicine for Cradle Cap - 80 Pellets</t>
        </is>
      </c>
      <c r="I793" s="9" t="n">
        <v>80</v>
      </c>
      <c r="J793" s="9" t="inlineStr">
        <is>
          <t>cnt</t>
        </is>
      </c>
      <c r="K793" s="85" t="n">
        <v>7.27</v>
      </c>
    </row>
    <row r="794" ht="15" customFormat="1" customHeight="1" s="5">
      <c r="A794" s="81" t="n">
        <v>45957</v>
      </c>
      <c r="B794" s="82" t="n">
        <v>0.09097222222222222</v>
      </c>
      <c r="C794" s="5" t="inlineStr">
        <is>
          <t>Amazon</t>
        </is>
      </c>
      <c r="D794" s="5" t="n">
        <v>1</v>
      </c>
      <c r="F794" s="6" t="inlineStr">
        <is>
          <t>111-3953933-8381041</t>
        </is>
      </c>
      <c r="G794" s="10" t="n"/>
      <c r="H794" s="9" t="inlineStr">
        <is>
          <t>Boiron Chamomilla 30C Homeopathic Medicine for Teething Relief, Pain, Irritability, and Restlessness - 3 Count (240 Pellets)</t>
        </is>
      </c>
      <c r="I794" s="9" t="n">
        <v>240</v>
      </c>
      <c r="J794" s="9" t="inlineStr">
        <is>
          <t>cnt</t>
        </is>
      </c>
      <c r="K794" s="85" t="n">
        <v>15.6</v>
      </c>
    </row>
    <row r="795" ht="15" customFormat="1" customHeight="1" s="5">
      <c r="A795" s="81" t="n">
        <v>45957</v>
      </c>
      <c r="B795" s="82" t="n">
        <v>0.09097222222222222</v>
      </c>
      <c r="C795" s="5" t="inlineStr">
        <is>
          <t>Amazon</t>
        </is>
      </c>
      <c r="D795" s="5" t="n">
        <v>1</v>
      </c>
      <c r="F795" s="6" t="inlineStr">
        <is>
          <t>111-3953933-8381041</t>
        </is>
      </c>
      <c r="G795" s="10" t="n"/>
      <c r="H795" s="9" t="inlineStr">
        <is>
          <t>**DISCOUNT** Amazon Registry 15% discount</t>
        </is>
      </c>
      <c r="I795" s="9" t="n">
        <v>2</v>
      </c>
      <c r="J795" s="9" t="inlineStr">
        <is>
          <t>cnt</t>
        </is>
      </c>
      <c r="K795" s="85" t="n">
        <v>-5.43</v>
      </c>
    </row>
    <row r="796" ht="15" customFormat="1" customHeight="1" s="5">
      <c r="A796" s="81" t="n">
        <v>45957</v>
      </c>
      <c r="B796" s="82" t="n">
        <v>0.09097222222222222</v>
      </c>
      <c r="C796" s="5" t="inlineStr">
        <is>
          <t>Amazon</t>
        </is>
      </c>
      <c r="D796" s="5" t="n">
        <v>1</v>
      </c>
      <c r="F796" s="6" t="inlineStr">
        <is>
          <t>111-3953933-8381041</t>
        </is>
      </c>
      <c r="G796" s="10" t="n"/>
      <c r="H796" s="9" t="inlineStr">
        <is>
          <t>**DISCOUNT** Rewards Points</t>
        </is>
      </c>
      <c r="I796" s="9" t="n">
        <v>1</v>
      </c>
      <c r="J796" s="9" t="inlineStr">
        <is>
          <t>cnt</t>
        </is>
      </c>
      <c r="K796" s="85" t="n">
        <v>-2.75</v>
      </c>
    </row>
    <row r="797" ht="15" customFormat="1" customHeight="1" s="5">
      <c r="A797" s="81" t="n">
        <v>45957</v>
      </c>
      <c r="B797" s="82" t="n">
        <v>0.09097222222222222</v>
      </c>
      <c r="C797" s="5" t="inlineStr">
        <is>
          <t>Amazon</t>
        </is>
      </c>
      <c r="D797" s="5" t="n">
        <v>1</v>
      </c>
      <c r="F797" s="6" t="inlineStr">
        <is>
          <t>111-3953933-8381041</t>
        </is>
      </c>
      <c r="G797" s="10" t="n"/>
      <c r="H797" s="9" t="inlineStr">
        <is>
          <t>Co retail delivery fees</t>
        </is>
      </c>
      <c r="I797" s="9" t="n">
        <v>3</v>
      </c>
      <c r="J797" s="9" t="inlineStr">
        <is>
          <t>cnt</t>
        </is>
      </c>
      <c r="K797" s="85" t="n">
        <v>0.28</v>
      </c>
    </row>
    <row r="798" ht="15" customFormat="1" customHeight="1" s="5">
      <c r="A798" s="81" t="n">
        <v>45957</v>
      </c>
      <c r="B798" s="82" t="n">
        <v>0.09097222222222222</v>
      </c>
      <c r="C798" s="5" t="inlineStr">
        <is>
          <t>Amazon</t>
        </is>
      </c>
      <c r="D798" s="5" t="n">
        <v>1</v>
      </c>
      <c r="F798" s="6" t="inlineStr">
        <is>
          <t>111-3953933-8381041</t>
        </is>
      </c>
      <c r="G798" s="10" t="n"/>
      <c r="H798" s="9" t="inlineStr">
        <is>
          <t>Tax</t>
        </is>
      </c>
      <c r="I798" s="9" t="n">
        <v>3</v>
      </c>
      <c r="J798" s="9" t="inlineStr">
        <is>
          <t>cnt</t>
        </is>
      </c>
      <c r="K798" s="85" t="n">
        <v>2.62</v>
      </c>
    </row>
    <row r="799" ht="15" customFormat="1" customHeight="1" s="5">
      <c r="A799" s="81" t="n">
        <v>45956</v>
      </c>
      <c r="B799" s="82" t="n">
        <v>0.7166666666666667</v>
      </c>
      <c r="C799" s="5" t="inlineStr">
        <is>
          <t>Costco</t>
        </is>
      </c>
      <c r="E799" s="5" t="n">
        <v>1</v>
      </c>
      <c r="F799" s="6" t="inlineStr">
        <is>
          <t>439 205 270 705</t>
        </is>
      </c>
      <c r="G799" s="15" t="inlineStr">
        <is>
          <t>446586</t>
        </is>
      </c>
      <c r="H799" s="9" t="inlineStr">
        <is>
          <t>Quaker Oats</t>
        </is>
      </c>
      <c r="I799" s="9" t="n">
        <v>10</v>
      </c>
      <c r="J799" s="9" t="inlineStr">
        <is>
          <t>lb</t>
        </is>
      </c>
      <c r="K799" s="9" t="n">
        <v>7.89</v>
      </c>
    </row>
    <row r="800" ht="15" customFormat="1" customHeight="1" s="5">
      <c r="A800" s="81" t="n">
        <v>45956</v>
      </c>
      <c r="B800" s="82" t="n">
        <v>0.7166666666666667</v>
      </c>
      <c r="C800" s="5" t="inlineStr">
        <is>
          <t>Costco</t>
        </is>
      </c>
      <c r="E800" s="5" t="n">
        <v>1</v>
      </c>
      <c r="F800" s="6" t="inlineStr">
        <is>
          <t>439 205 270 705</t>
        </is>
      </c>
      <c r="G800" s="15" t="inlineStr">
        <is>
          <t>1199652</t>
        </is>
      </c>
      <c r="H800" s="9" t="inlineStr">
        <is>
          <t>Wholly Organic Smashed Avocado, 2 oz, 16 ct</t>
        </is>
      </c>
      <c r="I800" s="9" t="n">
        <v>32</v>
      </c>
      <c r="J800" s="9" t="inlineStr">
        <is>
          <t>oz</t>
        </is>
      </c>
      <c r="K800" s="9" t="n">
        <v>13.99</v>
      </c>
    </row>
    <row r="801" ht="15" customFormat="1" customHeight="1" s="5">
      <c r="A801" s="81" t="n">
        <v>45956</v>
      </c>
      <c r="B801" s="82" t="n">
        <v>0.7166666666666667</v>
      </c>
      <c r="C801" s="5" t="inlineStr">
        <is>
          <t>Costco</t>
        </is>
      </c>
      <c r="E801" s="5" t="n">
        <v>1</v>
      </c>
      <c r="F801" s="6" t="inlineStr">
        <is>
          <t>439 205 270 705</t>
        </is>
      </c>
      <c r="G801" s="15" t="inlineStr">
        <is>
          <t>56366</t>
        </is>
      </c>
      <c r="H801" s="9" t="inlineStr">
        <is>
          <t>Raspberries</t>
        </is>
      </c>
      <c r="I801" s="9" t="n">
        <v>12</v>
      </c>
      <c r="J801" s="9" t="inlineStr">
        <is>
          <t>oz</t>
        </is>
      </c>
      <c r="K801" s="9" t="n">
        <v>4.79</v>
      </c>
    </row>
    <row r="802" ht="15" customFormat="1" customHeight="1" s="5">
      <c r="A802" s="81" t="n">
        <v>45956</v>
      </c>
      <c r="B802" s="82" t="n">
        <v>0.7166666666666667</v>
      </c>
      <c r="C802" s="5" t="inlineStr">
        <is>
          <t>Costco</t>
        </is>
      </c>
      <c r="E802" s="5" t="n">
        <v>1</v>
      </c>
      <c r="F802" s="6" t="inlineStr">
        <is>
          <t>439 205 270 705</t>
        </is>
      </c>
      <c r="G802" s="15" t="inlineStr">
        <is>
          <t>363391</t>
        </is>
      </c>
      <c r="H802" s="9" t="inlineStr">
        <is>
          <t>**DISCOUNT** /56366 Raspberries</t>
        </is>
      </c>
      <c r="I802" s="9" t="n">
        <v>12</v>
      </c>
      <c r="J802" s="9" t="inlineStr">
        <is>
          <t>oz</t>
        </is>
      </c>
      <c r="K802" s="9" t="inlineStr">
        <is>
          <t>1.00-</t>
        </is>
      </c>
    </row>
    <row r="803" ht="15" customFormat="1" customHeight="1" s="5">
      <c r="A803" s="81" t="n">
        <v>45956</v>
      </c>
      <c r="B803" s="82" t="n">
        <v>0.7166666666666667</v>
      </c>
      <c r="C803" s="5" t="inlineStr">
        <is>
          <t>Costco</t>
        </is>
      </c>
      <c r="E803" s="5" t="n">
        <v>1</v>
      </c>
      <c r="F803" s="6" t="inlineStr">
        <is>
          <t>439 205 270 705</t>
        </is>
      </c>
      <c r="G803" s="15" t="inlineStr">
        <is>
          <t>56366</t>
        </is>
      </c>
      <c r="H803" s="9" t="inlineStr">
        <is>
          <t>Raspberries</t>
        </is>
      </c>
      <c r="I803" s="9" t="n">
        <v>12</v>
      </c>
      <c r="J803" s="9" t="inlineStr">
        <is>
          <t>oz</t>
        </is>
      </c>
      <c r="K803" s="9" t="n">
        <v>4.79</v>
      </c>
    </row>
    <row r="804" ht="15" customFormat="1" customHeight="1" s="5">
      <c r="A804" s="81" t="n">
        <v>45956</v>
      </c>
      <c r="B804" s="82" t="n">
        <v>0.7166666666666667</v>
      </c>
      <c r="C804" s="5" t="inlineStr">
        <is>
          <t>Costco</t>
        </is>
      </c>
      <c r="E804" s="5" t="n">
        <v>1</v>
      </c>
      <c r="F804" s="6" t="inlineStr">
        <is>
          <t>439 205 270 705</t>
        </is>
      </c>
      <c r="G804" s="15" t="inlineStr">
        <is>
          <t>363391</t>
        </is>
      </c>
      <c r="H804" s="9" t="inlineStr">
        <is>
          <t>**DISCOUNT** /56366 Raspberries</t>
        </is>
      </c>
      <c r="I804" s="9" t="n">
        <v>12</v>
      </c>
      <c r="J804" s="9" t="inlineStr">
        <is>
          <t>oz</t>
        </is>
      </c>
      <c r="K804" s="9" t="inlineStr">
        <is>
          <t>1.00-</t>
        </is>
      </c>
    </row>
    <row r="805" ht="15" customFormat="1" customHeight="1" s="5">
      <c r="A805" s="81" t="n">
        <v>45956</v>
      </c>
      <c r="B805" s="82" t="n">
        <v>0.7166666666666667</v>
      </c>
      <c r="C805" s="5" t="inlineStr">
        <is>
          <t>Costco</t>
        </is>
      </c>
      <c r="E805" s="5" t="n">
        <v>1</v>
      </c>
      <c r="F805" s="6" t="inlineStr">
        <is>
          <t>439 205 270 705</t>
        </is>
      </c>
      <c r="G805" s="15" t="inlineStr">
        <is>
          <t>1336068</t>
        </is>
      </c>
      <c r="H805" s="9" t="inlineStr">
        <is>
          <t>Butter Croissants, 12 count</t>
        </is>
      </c>
      <c r="I805" s="9" t="n">
        <v>1.75</v>
      </c>
      <c r="J805" s="9" t="inlineStr">
        <is>
          <t>lb</t>
        </is>
      </c>
      <c r="K805" s="9" t="n">
        <v>5.99</v>
      </c>
    </row>
    <row r="806" ht="15" customFormat="1" customHeight="1" s="5">
      <c r="A806" s="81" t="n">
        <v>45956</v>
      </c>
      <c r="B806" s="82" t="n">
        <v>0.7166666666666667</v>
      </c>
      <c r="C806" s="5" t="inlineStr">
        <is>
          <t>Costco</t>
        </is>
      </c>
      <c r="E806" s="5" t="n">
        <v>1</v>
      </c>
      <c r="F806" s="6" t="inlineStr">
        <is>
          <t>439 205 270 705</t>
        </is>
      </c>
      <c r="G806" s="15" t="inlineStr">
        <is>
          <t>1968954</t>
        </is>
      </c>
      <c r="H806" s="9" t="inlineStr">
        <is>
          <t>Sea Salt Pita Chips, Cedar Valley</t>
        </is>
      </c>
      <c r="I806" s="9" t="n">
        <v>26.8</v>
      </c>
      <c r="J806" s="9" t="inlineStr">
        <is>
          <t>oz</t>
        </is>
      </c>
      <c r="K806" s="9" t="inlineStr">
        <is>
          <t>7.99 EF</t>
        </is>
      </c>
    </row>
    <row r="807" ht="15" customFormat="1" customHeight="1" s="5">
      <c r="A807" s="81" t="n">
        <v>45956</v>
      </c>
      <c r="B807" s="82" t="n">
        <v>0.7166666666666667</v>
      </c>
      <c r="C807" s="5" t="inlineStr">
        <is>
          <t>Costco</t>
        </is>
      </c>
      <c r="E807" s="5" t="n">
        <v>1</v>
      </c>
      <c r="F807" s="6" t="inlineStr">
        <is>
          <t>439 205 270 705</t>
        </is>
      </c>
      <c r="G807" s="10" t="n"/>
      <c r="H807" s="9" t="inlineStr">
        <is>
          <t>Tax E 3.75%</t>
        </is>
      </c>
      <c r="I807" s="9" t="n">
        <v>26.8</v>
      </c>
      <c r="J807" s="9" t="inlineStr">
        <is>
          <t>oz</t>
        </is>
      </c>
      <c r="K807" s="9" t="n">
        <v>0.3</v>
      </c>
    </row>
    <row r="808" ht="15" customFormat="1" customHeight="1" s="5">
      <c r="A808" s="81" t="n">
        <v>45956</v>
      </c>
      <c r="B808" s="82" t="n">
        <v>0.7166666666666667</v>
      </c>
      <c r="C808" s="5" t="inlineStr">
        <is>
          <t>Costco</t>
        </is>
      </c>
      <c r="E808" s="5" t="n">
        <v>1</v>
      </c>
      <c r="F808" s="6" t="inlineStr">
        <is>
          <t>439 205 270 705</t>
        </is>
      </c>
      <c r="G808" s="10" t="n"/>
      <c r="H808" s="9" t="inlineStr">
        <is>
          <t>Tax F 4.00%</t>
        </is>
      </c>
      <c r="I808" s="9" t="n">
        <v>26.8</v>
      </c>
      <c r="J808" s="9" t="inlineStr">
        <is>
          <t>oz</t>
        </is>
      </c>
      <c r="K808" s="9" t="n">
        <v>0.32</v>
      </c>
    </row>
    <row r="809" ht="15" customFormat="1" customHeight="1" s="5">
      <c r="A809" s="81" t="n">
        <v>45956</v>
      </c>
      <c r="B809" s="78" t="n">
        <v>0.6770833333333334</v>
      </c>
      <c r="C809" s="5" t="inlineStr">
        <is>
          <t>Panera Bread</t>
        </is>
      </c>
      <c r="D809" s="5" t="n">
        <v>1</v>
      </c>
      <c r="F809" s="6" t="inlineStr">
        <is>
          <t>#6051716004219080</t>
        </is>
      </c>
      <c r="G809" s="15" t="n"/>
      <c r="H809" s="9" t="inlineStr">
        <is>
          <t>Pick 2: Half tuna salad, Hearty Fireside Chili, chips</t>
        </is>
      </c>
      <c r="I809" s="9" t="n">
        <v>3</v>
      </c>
      <c r="J809" s="9" t="inlineStr">
        <is>
          <t>cnt</t>
        </is>
      </c>
      <c r="K809" s="9" t="n">
        <v>12.48</v>
      </c>
    </row>
    <row r="810" ht="15" customFormat="1" customHeight="1" s="5">
      <c r="A810" s="81" t="n">
        <v>45956</v>
      </c>
      <c r="B810" s="78" t="n">
        <v>0.6770833333333334</v>
      </c>
      <c r="C810" s="5" t="inlineStr">
        <is>
          <t>Panera Bread</t>
        </is>
      </c>
      <c r="D810" s="5" t="n">
        <v>1</v>
      </c>
      <c r="F810" s="6" t="inlineStr">
        <is>
          <t>#6051716004219080</t>
        </is>
      </c>
      <c r="G810" s="15" t="n"/>
      <c r="H810" s="9" t="inlineStr">
        <is>
          <t>Toasted Italiano: Focaccia, cucumber, light basil, zesty sweet peppers, arugula, cilantro, caramelized onions + CHIPS</t>
        </is>
      </c>
      <c r="I810" s="9" t="n">
        <v>2</v>
      </c>
      <c r="J810" s="9" t="inlineStr">
        <is>
          <t>cnt</t>
        </is>
      </c>
      <c r="K810" s="9" t="n">
        <v>14.39</v>
      </c>
    </row>
    <row r="811" ht="15" customFormat="1" customHeight="1" s="5">
      <c r="A811" s="81" t="n">
        <v>45956</v>
      </c>
      <c r="B811" s="78" t="n">
        <v>0.6770833333333334</v>
      </c>
      <c r="C811" s="5" t="inlineStr">
        <is>
          <t>Panera Bread</t>
        </is>
      </c>
      <c r="D811" s="5" t="n">
        <v>1</v>
      </c>
      <c r="F811" s="6" t="inlineStr">
        <is>
          <t>#6051716004219080</t>
        </is>
      </c>
      <c r="G811" s="15" t="n"/>
      <c r="H811" s="9" t="inlineStr">
        <is>
          <t>Cranberry Walnut Chicken Salad: focaccia, sliced tomatoes, basil, cilantro, roasted corn, extra cucumber + CHIPS</t>
        </is>
      </c>
      <c r="I811" s="9" t="n">
        <v>2</v>
      </c>
      <c r="J811" s="9" t="inlineStr">
        <is>
          <t>cnt</t>
        </is>
      </c>
      <c r="K811" s="9" t="n">
        <v>11.79</v>
      </c>
    </row>
    <row r="812" ht="15" customFormat="1" customHeight="1" s="5">
      <c r="A812" s="81" t="n">
        <v>45956</v>
      </c>
      <c r="B812" s="78" t="n">
        <v>0.6770833333333334</v>
      </c>
      <c r="C812" s="5" t="inlineStr">
        <is>
          <t>Panera Bread</t>
        </is>
      </c>
      <c r="D812" s="5" t="n">
        <v>1</v>
      </c>
      <c r="F812" s="6" t="inlineStr">
        <is>
          <t>#6051716004219080</t>
        </is>
      </c>
      <c r="G812" s="15" t="n"/>
      <c r="H812" s="9" t="inlineStr">
        <is>
          <t>BOGO5</t>
        </is>
      </c>
      <c r="I812" s="9" t="n">
        <v>1</v>
      </c>
      <c r="J812" s="9" t="inlineStr">
        <is>
          <t>cnt</t>
        </is>
      </c>
      <c r="K812" s="9" t="n">
        <v>-6.79</v>
      </c>
    </row>
    <row r="813" ht="15" customFormat="1" customHeight="1" s="5">
      <c r="A813" s="81" t="n">
        <v>45956</v>
      </c>
      <c r="B813" s="78" t="n">
        <v>0.6770833333333334</v>
      </c>
      <c r="C813" s="5" t="inlineStr">
        <is>
          <t>Panera Bread</t>
        </is>
      </c>
      <c r="D813" s="5" t="n">
        <v>1</v>
      </c>
      <c r="F813" s="6" t="inlineStr">
        <is>
          <t>#6051716004219080</t>
        </is>
      </c>
      <c r="G813" s="15" t="n"/>
      <c r="H813" s="9" t="inlineStr">
        <is>
          <t>Tax</t>
        </is>
      </c>
      <c r="I813" s="9" t="n">
        <v>3</v>
      </c>
      <c r="J813" s="9" t="inlineStr">
        <is>
          <t>cnt</t>
        </is>
      </c>
      <c r="K813" s="9" t="n">
        <v>2.55</v>
      </c>
    </row>
    <row r="814" ht="15" customFormat="1" customHeight="1" s="5">
      <c r="A814" s="81" t="n">
        <v>45956</v>
      </c>
      <c r="B814" s="78" t="n">
        <v>0.5444444444444444</v>
      </c>
      <c r="C814" s="5" t="inlineStr">
        <is>
          <t>Amazon</t>
        </is>
      </c>
      <c r="E814" s="5" t="n">
        <v>1</v>
      </c>
      <c r="F814" s="6" t="inlineStr">
        <is>
          <t>111-7790114-3814633</t>
        </is>
      </c>
      <c r="G814" s="15" t="n"/>
      <c r="H814" s="18" t="inlineStr">
        <is>
          <t>Maxblue Replacement for GE® RPWFE®, RPWF (with CHIP) Refrigerator Water Filter, Compatible with WSG-4, WF277, GFE28GMKES, PFE28KBLTS, GFD28GSLSS, PWE23KSKSS, GYE22HMKES, DFE28JSKSS, 3 Filters</t>
        </is>
      </c>
      <c r="I814" s="9" t="n">
        <v>3</v>
      </c>
      <c r="J814" s="9" t="inlineStr">
        <is>
          <t>cnt</t>
        </is>
      </c>
      <c r="K814" s="9" t="n">
        <v>71.12</v>
      </c>
    </row>
    <row r="815" ht="15" customFormat="1" customHeight="1" s="5">
      <c r="A815" s="81" t="n">
        <v>45956</v>
      </c>
      <c r="B815" s="78" t="n">
        <v>0.5444444444444444</v>
      </c>
      <c r="C815" s="5" t="inlineStr">
        <is>
          <t>Amazon</t>
        </is>
      </c>
      <c r="E815" s="5" t="n">
        <v>1</v>
      </c>
      <c r="F815" s="6" t="inlineStr">
        <is>
          <t>111-7790114-3814633</t>
        </is>
      </c>
      <c r="G815" s="15" t="n"/>
      <c r="H815" s="9" t="inlineStr">
        <is>
          <t>**DISCOUNT** Subscribe &amp; Save</t>
        </is>
      </c>
      <c r="I815" s="9" t="n">
        <v>1</v>
      </c>
      <c r="J815" s="9" t="inlineStr">
        <is>
          <t>cnt</t>
        </is>
      </c>
      <c r="K815" s="9" t="n">
        <v>-3.56</v>
      </c>
    </row>
    <row r="816" ht="15" customFormat="1" customHeight="1" s="5">
      <c r="A816" s="81" t="n">
        <v>45956</v>
      </c>
      <c r="B816" s="78" t="n">
        <v>0.5444444444444444</v>
      </c>
      <c r="C816" s="5" t="inlineStr">
        <is>
          <t>Amazon</t>
        </is>
      </c>
      <c r="E816" s="5" t="n">
        <v>1</v>
      </c>
      <c r="F816" s="6" t="inlineStr">
        <is>
          <t>111-7790114-3814633</t>
        </is>
      </c>
      <c r="G816" s="15" t="n"/>
      <c r="H816" s="9" t="inlineStr">
        <is>
          <t>Tax</t>
        </is>
      </c>
      <c r="I816" s="9" t="n">
        <v>1</v>
      </c>
      <c r="J816" s="9" t="inlineStr">
        <is>
          <t>cnt</t>
        </is>
      </c>
      <c r="K816" s="9" t="n">
        <v>5.4</v>
      </c>
    </row>
    <row r="817" ht="15" customFormat="1" customHeight="1" s="5">
      <c r="A817" s="81" t="n">
        <v>45955</v>
      </c>
      <c r="B817" s="82" t="n">
        <v>0.7106828703703704</v>
      </c>
      <c r="C817" s="5" t="inlineStr">
        <is>
          <t>Outback Steakhouse</t>
        </is>
      </c>
      <c r="D817" s="5" t="n">
        <v>1</v>
      </c>
      <c r="F817" s="6" t="inlineStr">
        <is>
          <t>39055801796558856</t>
        </is>
      </c>
      <c r="G817" s="10" t="n"/>
      <c r="H817" s="9" t="inlineStr">
        <is>
          <t>Kookaburra Wings + Aussie Fries</t>
        </is>
      </c>
      <c r="I817" s="9" t="n">
        <v>1</v>
      </c>
      <c r="J817" s="9" t="inlineStr">
        <is>
          <t>cnt</t>
        </is>
      </c>
      <c r="K817" s="9" t="n">
        <v>17.99</v>
      </c>
    </row>
    <row r="818" ht="15" customFormat="1" customHeight="1" s="5">
      <c r="A818" s="81" t="n">
        <v>45955</v>
      </c>
      <c r="B818" s="82" t="n">
        <v>0.7106828703703704</v>
      </c>
      <c r="C818" s="5" t="inlineStr">
        <is>
          <t>Outback Steakhouse</t>
        </is>
      </c>
      <c r="D818" s="5" t="n">
        <v>1</v>
      </c>
      <c r="F818" s="6" t="inlineStr">
        <is>
          <t>39055801796558856</t>
        </is>
      </c>
      <c r="G818" s="10" t="n"/>
      <c r="H818" s="9" t="inlineStr">
        <is>
          <t>Grilled Shrimp + sweet potato + aussie fries no seasoning</t>
        </is>
      </c>
      <c r="I818" s="9" t="n">
        <v>1</v>
      </c>
      <c r="J818" s="9" t="inlineStr">
        <is>
          <t>cnt</t>
        </is>
      </c>
      <c r="K818" s="9" t="n">
        <v>27.49</v>
      </c>
    </row>
    <row r="819" ht="15" customFormat="1" customHeight="1" s="5">
      <c r="A819" s="81" t="n">
        <v>45955</v>
      </c>
      <c r="B819" s="82" t="n">
        <v>0.7106828703703704</v>
      </c>
      <c r="C819" s="5" t="inlineStr">
        <is>
          <t>Outback Steakhouse</t>
        </is>
      </c>
      <c r="D819" s="5" t="n">
        <v>1</v>
      </c>
      <c r="F819" s="6" t="inlineStr">
        <is>
          <t>39055801796558856</t>
        </is>
      </c>
      <c r="G819" s="10" t="n"/>
      <c r="H819" s="9" t="inlineStr">
        <is>
          <t>Tax</t>
        </is>
      </c>
      <c r="I819" s="9" t="n">
        <v>2</v>
      </c>
      <c r="J819" s="9" t="inlineStr">
        <is>
          <t>cnt</t>
        </is>
      </c>
      <c r="K819" s="9" t="n">
        <v>3.64</v>
      </c>
    </row>
    <row r="820" ht="15" customFormat="1" customHeight="1" s="5">
      <c r="A820" s="81" t="n">
        <v>45955</v>
      </c>
      <c r="B820" s="82" t="n">
        <v>0.7106828703703704</v>
      </c>
      <c r="C820" s="5" t="inlineStr">
        <is>
          <t>Outback Steakhouse</t>
        </is>
      </c>
      <c r="D820" s="5" t="n">
        <v>1</v>
      </c>
      <c r="F820" s="6" t="inlineStr">
        <is>
          <t>39055801796558856</t>
        </is>
      </c>
      <c r="G820" s="10" t="n"/>
      <c r="H820" s="9" t="inlineStr">
        <is>
          <t>Outback Gift Card ($100 Carol, $leftover from Diane)</t>
        </is>
      </c>
      <c r="I820" s="9" t="n">
        <v>2</v>
      </c>
      <c r="J820" s="9" t="inlineStr">
        <is>
          <t>cnt</t>
        </is>
      </c>
      <c r="K820" s="9" t="n">
        <v>-49.12</v>
      </c>
    </row>
    <row r="821" ht="15" customFormat="1" customHeight="1" s="5">
      <c r="A821" s="81" t="n">
        <v>45955</v>
      </c>
      <c r="B821" s="82" t="n">
        <v>0.5048611111111111</v>
      </c>
      <c r="C821" s="5" t="inlineStr">
        <is>
          <t>Tiny Explorings [SCAM]</t>
        </is>
      </c>
      <c r="D821" s="5" t="n">
        <v>1</v>
      </c>
      <c r="F821" s="6" t="inlineStr">
        <is>
          <t>6LV31777CK906110G</t>
        </is>
      </c>
      <c r="G821" s="10" t="n"/>
      <c r="H821" s="9" t="inlineStr">
        <is>
          <t>Tiny Explorings™ [Free Today] - Light Grey With Peach Stripes / 12-18 Months</t>
        </is>
      </c>
      <c r="I821" s="9" t="n">
        <v>1</v>
      </c>
      <c r="J821" s="9" t="inlineStr">
        <is>
          <t>cnt</t>
        </is>
      </c>
      <c r="K821" s="85" t="n">
        <v>0</v>
      </c>
    </row>
    <row r="822" ht="15" customFormat="1" customHeight="1" s="5">
      <c r="A822" s="81" t="n">
        <v>45955</v>
      </c>
      <c r="B822" s="82" t="n">
        <v>0.5048611111111111</v>
      </c>
      <c r="C822" s="5" t="inlineStr">
        <is>
          <t>Tiny Explorings [SCAM]</t>
        </is>
      </c>
      <c r="D822" s="5" t="n">
        <v>1</v>
      </c>
      <c r="F822" s="6" t="inlineStr">
        <is>
          <t>6LV31777CK906110G</t>
        </is>
      </c>
      <c r="G822" s="10" t="n"/>
      <c r="H822" s="9" t="inlineStr">
        <is>
          <t>Tiny Explorings™ [Free Today] - Giraffe Brown / 12-18 Months</t>
        </is>
      </c>
      <c r="I822" s="9" t="n">
        <v>1</v>
      </c>
      <c r="J822" s="9" t="inlineStr">
        <is>
          <t>cnt</t>
        </is>
      </c>
      <c r="K822" s="85" t="n">
        <v>0</v>
      </c>
    </row>
    <row r="823" ht="15" customFormat="1" customHeight="1" s="5">
      <c r="A823" s="81" t="n">
        <v>45955</v>
      </c>
      <c r="B823" s="82" t="n">
        <v>0.5048611111111111</v>
      </c>
      <c r="C823" s="5" t="inlineStr">
        <is>
          <t>Tiny Explorings [SCAM]</t>
        </is>
      </c>
      <c r="D823" s="5" t="n">
        <v>1</v>
      </c>
      <c r="F823" s="6" t="inlineStr">
        <is>
          <t>6LV31777CK906110G</t>
        </is>
      </c>
      <c r="G823" s="10" t="n"/>
      <c r="H823" s="9" t="inlineStr">
        <is>
          <t>Tiny Explorings™ [Free Today] - Grey / 12-18 Months</t>
        </is>
      </c>
      <c r="I823" s="9" t="n">
        <v>1</v>
      </c>
      <c r="J823" s="9" t="inlineStr">
        <is>
          <t>cnt</t>
        </is>
      </c>
      <c r="K823" s="85" t="n">
        <v>0</v>
      </c>
    </row>
    <row r="824" ht="15" customFormat="1" customHeight="1" s="5">
      <c r="A824" s="81" t="n">
        <v>45955</v>
      </c>
      <c r="B824" s="82" t="n">
        <v>0.5048611111111111</v>
      </c>
      <c r="C824" s="5" t="inlineStr">
        <is>
          <t>Tiny Explorings [SCAM]</t>
        </is>
      </c>
      <c r="D824" s="5" t="n">
        <v>1</v>
      </c>
      <c r="F824" s="6" t="inlineStr">
        <is>
          <t>6LV31777CK906110G</t>
        </is>
      </c>
      <c r="G824" s="10" t="n"/>
      <c r="H824" s="9" t="inlineStr">
        <is>
          <t>Shipping</t>
        </is>
      </c>
      <c r="I824" s="9" t="n">
        <v>3</v>
      </c>
      <c r="J824" s="9" t="inlineStr">
        <is>
          <t>cnt</t>
        </is>
      </c>
      <c r="K824" s="85" t="n">
        <v>26.99</v>
      </c>
    </row>
    <row r="825" ht="15" customFormat="1" customHeight="1" s="5">
      <c r="A825" s="81" t="n">
        <v>45955</v>
      </c>
      <c r="B825" s="82" t="n">
        <v>0.3347222222222222</v>
      </c>
      <c r="C825" s="5" t="inlineStr">
        <is>
          <t>Walmart</t>
        </is>
      </c>
      <c r="D825" s="5" t="n">
        <v>1</v>
      </c>
      <c r="F825" s="6" t="inlineStr">
        <is>
          <t># 2000139-48310489</t>
        </is>
      </c>
      <c r="G825" s="10" t="n"/>
      <c r="H825" s="9" t="inlineStr">
        <is>
          <t>Fresh Banana, Each; 5 COUNT; 54.0¢/lb</t>
        </is>
      </c>
      <c r="I825" s="9" t="n">
        <v>2</v>
      </c>
      <c r="J825" s="9" t="inlineStr">
        <is>
          <t>lb</t>
        </is>
      </c>
      <c r="K825" s="9" t="n">
        <v>1.08</v>
      </c>
    </row>
    <row r="826" ht="15" customFormat="1" customHeight="1" s="5">
      <c r="A826" s="81" t="n">
        <v>45955</v>
      </c>
      <c r="B826" s="82" t="n">
        <v>0.3347222222222222</v>
      </c>
      <c r="C826" s="5" t="inlineStr">
        <is>
          <t>Walmart</t>
        </is>
      </c>
      <c r="D826" s="5" t="n">
        <v>1</v>
      </c>
      <c r="F826" s="6" t="inlineStr">
        <is>
          <t># 2000139-48310489</t>
        </is>
      </c>
      <c r="G826" s="10" t="n"/>
      <c r="H826" s="9" t="inlineStr">
        <is>
          <t>King Oscar Wild Caught Sardines in Extra Virgin Olive Oil 3.75 oz 95.5¢/oz</t>
        </is>
      </c>
      <c r="I826" s="9" t="n">
        <v>3.75</v>
      </c>
      <c r="J826" s="9" t="inlineStr">
        <is>
          <t>oz</t>
        </is>
      </c>
      <c r="K826" s="9" t="n">
        <v>3.58</v>
      </c>
    </row>
    <row r="827" ht="15" customFormat="1" customHeight="1" s="5">
      <c r="A827" s="81" t="n">
        <v>45955</v>
      </c>
      <c r="B827" s="82" t="n">
        <v>0.3347222222222222</v>
      </c>
      <c r="C827" s="5" t="inlineStr">
        <is>
          <t>Walmart</t>
        </is>
      </c>
      <c r="D827" s="5" t="n">
        <v>1</v>
      </c>
      <c r="F827" s="6" t="inlineStr">
        <is>
          <t># 2000139-48310489</t>
        </is>
      </c>
      <c r="G827" s="10" t="n"/>
      <c r="H827" s="9" t="inlineStr">
        <is>
          <t>King Oscar Wild Caught Sardines in Extra Virgin Olive Oil 3.75 oz 95.5¢/oz</t>
        </is>
      </c>
      <c r="I827" s="9" t="n">
        <v>3.75</v>
      </c>
      <c r="J827" s="9" t="inlineStr">
        <is>
          <t>oz</t>
        </is>
      </c>
      <c r="K827" s="9" t="n">
        <v>3.58</v>
      </c>
    </row>
    <row r="828" ht="15" customFormat="1" customHeight="1" s="5">
      <c r="A828" s="81" t="n">
        <v>45955</v>
      </c>
      <c r="B828" s="82" t="n">
        <v>0.3347222222222222</v>
      </c>
      <c r="C828" s="5" t="inlineStr">
        <is>
          <t>Walmart</t>
        </is>
      </c>
      <c r="D828" s="5" t="n">
        <v>1</v>
      </c>
      <c r="F828" s="6" t="inlineStr">
        <is>
          <t># 2000139-48310489</t>
        </is>
      </c>
      <c r="G828" s="10" t="n"/>
      <c r="H828" s="9" t="inlineStr">
        <is>
          <t>King Oscar Wild Caught Sardines in Extra Virgin Olive Oil 3.75 oz 95.5¢/oz</t>
        </is>
      </c>
      <c r="I828" s="9" t="n">
        <v>3.75</v>
      </c>
      <c r="J828" s="9" t="inlineStr">
        <is>
          <t>oz</t>
        </is>
      </c>
      <c r="K828" s="9" t="n">
        <v>3.58</v>
      </c>
    </row>
    <row r="829" ht="15" customFormat="1" customHeight="1" s="5">
      <c r="A829" s="81" t="n">
        <v>45955</v>
      </c>
      <c r="B829" s="82" t="n">
        <v>0.3347222222222222</v>
      </c>
      <c r="C829" s="5" t="inlineStr">
        <is>
          <t>Walmart</t>
        </is>
      </c>
      <c r="D829" s="5" t="n">
        <v>1</v>
      </c>
      <c r="F829" s="6" t="inlineStr">
        <is>
          <t># 2000139-48310489</t>
        </is>
      </c>
      <c r="G829" s="10" t="n"/>
      <c r="H829" s="9" t="inlineStr">
        <is>
          <t>Great Value Blueberries, 48 oz (Frozen) 16.3¢/oz</t>
        </is>
      </c>
      <c r="I829" s="9" t="n">
        <v>48</v>
      </c>
      <c r="J829" s="9" t="inlineStr">
        <is>
          <t>oz</t>
        </is>
      </c>
      <c r="K829" s="9" t="n">
        <v>7.82</v>
      </c>
    </row>
    <row r="830" ht="15" customFormat="1" customHeight="1" s="5">
      <c r="A830" s="81" t="n">
        <v>45955</v>
      </c>
      <c r="B830" s="82" t="n">
        <v>0.3347222222222222</v>
      </c>
      <c r="C830" s="5" t="inlineStr">
        <is>
          <t>Walmart</t>
        </is>
      </c>
      <c r="D830" s="5" t="n">
        <v>1</v>
      </c>
      <c r="F830" s="6" t="inlineStr">
        <is>
          <t># 2000139-48310489</t>
        </is>
      </c>
      <c r="G830" s="10" t="n"/>
      <c r="H830" s="9" t="inlineStr">
        <is>
          <t>M&amp;M's Peanut Milk Chocolate Candy Theater Box - 3.1 oz Box
Size: 3.1 oz 40.0¢/oz</t>
        </is>
      </c>
      <c r="I830" s="9" t="n">
        <v>3.1</v>
      </c>
      <c r="J830" s="9" t="inlineStr">
        <is>
          <t>oz</t>
        </is>
      </c>
      <c r="K830" s="9" t="n">
        <v>1.24</v>
      </c>
    </row>
    <row r="831" ht="15" customFormat="1" customHeight="1" s="5">
      <c r="A831" s="81" t="n">
        <v>45955</v>
      </c>
      <c r="B831" s="82" t="n">
        <v>0.3347222222222222</v>
      </c>
      <c r="C831" s="5" t="inlineStr">
        <is>
          <t>Walmart</t>
        </is>
      </c>
      <c r="D831" s="5" t="n">
        <v>1</v>
      </c>
      <c r="F831" s="6" t="inlineStr">
        <is>
          <t># 2000139-48310489</t>
        </is>
      </c>
      <c r="G831" s="10" t="n"/>
      <c r="H831" s="9" t="inlineStr">
        <is>
          <t>Great Value Zucchini Blend, 10 oz (Frozen) 19.2¢/oz</t>
        </is>
      </c>
      <c r="I831" s="9" t="n">
        <v>10</v>
      </c>
      <c r="J831" s="9" t="inlineStr">
        <is>
          <t>oz</t>
        </is>
      </c>
      <c r="K831" s="9" t="n">
        <v>1.92</v>
      </c>
    </row>
    <row r="832" ht="15" customFormat="1" customHeight="1" s="5">
      <c r="A832" s="81" t="n">
        <v>45955</v>
      </c>
      <c r="B832" s="82" t="n">
        <v>0.3347222222222222</v>
      </c>
      <c r="C832" s="5" t="inlineStr">
        <is>
          <t>Walmart</t>
        </is>
      </c>
      <c r="D832" s="5" t="n">
        <v>1</v>
      </c>
      <c r="F832" s="6" t="inlineStr">
        <is>
          <t># 2000139-48310489</t>
        </is>
      </c>
      <c r="G832" s="10" t="n"/>
      <c r="H832" s="9" t="inlineStr">
        <is>
          <t>Great Value Zucchini Blend, 10 oz (Frozen) 19.2¢/oz</t>
        </is>
      </c>
      <c r="I832" s="9" t="n">
        <v>10</v>
      </c>
      <c r="J832" s="9" t="inlineStr">
        <is>
          <t>oz</t>
        </is>
      </c>
      <c r="K832" s="9" t="n">
        <v>1.92</v>
      </c>
    </row>
    <row r="833" ht="15" customFormat="1" customHeight="1" s="5">
      <c r="A833" s="81" t="n">
        <v>45955</v>
      </c>
      <c r="B833" s="82" t="n">
        <v>0.3347222222222222</v>
      </c>
      <c r="C833" s="5" t="inlineStr">
        <is>
          <t>Walmart</t>
        </is>
      </c>
      <c r="D833" s="5" t="n">
        <v>1</v>
      </c>
      <c r="F833" s="6" t="inlineStr">
        <is>
          <t># 2000139-48310489</t>
        </is>
      </c>
      <c r="G833" s="10" t="n"/>
      <c r="H833" s="9" t="inlineStr">
        <is>
          <t>Great Value Frozen Peas &amp; Carrots, Gluten-Free, 12 oz Steamable Bag 8.2¢/oz</t>
        </is>
      </c>
      <c r="I833" s="9" t="n">
        <v>12</v>
      </c>
      <c r="J833" s="9" t="inlineStr">
        <is>
          <t>oz</t>
        </is>
      </c>
      <c r="K833" s="9" t="n">
        <v>0.98</v>
      </c>
    </row>
    <row r="834" ht="15" customFormat="1" customHeight="1" s="5">
      <c r="A834" s="81" t="n">
        <v>45955</v>
      </c>
      <c r="B834" s="82" t="n">
        <v>0.3347222222222222</v>
      </c>
      <c r="C834" s="5" t="inlineStr">
        <is>
          <t>Walmart</t>
        </is>
      </c>
      <c r="D834" s="5" t="n">
        <v>1</v>
      </c>
      <c r="F834" s="6" t="inlineStr">
        <is>
          <t># 2000139-48310489</t>
        </is>
      </c>
      <c r="G834" s="10" t="n"/>
      <c r="H834" s="9" t="inlineStr">
        <is>
          <t>Great Value Frozen Peas &amp; Carrots, Gluten-Free, 12 oz Steamable Bag 8.2¢/oz</t>
        </is>
      </c>
      <c r="I834" s="9" t="n">
        <v>12</v>
      </c>
      <c r="J834" s="9" t="inlineStr">
        <is>
          <t>oz</t>
        </is>
      </c>
      <c r="K834" s="9" t="n">
        <v>0.98</v>
      </c>
    </row>
    <row r="835" ht="15" customFormat="1" customHeight="1" s="5">
      <c r="A835" s="81" t="n">
        <v>45955</v>
      </c>
      <c r="B835" s="82" t="n">
        <v>0.3347222222222222</v>
      </c>
      <c r="C835" s="5" t="inlineStr">
        <is>
          <t>Walmart</t>
        </is>
      </c>
      <c r="D835" s="5" t="n">
        <v>1</v>
      </c>
      <c r="F835" s="6" t="inlineStr">
        <is>
          <t># 2000139-48310489</t>
        </is>
      </c>
      <c r="G835" s="10" t="n"/>
      <c r="H835" s="9" t="inlineStr">
        <is>
          <t>Great Value Rosemary Leaves, 0.8 oz $3.18/oz</t>
        </is>
      </c>
      <c r="I835" s="9" t="n">
        <v>0.8</v>
      </c>
      <c r="J835" s="9" t="inlineStr">
        <is>
          <t>oz</t>
        </is>
      </c>
      <c r="K835" s="9" t="n">
        <v>2.54</v>
      </c>
    </row>
    <row r="836" ht="15" customFormat="1" customHeight="1" s="5">
      <c r="A836" s="81" t="n">
        <v>45955</v>
      </c>
      <c r="B836" s="82" t="n">
        <v>0.3347222222222222</v>
      </c>
      <c r="C836" s="5" t="inlineStr">
        <is>
          <t>Walmart</t>
        </is>
      </c>
      <c r="D836" s="5" t="n">
        <v>1</v>
      </c>
      <c r="F836" s="6" t="inlineStr">
        <is>
          <t># 2000139-48310489</t>
        </is>
      </c>
      <c r="G836" s="10" t="n"/>
      <c r="H836" s="9" t="inlineStr">
        <is>
          <t>(4 pack) Equate Baby Petroleum Jelly Tube, 2.5 oz, Compare to Vaseline® 75.2¢/oz</t>
        </is>
      </c>
      <c r="I836" s="9" t="n">
        <v>10</v>
      </c>
      <c r="J836" s="9" t="inlineStr">
        <is>
          <t>fl oz</t>
        </is>
      </c>
      <c r="K836" s="9" t="n">
        <v>7.52</v>
      </c>
    </row>
    <row r="837" ht="15" customFormat="1" customHeight="1" s="5">
      <c r="A837" s="81" t="n">
        <v>45955</v>
      </c>
      <c r="B837" s="82" t="n">
        <v>0.3347222222222222</v>
      </c>
      <c r="C837" s="5" t="inlineStr">
        <is>
          <t>Walmart</t>
        </is>
      </c>
      <c r="D837" s="5" t="n">
        <v>1</v>
      </c>
      <c r="F837" s="6" t="inlineStr">
        <is>
          <t># 2000139-48310489</t>
        </is>
      </c>
      <c r="G837" s="10" t="n"/>
      <c r="H837" s="9" t="inlineStr">
        <is>
          <t>Co retail delivery fees</t>
        </is>
      </c>
      <c r="I837" s="9" t="n">
        <v>1</v>
      </c>
      <c r="J837" s="9" t="inlineStr">
        <is>
          <t>cnt</t>
        </is>
      </c>
      <c r="K837" s="9" t="n">
        <v>0.28</v>
      </c>
    </row>
    <row r="838" ht="15" customFormat="1" customHeight="1" s="5">
      <c r="A838" s="81" t="n">
        <v>45955</v>
      </c>
      <c r="B838" s="82" t="n">
        <v>0.3347222222222222</v>
      </c>
      <c r="C838" s="5" t="inlineStr">
        <is>
          <t>Walmart</t>
        </is>
      </c>
      <c r="D838" s="5" t="n">
        <v>1</v>
      </c>
      <c r="F838" s="6" t="inlineStr">
        <is>
          <t># 2000139-48310489</t>
        </is>
      </c>
      <c r="G838" s="10" t="n"/>
      <c r="H838" s="9" t="inlineStr">
        <is>
          <t>Bag Fee</t>
        </is>
      </c>
      <c r="I838" s="9" t="n">
        <v>3</v>
      </c>
      <c r="J838" s="9" t="inlineStr">
        <is>
          <t>cnt</t>
        </is>
      </c>
      <c r="K838" s="9" t="n">
        <v>0.3</v>
      </c>
    </row>
    <row r="839" ht="15" customFormat="1" customHeight="1" s="5">
      <c r="A839" s="81" t="n">
        <v>45955</v>
      </c>
      <c r="B839" s="82" t="n">
        <v>0.3347222222222222</v>
      </c>
      <c r="C839" s="5" t="inlineStr">
        <is>
          <t>Walmart</t>
        </is>
      </c>
      <c r="D839" s="5" t="n">
        <v>1</v>
      </c>
      <c r="F839" s="6" t="inlineStr">
        <is>
          <t># 2000139-48310489</t>
        </is>
      </c>
      <c r="G839" s="10" t="n"/>
      <c r="H839" s="9" t="inlineStr">
        <is>
          <t>3 Hours or Less Fee</t>
        </is>
      </c>
      <c r="I839" s="9" t="n">
        <v>1</v>
      </c>
      <c r="J839" s="9" t="inlineStr">
        <is>
          <t>cnt</t>
        </is>
      </c>
      <c r="K839" s="9" t="n">
        <v>5</v>
      </c>
    </row>
    <row r="840" ht="15" customFormat="1" customHeight="1" s="5">
      <c r="A840" s="81" t="n">
        <v>45955</v>
      </c>
      <c r="B840" s="82" t="n">
        <v>0.3347222222222222</v>
      </c>
      <c r="C840" s="5" t="inlineStr">
        <is>
          <t>Walmart</t>
        </is>
      </c>
      <c r="D840" s="5" t="n">
        <v>1</v>
      </c>
      <c r="F840" s="6" t="inlineStr">
        <is>
          <t># 2000139-48310489</t>
        </is>
      </c>
      <c r="G840" s="10" t="n"/>
      <c r="H840" s="9" t="inlineStr">
        <is>
          <t>Tax</t>
        </is>
      </c>
      <c r="I840" s="9" t="n">
        <v>16</v>
      </c>
      <c r="J840" s="9" t="inlineStr">
        <is>
          <t>cnt</t>
        </is>
      </c>
      <c r="K840" s="9" t="n">
        <v>1.06</v>
      </c>
    </row>
    <row r="841" ht="15" customFormat="1" customHeight="1" s="5">
      <c r="A841" s="81" t="n">
        <v>45955</v>
      </c>
      <c r="B841" s="82" t="n">
        <v>0.3347222222222222</v>
      </c>
      <c r="C841" s="5" t="inlineStr">
        <is>
          <t>Walmart</t>
        </is>
      </c>
      <c r="D841" s="5" t="n">
        <v>1</v>
      </c>
      <c r="F841" s="6" t="inlineStr">
        <is>
          <t># 2000139-48310489</t>
        </is>
      </c>
      <c r="G841" s="10" t="n"/>
      <c r="H841" s="9" t="inlineStr">
        <is>
          <t>Temporary Hold</t>
        </is>
      </c>
      <c r="I841" s="9" t="n">
        <v>1</v>
      </c>
      <c r="J841" s="9" t="inlineStr">
        <is>
          <t>cnt</t>
        </is>
      </c>
      <c r="K841" s="9" t="n">
        <v>2.33</v>
      </c>
    </row>
    <row r="842" ht="15" customFormat="1" customHeight="1" s="5">
      <c r="A842" s="81" t="n">
        <v>45955</v>
      </c>
      <c r="B842" s="82" t="n">
        <v>0.3347222222222222</v>
      </c>
      <c r="C842" s="5" t="inlineStr">
        <is>
          <t>Walmart</t>
        </is>
      </c>
      <c r="D842" s="5" t="n">
        <v>1</v>
      </c>
      <c r="F842" s="6" t="inlineStr">
        <is>
          <t># 2000139-48310489</t>
        </is>
      </c>
      <c r="G842" s="10" t="n"/>
      <c r="H842" s="9" t="inlineStr">
        <is>
          <t>Hold Refund</t>
        </is>
      </c>
      <c r="I842" s="9" t="n">
        <v>1</v>
      </c>
      <c r="J842" s="9" t="inlineStr">
        <is>
          <t>cnt</t>
        </is>
      </c>
      <c r="K842" s="9" t="n">
        <v>-2.33</v>
      </c>
    </row>
    <row r="843" ht="15" customFormat="1" customHeight="1" s="5">
      <c r="A843" s="81" t="n">
        <v>45953</v>
      </c>
      <c r="B843" s="78" t="n">
        <v>0.9006944444444445</v>
      </c>
      <c r="C843" s="5" t="inlineStr">
        <is>
          <t>Sprouts</t>
        </is>
      </c>
      <c r="E843" s="5" t="n">
        <v>1</v>
      </c>
      <c r="F843" s="6" t="inlineStr">
        <is>
          <t>3529</t>
        </is>
      </c>
      <c r="G843" s="15" t="n"/>
      <c r="H843" s="9" t="inlineStr">
        <is>
          <t xml:space="preserve">Cramp Bark </t>
        </is>
      </c>
      <c r="I843" s="9" t="n">
        <v>1</v>
      </c>
      <c r="J843" s="9" t="inlineStr">
        <is>
          <t>cnt</t>
        </is>
      </c>
      <c r="K843" s="9" t="n">
        <v>12.99</v>
      </c>
    </row>
    <row r="844" ht="15" customFormat="1" customHeight="1" s="5">
      <c r="A844" s="81" t="n">
        <v>45953</v>
      </c>
      <c r="B844" s="78" t="n">
        <v>0.9006944444444445</v>
      </c>
      <c r="C844" s="5" t="inlineStr">
        <is>
          <t>Sprouts</t>
        </is>
      </c>
      <c r="E844" s="5" t="n">
        <v>1</v>
      </c>
      <c r="F844" s="6" t="inlineStr">
        <is>
          <t>3529</t>
        </is>
      </c>
      <c r="G844" s="15" t="n"/>
      <c r="H844" s="9" t="inlineStr">
        <is>
          <t>Tax State/District</t>
        </is>
      </c>
      <c r="I844" s="9" t="n">
        <v>1</v>
      </c>
      <c r="J844" s="9" t="inlineStr">
        <is>
          <t>cnt</t>
        </is>
      </c>
      <c r="K844" s="9" t="n">
        <v>0.52</v>
      </c>
    </row>
    <row r="845" ht="15" customFormat="1" customHeight="1" s="5">
      <c r="A845" s="81" t="n">
        <v>45953</v>
      </c>
      <c r="B845" s="78" t="n">
        <v>0.9006944444444445</v>
      </c>
      <c r="C845" s="5" t="inlineStr">
        <is>
          <t>Sprouts</t>
        </is>
      </c>
      <c r="E845" s="5" t="n">
        <v>1</v>
      </c>
      <c r="F845" s="6" t="inlineStr">
        <is>
          <t>3529</t>
        </is>
      </c>
      <c r="G845" s="15" t="n"/>
      <c r="H845" s="9" t="inlineStr">
        <is>
          <t>Tax County</t>
        </is>
      </c>
      <c r="I845" s="9" t="n">
        <v>1</v>
      </c>
      <c r="J845" s="9" t="inlineStr">
        <is>
          <t>cnt</t>
        </is>
      </c>
      <c r="K845" s="9" t="n">
        <v>0.03</v>
      </c>
    </row>
    <row r="846" ht="15" customFormat="1" customHeight="1" s="5">
      <c r="A846" s="81" t="n">
        <v>45953</v>
      </c>
      <c r="B846" s="78" t="n">
        <v>0.9006944444444445</v>
      </c>
      <c r="C846" s="5" t="inlineStr">
        <is>
          <t>Sprouts</t>
        </is>
      </c>
      <c r="E846" s="5" t="n">
        <v>1</v>
      </c>
      <c r="F846" s="6" t="inlineStr">
        <is>
          <t>3529</t>
        </is>
      </c>
      <c r="G846" s="15" t="n"/>
      <c r="H846" s="9" t="inlineStr">
        <is>
          <t>Tax City</t>
        </is>
      </c>
      <c r="I846" s="9" t="n">
        <v>1</v>
      </c>
      <c r="J846" s="9" t="inlineStr">
        <is>
          <t>cnt</t>
        </is>
      </c>
      <c r="K846" s="9" t="n">
        <v>0.49</v>
      </c>
    </row>
    <row r="847" ht="15" customFormat="1" customHeight="1" s="5">
      <c r="A847" s="81" t="n">
        <v>45953</v>
      </c>
      <c r="B847" s="78" t="n">
        <v>0.9006944444444445</v>
      </c>
      <c r="C847" s="5" t="inlineStr">
        <is>
          <t>Sprouts</t>
        </is>
      </c>
      <c r="E847" s="5" t="n">
        <v>1</v>
      </c>
      <c r="F847" s="6" t="inlineStr">
        <is>
          <t>3529</t>
        </is>
      </c>
      <c r="G847" s="15" t="n"/>
      <c r="H847" s="9" t="inlineStr">
        <is>
          <t>PIF Tax</t>
        </is>
      </c>
      <c r="I847" s="9" t="n">
        <v>1</v>
      </c>
      <c r="J847" s="9" t="inlineStr">
        <is>
          <t>cnt</t>
        </is>
      </c>
      <c r="K847" s="9" t="n">
        <v>0.07000000000000001</v>
      </c>
    </row>
    <row r="848" ht="15" customFormat="1" customHeight="1" s="5">
      <c r="A848" s="81" t="n">
        <v>45953</v>
      </c>
      <c r="B848" s="82" t="n">
        <v>0.7451388888888889</v>
      </c>
      <c r="C848" s="5" t="inlineStr">
        <is>
          <t>Mt. Fuji Hibachi and Sushi</t>
        </is>
      </c>
      <c r="D848" s="5" t="n">
        <v>1</v>
      </c>
      <c r="F848" s="6" t="inlineStr">
        <is>
          <t>DoorDash_01</t>
        </is>
      </c>
      <c r="G848" s="10" t="n"/>
      <c r="H848" s="9" t="inlineStr">
        <is>
          <t>Salmon Lover Roll</t>
        </is>
      </c>
      <c r="I848" s="9" t="n">
        <v>1</v>
      </c>
      <c r="J848" s="9" t="inlineStr">
        <is>
          <t>cnt</t>
        </is>
      </c>
      <c r="K848" s="9" t="n">
        <v>22.75</v>
      </c>
    </row>
    <row r="849" ht="15" customFormat="1" customHeight="1" s="5">
      <c r="A849" s="81" t="n">
        <v>45953</v>
      </c>
      <c r="B849" s="82" t="n">
        <v>0.7451388888888889</v>
      </c>
      <c r="C849" s="5" t="inlineStr">
        <is>
          <t>Mt. Fuji Hibachi and Sushi</t>
        </is>
      </c>
      <c r="D849" s="5" t="n">
        <v>1</v>
      </c>
      <c r="F849" s="6" t="inlineStr">
        <is>
          <t>DoorDash_01</t>
        </is>
      </c>
      <c r="G849" s="10" t="n"/>
      <c r="H849" s="9" t="inlineStr">
        <is>
          <t>Alaska Roll</t>
        </is>
      </c>
      <c r="I849" s="9" t="n">
        <v>1</v>
      </c>
      <c r="J849" s="9" t="inlineStr">
        <is>
          <t>cnt</t>
        </is>
      </c>
      <c r="K849" s="9" t="n">
        <v>7.5</v>
      </c>
    </row>
    <row r="850" ht="15" customFormat="1" customHeight="1" s="5">
      <c r="A850" s="81" t="n">
        <v>45953</v>
      </c>
      <c r="B850" s="82" t="n">
        <v>0.7451388888888889</v>
      </c>
      <c r="C850" s="5" t="inlineStr">
        <is>
          <t>Mt. Fuji Hibachi and Sushi</t>
        </is>
      </c>
      <c r="D850" s="5" t="n">
        <v>1</v>
      </c>
      <c r="F850" s="6" t="inlineStr">
        <is>
          <t>DoorDash_01</t>
        </is>
      </c>
      <c r="G850" s="10" t="inlineStr">
        <is>
          <t>S06</t>
        </is>
      </c>
      <c r="H850" s="9" t="inlineStr">
        <is>
          <t>I Love Eel Roll</t>
        </is>
      </c>
      <c r="I850" s="9" t="n">
        <v>1</v>
      </c>
      <c r="J850" s="9" t="inlineStr">
        <is>
          <t>cnt</t>
        </is>
      </c>
      <c r="K850" s="9" t="n">
        <v>13.5</v>
      </c>
    </row>
    <row r="851" ht="15" customFormat="1" customHeight="1" s="5">
      <c r="A851" s="81" t="n">
        <v>45953</v>
      </c>
      <c r="B851" s="82" t="n">
        <v>0.7451388888888889</v>
      </c>
      <c r="C851" s="5" t="inlineStr">
        <is>
          <t>Mt. Fuji Hibachi and Sushi</t>
        </is>
      </c>
      <c r="D851" s="5" t="n">
        <v>1</v>
      </c>
      <c r="F851" s="6" t="inlineStr">
        <is>
          <t>DoorDash_01</t>
        </is>
      </c>
      <c r="G851" s="10" t="inlineStr">
        <is>
          <t>S01</t>
        </is>
      </c>
      <c r="H851" s="9" t="inlineStr">
        <is>
          <t>Mt. Fuji Roll</t>
        </is>
      </c>
      <c r="I851" s="9" t="n">
        <v>1</v>
      </c>
      <c r="J851" s="9" t="inlineStr">
        <is>
          <t>cnt</t>
        </is>
      </c>
      <c r="K851" s="9" t="n">
        <v>12.95</v>
      </c>
    </row>
    <row r="852" ht="15" customFormat="1" customHeight="1" s="5">
      <c r="A852" s="81" t="n">
        <v>45953</v>
      </c>
      <c r="B852" s="82" t="n">
        <v>0.7451388888888889</v>
      </c>
      <c r="C852" s="5" t="inlineStr">
        <is>
          <t>Mt. Fuji Hibachi and Sushi</t>
        </is>
      </c>
      <c r="D852" s="5" t="n">
        <v>1</v>
      </c>
      <c r="F852" s="6" t="inlineStr">
        <is>
          <t>DoorDash_01</t>
        </is>
      </c>
      <c r="G852" s="10" t="n"/>
      <c r="H852" s="9" t="inlineStr">
        <is>
          <t>Co retail delivery fees</t>
        </is>
      </c>
      <c r="I852" s="9" t="n">
        <v>1</v>
      </c>
      <c r="J852" s="9" t="inlineStr">
        <is>
          <t>cnt</t>
        </is>
      </c>
      <c r="K852" s="9" t="n">
        <v>0.28</v>
      </c>
    </row>
    <row r="853" ht="15" customFormat="1" customHeight="1" s="5">
      <c r="A853" s="81" t="n">
        <v>45953</v>
      </c>
      <c r="B853" s="82" t="n">
        <v>0.7451388888888889</v>
      </c>
      <c r="C853" s="5" t="inlineStr">
        <is>
          <t>Mt. Fuji Hibachi and Sushi</t>
        </is>
      </c>
      <c r="D853" s="5" t="n">
        <v>1</v>
      </c>
      <c r="F853" s="6" t="inlineStr">
        <is>
          <t>DoorDash_01</t>
        </is>
      </c>
      <c r="G853" s="10" t="n"/>
      <c r="H853" s="9" t="inlineStr">
        <is>
          <t>Service Fee Doordash</t>
        </is>
      </c>
      <c r="I853" s="9" t="n">
        <v>1</v>
      </c>
      <c r="J853" s="9" t="inlineStr">
        <is>
          <t>cnt</t>
        </is>
      </c>
      <c r="K853" s="9" t="n">
        <v>8.51</v>
      </c>
    </row>
    <row r="854" ht="15" customFormat="1" customHeight="1" s="5">
      <c r="A854" s="81" t="n">
        <v>45953</v>
      </c>
      <c r="B854" s="82" t="n">
        <v>0.7451388888888889</v>
      </c>
      <c r="C854" s="5" t="inlineStr">
        <is>
          <t>Mt. Fuji Hibachi and Sushi</t>
        </is>
      </c>
      <c r="D854" s="5" t="n">
        <v>1</v>
      </c>
      <c r="F854" s="6" t="inlineStr">
        <is>
          <t>DoorDash_01</t>
        </is>
      </c>
      <c r="G854" s="10" t="n"/>
      <c r="H854" s="9" t="inlineStr">
        <is>
          <t>Tax</t>
        </is>
      </c>
      <c r="I854" s="9" t="n">
        <v>4</v>
      </c>
      <c r="J854" s="9" t="inlineStr">
        <is>
          <t>cnt</t>
        </is>
      </c>
      <c r="K854" s="9" t="n">
        <v>4.58</v>
      </c>
    </row>
    <row r="855" ht="15" customFormat="1" customHeight="1" s="5">
      <c r="A855" s="81" t="n">
        <v>45953</v>
      </c>
      <c r="B855" s="82" t="n">
        <v>0.7451388888888889</v>
      </c>
      <c r="C855" s="5" t="inlineStr">
        <is>
          <t>Mt. Fuji Hibachi and Sushi</t>
        </is>
      </c>
      <c r="D855" s="5" t="n">
        <v>1</v>
      </c>
      <c r="F855" s="6" t="inlineStr">
        <is>
          <t>DoorDash_01</t>
        </is>
      </c>
      <c r="G855" s="10" t="n"/>
      <c r="H855" s="9" t="inlineStr">
        <is>
          <t>**DISCOUNT** Doordash</t>
        </is>
      </c>
      <c r="I855" s="9" t="n">
        <v>1</v>
      </c>
      <c r="J855" s="9" t="inlineStr">
        <is>
          <t>cnt</t>
        </is>
      </c>
      <c r="K855" s="9" t="n">
        <v>-8</v>
      </c>
    </row>
    <row r="856" ht="15" customFormat="1" customHeight="1" s="5">
      <c r="A856" s="81" t="n">
        <v>45953</v>
      </c>
      <c r="B856" s="82" t="n">
        <v>0.7451388888888889</v>
      </c>
      <c r="C856" s="5" t="inlineStr">
        <is>
          <t>Mt. Fuji Hibachi and Sushi</t>
        </is>
      </c>
      <c r="D856" s="5" t="n">
        <v>1</v>
      </c>
      <c r="F856" s="6" t="inlineStr">
        <is>
          <t>DoorDash_01</t>
        </is>
      </c>
      <c r="G856" s="10" t="n"/>
      <c r="H856" s="9" t="inlineStr">
        <is>
          <t>Dasher Tip</t>
        </is>
      </c>
      <c r="I856" s="9" t="n">
        <v>1</v>
      </c>
      <c r="J856" s="9" t="inlineStr">
        <is>
          <t>cnt</t>
        </is>
      </c>
      <c r="K856" s="9" t="n">
        <v>0</v>
      </c>
    </row>
    <row r="857" ht="15" customFormat="1" customHeight="1" s="5">
      <c r="A857" s="81" t="n">
        <v>45953</v>
      </c>
      <c r="B857" s="82" t="n">
        <v>0.7451388888888889</v>
      </c>
      <c r="C857" s="5" t="inlineStr">
        <is>
          <t>Mt. Fuji Hibachi and Sushi</t>
        </is>
      </c>
      <c r="D857" s="5" t="n">
        <v>1</v>
      </c>
      <c r="F857" s="6" t="inlineStr">
        <is>
          <t>DoorDash_01</t>
        </is>
      </c>
      <c r="G857" s="10" t="n"/>
      <c r="H857" s="9" t="inlineStr">
        <is>
          <t>DoorDash Gift Card (Jane $100, Jenny $100, Elise $50, Dana $50, Brenna $50)</t>
        </is>
      </c>
      <c r="I857" s="9" t="n">
        <v>1</v>
      </c>
      <c r="J857" s="9" t="inlineStr">
        <is>
          <t>cnt</t>
        </is>
      </c>
      <c r="K857" s="9" t="n">
        <v>-62.07</v>
      </c>
    </row>
    <row r="858" ht="15" customFormat="1" customHeight="1" s="5">
      <c r="A858" s="81" t="n">
        <v>45952</v>
      </c>
      <c r="B858" s="78" t="n">
        <v>0.7145833333333333</v>
      </c>
      <c r="C858" s="5" t="inlineStr">
        <is>
          <t>HCA HealthOne LLC</t>
        </is>
      </c>
      <c r="E858" s="5" t="n">
        <v>1</v>
      </c>
      <c r="F858" s="6" t="inlineStr">
        <is>
          <t>269626015</t>
        </is>
      </c>
      <c r="G858" s="15" t="inlineStr">
        <is>
          <t>2025301DQ7478</t>
        </is>
      </c>
      <c r="H858" s="9" t="inlineStr">
        <is>
          <t>Tovi's Birth: Hospital Charges "Semi-Private Room, 10/21-10/23</t>
        </is>
      </c>
      <c r="I858" s="5" t="n">
        <v>2</v>
      </c>
      <c r="J858" s="5" t="inlineStr">
        <is>
          <t>cnt</t>
        </is>
      </c>
      <c r="K858" s="5" t="n">
        <v>46975.89</v>
      </c>
    </row>
    <row r="859" ht="15" customFormat="1" customHeight="1" s="5">
      <c r="A859" s="81" t="n">
        <v>45952</v>
      </c>
      <c r="B859" s="78" t="n">
        <v>0.7145833333333333</v>
      </c>
      <c r="C859" s="5" t="inlineStr">
        <is>
          <t>HCA HealthOne LLC</t>
        </is>
      </c>
      <c r="E859" s="5" t="n">
        <v>1</v>
      </c>
      <c r="F859" s="6" t="inlineStr">
        <is>
          <t>269626015</t>
        </is>
      </c>
      <c r="G859" s="15" t="inlineStr">
        <is>
          <t>2025301DQ7478</t>
        </is>
      </c>
      <c r="H859" s="9" t="inlineStr">
        <is>
          <t>Tovi;s Birth: "Your Discounts"</t>
        </is>
      </c>
      <c r="I859" s="5" t="n">
        <v>1</v>
      </c>
      <c r="J859" s="5" t="inlineStr">
        <is>
          <t>cnt</t>
        </is>
      </c>
      <c r="K859" s="5" t="n">
        <v>-37337.89</v>
      </c>
    </row>
    <row r="860" ht="15" customFormat="1" customHeight="1" s="5">
      <c r="A860" s="81" t="n">
        <v>45952</v>
      </c>
      <c r="B860" s="78" t="n">
        <v>0.7145833333333333</v>
      </c>
      <c r="C860" s="5" t="inlineStr">
        <is>
          <t>HCA HealthOne LLC</t>
        </is>
      </c>
      <c r="E860" s="5" t="n">
        <v>1</v>
      </c>
      <c r="F860" s="6" t="inlineStr">
        <is>
          <t>269626015</t>
        </is>
      </c>
      <c r="G860" s="15" t="inlineStr">
        <is>
          <t>2025301DQ7478</t>
        </is>
      </c>
      <c r="H860" s="9" t="inlineStr">
        <is>
          <t>Tovi's Birth: Anthem Paid</t>
        </is>
      </c>
      <c r="I860" s="5" t="n">
        <v>1</v>
      </c>
      <c r="J860" s="5" t="inlineStr">
        <is>
          <t>cnt</t>
        </is>
      </c>
      <c r="K860" s="5" t="n">
        <v>-6047.38</v>
      </c>
    </row>
    <row r="861" ht="15" customFormat="1" customHeight="1" s="5">
      <c r="A861" s="81" t="n">
        <v>45952</v>
      </c>
      <c r="B861" s="78" t="n">
        <v>0.7145833333333333</v>
      </c>
      <c r="C861" s="5" t="inlineStr">
        <is>
          <t>HCA HealthOne LLC</t>
        </is>
      </c>
      <c r="E861" s="5" t="n">
        <v>1</v>
      </c>
      <c r="F861" s="6" t="inlineStr">
        <is>
          <t>269626015</t>
        </is>
      </c>
      <c r="G861" s="15" t="inlineStr">
        <is>
          <t>2025301DQ7478</t>
        </is>
      </c>
      <c r="H861" s="9" t="inlineStr">
        <is>
          <t>Tovi's Birth: upfront payment of deductible only; pay coinsurnace later when billed by Anthem</t>
        </is>
      </c>
      <c r="I861" s="5" t="n">
        <v>1</v>
      </c>
      <c r="J861" s="5" t="inlineStr">
        <is>
          <t>cnt</t>
        </is>
      </c>
      <c r="K861" s="5" t="n">
        <v>-1511.84</v>
      </c>
    </row>
    <row r="862" ht="15" customFormat="1" customHeight="1" s="5">
      <c r="A862" s="81" t="n">
        <v>45951</v>
      </c>
      <c r="B862" s="78" t="n">
        <v>0.2761574074074074</v>
      </c>
      <c r="C862" s="5" t="inlineStr">
        <is>
          <t>Senor Miguels</t>
        </is>
      </c>
      <c r="E862" s="5" t="n">
        <v>1</v>
      </c>
      <c r="F862" s="6" t="inlineStr">
        <is>
          <t>100007</t>
        </is>
      </c>
      <c r="G862" s="15" t="n"/>
      <c r="H862" s="9" t="inlineStr">
        <is>
          <t>12 breakfast burritos @$3.00/each</t>
        </is>
      </c>
      <c r="I862" s="9" t="n">
        <v>12</v>
      </c>
      <c r="J862" s="9" t="inlineStr">
        <is>
          <t>cnt</t>
        </is>
      </c>
      <c r="K862" s="9" t="n">
        <v>36</v>
      </c>
    </row>
    <row r="863" ht="15" customFormat="1" customHeight="1" s="5">
      <c r="A863" s="81" t="n">
        <v>45951</v>
      </c>
      <c r="B863" s="78" t="n">
        <v>0.2761574074074074</v>
      </c>
      <c r="C863" s="5" t="inlineStr">
        <is>
          <t>Senor Miguels</t>
        </is>
      </c>
      <c r="E863" s="5" t="n">
        <v>1</v>
      </c>
      <c r="F863" s="6" t="inlineStr">
        <is>
          <t>100007</t>
        </is>
      </c>
      <c r="G863" s="15" t="n"/>
      <c r="H863" s="9" t="inlineStr">
        <is>
          <t>Tax 8.81%</t>
        </is>
      </c>
      <c r="I863" s="9" t="n">
        <v>10</v>
      </c>
      <c r="J863" s="9" t="inlineStr">
        <is>
          <t>cnt</t>
        </is>
      </c>
      <c r="K863" s="9" t="n">
        <v>3.17</v>
      </c>
    </row>
    <row r="864" ht="15" customFormat="1" customHeight="1" s="5">
      <c r="A864" s="81" t="n">
        <v>45951</v>
      </c>
      <c r="B864" s="78" t="n">
        <v>0.2761574074074074</v>
      </c>
      <c r="C864" s="5" t="inlineStr">
        <is>
          <t>Senor Miguels</t>
        </is>
      </c>
      <c r="E864" s="5" t="n">
        <v>1</v>
      </c>
      <c r="F864" s="6" t="inlineStr">
        <is>
          <t>100007</t>
        </is>
      </c>
      <c r="G864" s="15" t="n"/>
      <c r="H864" s="9" t="inlineStr">
        <is>
          <t>Tip</t>
        </is>
      </c>
      <c r="I864" s="9" t="n">
        <v>1</v>
      </c>
      <c r="J864" s="9" t="inlineStr">
        <is>
          <t>cnt</t>
        </is>
      </c>
      <c r="K864" s="9" t="n">
        <v>0.83</v>
      </c>
    </row>
    <row r="865" ht="15" customFormat="1" customHeight="1" s="5">
      <c r="A865" s="81" t="n">
        <v>45950</v>
      </c>
      <c r="B865" s="82" t="n">
        <v>0.74375</v>
      </c>
      <c r="C865" s="5" t="inlineStr">
        <is>
          <t>Aurora Water</t>
        </is>
      </c>
      <c r="D865" s="5" t="n">
        <v>1</v>
      </c>
      <c r="F865" s="6" t="inlineStr">
        <is>
          <t>0003479608_4569690574</t>
        </is>
      </c>
      <c r="G865" s="10" t="n"/>
      <c r="H865" s="9" t="inlineStr">
        <is>
          <t>First 5K GAL @$5.63/KGal</t>
        </is>
      </c>
      <c r="I865" s="9" t="n">
        <v>4</v>
      </c>
      <c r="J865" s="9" t="inlineStr">
        <is>
          <t>kGal</t>
        </is>
      </c>
      <c r="K865" s="85" t="n">
        <v>22.52</v>
      </c>
    </row>
    <row r="866" ht="15" customFormat="1" customHeight="1" s="5">
      <c r="A866" s="81" t="n">
        <v>45950</v>
      </c>
      <c r="B866" s="82" t="n">
        <v>0.74375</v>
      </c>
      <c r="C866" s="5" t="inlineStr">
        <is>
          <t>Aurora Water</t>
        </is>
      </c>
      <c r="D866" s="5" t="n">
        <v>1</v>
      </c>
      <c r="F866" s="6" t="inlineStr">
        <is>
          <t>0003479608_4569690574</t>
        </is>
      </c>
      <c r="G866" s="10" t="n"/>
      <c r="H866" s="9" t="inlineStr">
        <is>
          <t>Sewer Usage Chg @$5.06/Kgal</t>
        </is>
      </c>
      <c r="I866" s="9" t="n">
        <v>3.33</v>
      </c>
      <c r="J866" s="9" t="inlineStr">
        <is>
          <t>kGal</t>
        </is>
      </c>
      <c r="K866" s="85" t="n">
        <v>16.85</v>
      </c>
    </row>
    <row r="867" ht="15" customFormat="1" customHeight="1" s="5">
      <c r="A867" s="81" t="n">
        <v>45950</v>
      </c>
      <c r="B867" s="82" t="n">
        <v>0.74375</v>
      </c>
      <c r="C867" s="5" t="inlineStr">
        <is>
          <t>Aurora Water</t>
        </is>
      </c>
      <c r="D867" s="5" t="n">
        <v>1</v>
      </c>
      <c r="F867" s="6" t="inlineStr">
        <is>
          <t>0003479608_4569690574</t>
        </is>
      </c>
      <c r="G867" s="10" t="n"/>
      <c r="H867" s="9" t="inlineStr">
        <is>
          <t>Water Monthly Svc Chg 8/26-9/25</t>
        </is>
      </c>
      <c r="I867" s="9" t="n"/>
      <c r="J867" s="9" t="n"/>
      <c r="K867" s="85" t="n">
        <v>14.94</v>
      </c>
    </row>
    <row r="868" ht="15" customFormat="1" customHeight="1" s="5">
      <c r="A868" s="81" t="n">
        <v>45950</v>
      </c>
      <c r="B868" s="82" t="n">
        <v>0.74375</v>
      </c>
      <c r="C868" s="5" t="inlineStr">
        <is>
          <t>Aurora Water</t>
        </is>
      </c>
      <c r="D868" s="5" t="n">
        <v>1</v>
      </c>
      <c r="F868" s="6" t="inlineStr">
        <is>
          <t>0003479608_4569690574</t>
        </is>
      </c>
      <c r="G868" s="10" t="n"/>
      <c r="H868" s="9" t="inlineStr">
        <is>
          <t>Storm Drain Base</t>
        </is>
      </c>
      <c r="I868" s="9" t="n"/>
      <c r="J868" s="9" t="n"/>
      <c r="K868" s="85" t="n">
        <v>11.6</v>
      </c>
    </row>
    <row r="869" ht="15" customFormat="1" customHeight="1" s="5">
      <c r="A869" s="81" t="n">
        <v>45950</v>
      </c>
      <c r="B869" s="82" t="n">
        <v>0.74375</v>
      </c>
      <c r="C869" s="5" t="inlineStr">
        <is>
          <t>Aurora Water</t>
        </is>
      </c>
      <c r="D869" s="5" t="n">
        <v>1</v>
      </c>
      <c r="F869" s="6" t="inlineStr">
        <is>
          <t>0003479608_4569690574</t>
        </is>
      </c>
      <c r="G869" s="10" t="n"/>
      <c r="H869" s="9" t="inlineStr">
        <is>
          <t>Sewer Monthly Svc Chg</t>
        </is>
      </c>
      <c r="I869" s="9" t="n"/>
      <c r="J869" s="9" t="n"/>
      <c r="K869" s="85" t="n">
        <v>5.51</v>
      </c>
    </row>
    <row r="870" ht="15" customFormat="1" customHeight="1" s="5">
      <c r="A870" s="81" t="n">
        <v>45950</v>
      </c>
      <c r="B870" s="82" t="n">
        <v>0.2916666666666667</v>
      </c>
      <c r="C870" s="5" t="inlineStr">
        <is>
          <t>Xcel Energy</t>
        </is>
      </c>
      <c r="D870" s="5" t="n">
        <v>1</v>
      </c>
      <c r="F870" s="6" t="inlineStr">
        <is>
          <t>946540299_</t>
        </is>
      </c>
      <c r="G870" s="10" t="n"/>
      <c r="H870" s="9" t="inlineStr">
        <is>
          <t>Franchise Fee 3.00%</t>
        </is>
      </c>
      <c r="I870" s="9" t="n"/>
      <c r="J870" s="9" t="n"/>
      <c r="K870" s="9">
        <f>2.51+0.55</f>
        <v/>
      </c>
    </row>
    <row r="871" ht="15" customFormat="1" customHeight="1" s="5">
      <c r="A871" s="81" t="n">
        <v>45950</v>
      </c>
      <c r="B871" s="82" t="n">
        <v>0.2916666666666667</v>
      </c>
      <c r="C871" s="5" t="inlineStr">
        <is>
          <t>Xcel Energy</t>
        </is>
      </c>
      <c r="D871" s="5" t="n">
        <v>1</v>
      </c>
      <c r="F871" s="6" t="inlineStr">
        <is>
          <t>946540299_</t>
        </is>
      </c>
      <c r="G871" s="10" t="n"/>
      <c r="H871" s="9" t="inlineStr">
        <is>
          <t>Electricity 08/27/25 - 09/28/25</t>
        </is>
      </c>
      <c r="I871" s="9" t="n">
        <v>480</v>
      </c>
      <c r="J871" s="9" t="inlineStr">
        <is>
          <t>kWh</t>
        </is>
      </c>
      <c r="K871" s="9" t="n">
        <v>83.62</v>
      </c>
    </row>
    <row r="872" ht="15" customFormat="1" customHeight="1" s="5">
      <c r="A872" s="81" t="n">
        <v>45950</v>
      </c>
      <c r="B872" s="82" t="n">
        <v>0.2916666666666667</v>
      </c>
      <c r="C872" s="5" t="inlineStr">
        <is>
          <t>Xcel Energy</t>
        </is>
      </c>
      <c r="D872" s="5" t="n">
        <v>1</v>
      </c>
      <c r="F872" s="6" t="inlineStr">
        <is>
          <t>946540299_</t>
        </is>
      </c>
      <c r="G872" s="10" t="n"/>
      <c r="H872" s="9" t="inlineStr">
        <is>
          <t>Natural Gas 08/28/25 - 09/29/25</t>
        </is>
      </c>
      <c r="I872" s="9" t="n">
        <v>7</v>
      </c>
      <c r="J872" s="9" t="inlineStr">
        <is>
          <t>therms</t>
        </is>
      </c>
      <c r="K872" s="9" t="n">
        <v>18.21</v>
      </c>
    </row>
    <row r="873" ht="15" customFormat="1" customHeight="1" s="5">
      <c r="A873" s="81" t="n">
        <v>45950</v>
      </c>
      <c r="B873" s="82" t="n">
        <v>0.2916666666666667</v>
      </c>
      <c r="C873" s="5" t="inlineStr">
        <is>
          <t>Xcel Energy</t>
        </is>
      </c>
      <c r="D873" s="5" t="n">
        <v>1</v>
      </c>
      <c r="F873" s="6" t="inlineStr">
        <is>
          <t>946540299_</t>
        </is>
      </c>
      <c r="G873" s="10" t="n"/>
      <c r="H873" s="9" t="inlineStr">
        <is>
          <t>Sales Tax</t>
        </is>
      </c>
      <c r="I873" s="9" t="n"/>
      <c r="J873" s="9" t="n"/>
      <c r="K873" s="9">
        <f>3.22+0.7</f>
        <v/>
      </c>
    </row>
    <row r="874" ht="15" customFormat="1" customHeight="1" s="5">
      <c r="A874" s="81" t="n">
        <v>45949</v>
      </c>
      <c r="B874" s="78" t="n">
        <v>0.8388888888888889</v>
      </c>
      <c r="C874" s="5" t="inlineStr">
        <is>
          <t>Piramides Mexican Restaurant</t>
        </is>
      </c>
      <c r="D874" s="5" t="n">
        <v>1</v>
      </c>
      <c r="F874" s="6" t="inlineStr">
        <is>
          <t>4447288102437120028</t>
        </is>
      </c>
      <c r="G874" s="15" t="inlineStr">
        <is>
          <t>Venmo Natalie Drevets</t>
        </is>
      </c>
      <c r="H874" s="9" t="inlineStr">
        <is>
          <t>Quesabirria</t>
        </is>
      </c>
      <c r="I874" s="9" t="n"/>
      <c r="J874" s="9" t="n"/>
      <c r="K874" s="9" t="n">
        <v>16.54</v>
      </c>
    </row>
    <row r="875" ht="15" customFormat="1" customHeight="1" s="5">
      <c r="A875" s="81" t="n">
        <v>45949</v>
      </c>
      <c r="B875" s="78" t="n">
        <v>0.8388888888888889</v>
      </c>
      <c r="C875" s="5" t="inlineStr">
        <is>
          <t>Piramides Mexican Restaurant</t>
        </is>
      </c>
      <c r="D875" s="5" t="n">
        <v>1</v>
      </c>
      <c r="F875" s="6" t="inlineStr">
        <is>
          <t>4447288102437120028</t>
        </is>
      </c>
      <c r="G875" s="15" t="inlineStr">
        <is>
          <t>Venmo Natalie Drevets</t>
        </is>
      </c>
      <c r="H875" s="9" t="inlineStr">
        <is>
          <t>Veggie fajitas</t>
        </is>
      </c>
      <c r="I875" s="9" t="n"/>
      <c r="J875" s="9" t="n"/>
      <c r="K875" s="9" t="n">
        <v>16.75</v>
      </c>
    </row>
    <row r="876" ht="15" customFormat="1" customHeight="1" s="5">
      <c r="A876" s="81" t="n">
        <v>45949</v>
      </c>
      <c r="B876" s="78" t="n">
        <v>0.8388888888888889</v>
      </c>
      <c r="C876" s="5" t="inlineStr">
        <is>
          <t>Piramides Mexican Restaurant</t>
        </is>
      </c>
      <c r="D876" s="5" t="n">
        <v>1</v>
      </c>
      <c r="F876" s="6" t="inlineStr">
        <is>
          <t>4447288102437120028</t>
        </is>
      </c>
      <c r="G876" s="15" t="inlineStr">
        <is>
          <t>Venmo Natalie Drevets</t>
        </is>
      </c>
      <c r="H876" s="9" t="inlineStr">
        <is>
          <t>Red chile sauce (enchilada sauce)</t>
        </is>
      </c>
      <c r="I876" s="9" t="n"/>
      <c r="J876" s="9" t="n"/>
      <c r="K876" s="9" t="n">
        <v>3.1</v>
      </c>
    </row>
    <row r="877" ht="15" customFormat="1" customHeight="1" s="5">
      <c r="A877" s="81" t="n">
        <v>45949</v>
      </c>
      <c r="B877" s="78" t="n">
        <v>0.8388888888888889</v>
      </c>
      <c r="C877" s="5" t="inlineStr">
        <is>
          <t>Piramides Mexican Restaurant</t>
        </is>
      </c>
      <c r="D877" s="5" t="n">
        <v>1</v>
      </c>
      <c r="F877" s="6" t="inlineStr">
        <is>
          <t>4447288102437120028</t>
        </is>
      </c>
      <c r="G877" s="15" t="inlineStr">
        <is>
          <t>Venmo Natalie Drevets</t>
        </is>
      </c>
      <c r="H877" s="9" t="inlineStr">
        <is>
          <t>Tax</t>
        </is>
      </c>
      <c r="I877" s="9" t="n"/>
      <c r="J877" s="9" t="n"/>
      <c r="K877" s="9" t="n">
        <v>2.91</v>
      </c>
    </row>
    <row r="878" ht="15" customFormat="1" customHeight="1" s="5">
      <c r="A878" s="81" t="n">
        <v>45949</v>
      </c>
      <c r="B878" s="78" t="n">
        <v>0.5243055555555556</v>
      </c>
      <c r="C878" s="5" t="inlineStr">
        <is>
          <t>Labcorp OnDemand</t>
        </is>
      </c>
      <c r="D878" s="5" t="n">
        <v>1</v>
      </c>
      <c r="F878" s="6" t="inlineStr">
        <is>
          <t>07751321_202510196601260</t>
        </is>
      </c>
      <c r="G878" s="15" t="inlineStr">
        <is>
          <t>2025282BG9684</t>
        </is>
      </c>
      <c r="H878" s="9" t="inlineStr">
        <is>
          <t>10/2 GBS lab culture from prenatal appointment at BELLA</t>
        </is>
      </c>
      <c r="K878" s="9" t="n">
        <v>5.49</v>
      </c>
    </row>
    <row r="879" ht="15" customFormat="1" customHeight="1" s="5">
      <c r="A879" s="81" t="n">
        <v>45948</v>
      </c>
      <c r="B879" s="82" t="n">
        <v>0.58125</v>
      </c>
      <c r="C879" s="5" t="inlineStr">
        <is>
          <t>Walmart</t>
        </is>
      </c>
      <c r="D879" s="5" t="n">
        <v>1</v>
      </c>
      <c r="F879" s="6" t="inlineStr">
        <is>
          <t># 2000136-27476828</t>
        </is>
      </c>
      <c r="G879" s="10" t="n"/>
      <c r="H879" s="9" t="inlineStr">
        <is>
          <t>Fresh Whole Yellow Onion, Each 2 count; 88.0¢/lb</t>
        </is>
      </c>
      <c r="I879" s="9" t="n">
        <v>1.16</v>
      </c>
      <c r="J879" s="9" t="inlineStr">
        <is>
          <t>lb</t>
        </is>
      </c>
      <c r="K879" s="9" t="n">
        <v>1.02</v>
      </c>
    </row>
    <row r="880" ht="15" customFormat="1" customHeight="1" s="5">
      <c r="A880" s="81" t="n">
        <v>45948</v>
      </c>
      <c r="B880" s="82" t="n">
        <v>0.58125</v>
      </c>
      <c r="C880" s="5" t="inlineStr">
        <is>
          <t>Walmart</t>
        </is>
      </c>
      <c r="D880" s="5" t="n">
        <v>1</v>
      </c>
      <c r="F880" s="6" t="inlineStr">
        <is>
          <t># 2000136-27476828</t>
        </is>
      </c>
      <c r="G880" s="10" t="n"/>
      <c r="H880" s="9" t="inlineStr">
        <is>
          <t>Great Value Whole Vitamin D Milk, Gallon, Plastic, Jug, 128 fl oz</t>
        </is>
      </c>
      <c r="I880" s="9" t="n">
        <v>128</v>
      </c>
      <c r="J880" s="9" t="inlineStr">
        <is>
          <t>fl oz</t>
        </is>
      </c>
      <c r="K880" s="9" t="n">
        <v>3.26</v>
      </c>
    </row>
    <row r="881" ht="15" customFormat="1" customHeight="1" s="5">
      <c r="A881" s="81" t="n">
        <v>45948</v>
      </c>
      <c r="B881" s="82" t="n">
        <v>0.58125</v>
      </c>
      <c r="C881" s="5" t="inlineStr">
        <is>
          <t>Walmart</t>
        </is>
      </c>
      <c r="D881" s="5" t="n">
        <v>1</v>
      </c>
      <c r="F881" s="6" t="inlineStr">
        <is>
          <t># 2000136-27476828</t>
        </is>
      </c>
      <c r="G881" s="10" t="n"/>
      <c r="H881" s="9" t="inlineStr">
        <is>
          <t>85% Lean/15% Fat Ground Beef, 1lb Roll, Frozen $6.22/lb</t>
        </is>
      </c>
      <c r="I881" s="9" t="n">
        <v>1</v>
      </c>
      <c r="J881" s="9" t="inlineStr">
        <is>
          <t>lb</t>
        </is>
      </c>
      <c r="K881" s="9" t="n">
        <v>6.22</v>
      </c>
    </row>
    <row r="882" ht="15" customFormat="1" customHeight="1" s="5">
      <c r="A882" s="81" t="n">
        <v>45948</v>
      </c>
      <c r="B882" s="82" t="n">
        <v>0.58125</v>
      </c>
      <c r="C882" s="5" t="inlineStr">
        <is>
          <t>Walmart</t>
        </is>
      </c>
      <c r="D882" s="5" t="n">
        <v>1</v>
      </c>
      <c r="F882" s="6" t="inlineStr">
        <is>
          <t># 2000136-27476828</t>
        </is>
      </c>
      <c r="G882" s="10" t="n"/>
      <c r="H882" s="9" t="inlineStr">
        <is>
          <t>Great Value Italian Seasoning, 2 oz Multipack Quantity: 1 98.5¢/oz</t>
        </is>
      </c>
      <c r="I882" s="9" t="n">
        <v>2</v>
      </c>
      <c r="J882" s="9" t="inlineStr">
        <is>
          <t>oz</t>
        </is>
      </c>
      <c r="K882" s="9" t="n">
        <v>1.97</v>
      </c>
    </row>
    <row r="883" ht="15" customFormat="1" customHeight="1" s="5">
      <c r="A883" s="81" t="n">
        <v>45948</v>
      </c>
      <c r="B883" s="82" t="n">
        <v>0.58125</v>
      </c>
      <c r="C883" s="5" t="inlineStr">
        <is>
          <t>Walmart</t>
        </is>
      </c>
      <c r="D883" s="5" t="n">
        <v>1</v>
      </c>
      <c r="F883" s="6" t="inlineStr">
        <is>
          <t># 2000136-27476828</t>
        </is>
      </c>
      <c r="G883" s="10" t="n"/>
      <c r="H883" s="9" t="inlineStr">
        <is>
          <t>Great Value Organic Ground Cold Milled Flax Seed, 16 oz (453g) – USDA Certified, Allergen-Free 2.1¢/oz</t>
        </is>
      </c>
      <c r="I883" s="9" t="n">
        <v>16</v>
      </c>
      <c r="J883" s="9" t="inlineStr">
        <is>
          <t>oz</t>
        </is>
      </c>
      <c r="K883" s="9" t="n">
        <v>3.54</v>
      </c>
    </row>
    <row r="884" ht="15" customFormat="1" customHeight="1" s="5">
      <c r="A884" s="81" t="n">
        <v>45948</v>
      </c>
      <c r="B884" s="82" t="n">
        <v>0.58125</v>
      </c>
      <c r="C884" s="5" t="inlineStr">
        <is>
          <t>Walmart</t>
        </is>
      </c>
      <c r="D884" s="5" t="n">
        <v>1</v>
      </c>
      <c r="F884" s="6" t="inlineStr">
        <is>
          <t># 2000136-27476828</t>
        </is>
      </c>
      <c r="G884" s="10" t="n"/>
      <c r="H884" s="9" t="inlineStr">
        <is>
          <t>Great Value Lemon 100% Juice, 32 fl oz 9.6¢/fl oz</t>
        </is>
      </c>
      <c r="I884" s="9" t="n">
        <v>32</v>
      </c>
      <c r="J884" s="9" t="inlineStr">
        <is>
          <t>fl oz</t>
        </is>
      </c>
      <c r="K884" s="9" t="n">
        <v>3.08</v>
      </c>
    </row>
    <row r="885" ht="15" customFormat="1" customHeight="1" s="5">
      <c r="A885" s="81" t="n">
        <v>45948</v>
      </c>
      <c r="B885" s="82" t="n">
        <v>0.58125</v>
      </c>
      <c r="C885" s="5" t="inlineStr">
        <is>
          <t>Walmart</t>
        </is>
      </c>
      <c r="D885" s="5" t="n">
        <v>1</v>
      </c>
      <c r="F885" s="6" t="inlineStr">
        <is>
          <t># 2000136-27476828</t>
        </is>
      </c>
      <c r="G885" s="10" t="n"/>
      <c r="H885" s="9" t="inlineStr">
        <is>
          <t>Great Value Lemon 100% Juice, 32 fl oz 9.6¢/fl oz</t>
        </is>
      </c>
      <c r="I885" s="9" t="n">
        <v>32</v>
      </c>
      <c r="J885" s="9" t="inlineStr">
        <is>
          <t>fl oz</t>
        </is>
      </c>
      <c r="K885" s="9" t="n">
        <v>3.08</v>
      </c>
    </row>
    <row r="886" ht="15" customFormat="1" customHeight="1" s="5">
      <c r="A886" s="81" t="n">
        <v>45948</v>
      </c>
      <c r="B886" s="82" t="n">
        <v>0.58125</v>
      </c>
      <c r="C886" s="5" t="inlineStr">
        <is>
          <t>Walmart</t>
        </is>
      </c>
      <c r="D886" s="5" t="n">
        <v>1</v>
      </c>
      <c r="F886" s="6" t="inlineStr">
        <is>
          <t># 2000136-27476828</t>
        </is>
      </c>
      <c r="G886" s="10" t="n"/>
      <c r="H886" s="9" t="inlineStr">
        <is>
          <t>Fresh Italian Parsley Bunch, Each $1.07/ea Qty 2</t>
        </is>
      </c>
      <c r="I886" s="9" t="n">
        <v>2</v>
      </c>
      <c r="J886" s="9" t="inlineStr">
        <is>
          <t>cnt</t>
        </is>
      </c>
      <c r="K886" s="9" t="n">
        <v>2.14</v>
      </c>
    </row>
    <row r="887" ht="15" customFormat="1" customHeight="1" s="5">
      <c r="A887" s="81" t="n">
        <v>45948</v>
      </c>
      <c r="B887" s="82" t="n">
        <v>0.58125</v>
      </c>
      <c r="C887" s="5" t="inlineStr">
        <is>
          <t>Walmart</t>
        </is>
      </c>
      <c r="D887" s="5" t="n">
        <v>1</v>
      </c>
      <c r="F887" s="6" t="inlineStr">
        <is>
          <t># 2000136-27476828</t>
        </is>
      </c>
      <c r="G887" s="10" t="n"/>
      <c r="H887" s="9" t="inlineStr">
        <is>
          <t>Great Value Organic Crushed Tomatoes with Basil, 28 oz; 7.6¢/oz</t>
        </is>
      </c>
      <c r="I887" s="9" t="n">
        <v>28</v>
      </c>
      <c r="J887" s="9" t="inlineStr">
        <is>
          <t>oz</t>
        </is>
      </c>
      <c r="K887" s="9" t="n">
        <v>2.12</v>
      </c>
    </row>
    <row r="888" ht="15" customFormat="1" customHeight="1" s="5">
      <c r="A888" s="81" t="n">
        <v>45948</v>
      </c>
      <c r="B888" s="82" t="n">
        <v>0.58125</v>
      </c>
      <c r="C888" s="5" t="inlineStr">
        <is>
          <t>Walmart</t>
        </is>
      </c>
      <c r="D888" s="5" t="n">
        <v>1</v>
      </c>
      <c r="F888" s="6" t="inlineStr">
        <is>
          <t># 2000136-27476828</t>
        </is>
      </c>
      <c r="G888" s="10" t="n"/>
      <c r="H888" s="9" t="inlineStr">
        <is>
          <t>Great Value Low-Moisture Part-Skim Mozzarella Block Cheese, 8 oz Chunk; 24.3¢/oz</t>
        </is>
      </c>
      <c r="I888" s="9" t="n">
        <v>8</v>
      </c>
      <c r="J888" s="9" t="inlineStr">
        <is>
          <t>oz</t>
        </is>
      </c>
      <c r="K888" s="9" t="n">
        <v>1.94</v>
      </c>
    </row>
    <row r="889" ht="15" customFormat="1" customHeight="1" s="5">
      <c r="A889" s="81" t="n">
        <v>45948</v>
      </c>
      <c r="B889" s="82" t="n">
        <v>0.58125</v>
      </c>
      <c r="C889" s="5" t="inlineStr">
        <is>
          <t>Walmart</t>
        </is>
      </c>
      <c r="D889" s="5" t="n">
        <v>1</v>
      </c>
      <c r="F889" s="6" t="inlineStr">
        <is>
          <t># 2000136-27476828</t>
        </is>
      </c>
      <c r="G889" s="10" t="n"/>
      <c r="H889" s="9" t="inlineStr">
        <is>
          <t>Great Value Original Ricotta Cheese, 15 oz Tub 17.8¢/oz</t>
        </is>
      </c>
      <c r="I889" s="9" t="n">
        <v>15</v>
      </c>
      <c r="J889" s="9" t="inlineStr">
        <is>
          <t>oz</t>
        </is>
      </c>
      <c r="K889" s="9" t="n">
        <v>2.67</v>
      </c>
    </row>
    <row r="890" ht="15" customFormat="1" customHeight="1" s="5">
      <c r="A890" s="81" t="n">
        <v>45948</v>
      </c>
      <c r="B890" s="82" t="n">
        <v>0.58125</v>
      </c>
      <c r="C890" s="5" t="inlineStr">
        <is>
          <t>Walmart</t>
        </is>
      </c>
      <c r="D890" s="5" t="n">
        <v>1</v>
      </c>
      <c r="F890" s="6" t="inlineStr">
        <is>
          <t># 2000136-27476828</t>
        </is>
      </c>
      <c r="G890" s="10" t="n"/>
      <c r="H890" s="9" t="inlineStr">
        <is>
          <t>Marketside Mild Ground Italian Sausage, Pork, 1lb (Fresh); $4.37/lb</t>
        </is>
      </c>
      <c r="I890" s="9" t="n">
        <v>1</v>
      </c>
      <c r="J890" s="9" t="inlineStr">
        <is>
          <t>lb</t>
        </is>
      </c>
      <c r="K890" s="9" t="n">
        <v>4.37</v>
      </c>
    </row>
    <row r="891" ht="15" customFormat="1" customHeight="1" s="5">
      <c r="A891" s="81" t="n">
        <v>45948</v>
      </c>
      <c r="B891" s="82" t="n">
        <v>0.58125</v>
      </c>
      <c r="C891" s="5" t="inlineStr">
        <is>
          <t>Walmart</t>
        </is>
      </c>
      <c r="D891" s="5" t="n">
        <v>1</v>
      </c>
      <c r="F891" s="6" t="inlineStr">
        <is>
          <t># 2000136-27476828</t>
        </is>
      </c>
      <c r="G891" s="10" t="n"/>
      <c r="H891" s="9" t="inlineStr">
        <is>
          <t>Tax</t>
        </is>
      </c>
      <c r="I891" s="9" t="n">
        <v>14</v>
      </c>
      <c r="J891" s="9" t="inlineStr">
        <is>
          <t>cnt</t>
        </is>
      </c>
      <c r="K891" s="9" t="n">
        <v>0</v>
      </c>
    </row>
    <row r="892" ht="15" customFormat="1" customHeight="1" s="5">
      <c r="A892" s="81" t="n">
        <v>45948</v>
      </c>
      <c r="B892" s="82" t="n">
        <v>0.58125</v>
      </c>
      <c r="C892" s="5" t="inlineStr">
        <is>
          <t>Walmart</t>
        </is>
      </c>
      <c r="D892" s="5" t="n">
        <v>1</v>
      </c>
      <c r="F892" s="6" t="inlineStr">
        <is>
          <t># 2000136-27476828</t>
        </is>
      </c>
      <c r="G892" s="10" t="n"/>
      <c r="H892" s="9" t="inlineStr">
        <is>
          <t>Temporary Hold</t>
        </is>
      </c>
      <c r="I892" s="9" t="n">
        <v>1</v>
      </c>
      <c r="J892" s="9" t="inlineStr">
        <is>
          <t>cnt</t>
        </is>
      </c>
      <c r="K892" s="9" t="n">
        <v>3.78</v>
      </c>
    </row>
    <row r="893" ht="15" customFormat="1" customHeight="1" s="5">
      <c r="A893" s="81" t="n">
        <v>45948</v>
      </c>
      <c r="B893" s="82" t="n">
        <v>0.58125</v>
      </c>
      <c r="C893" s="5" t="inlineStr">
        <is>
          <t>Walmart</t>
        </is>
      </c>
      <c r="D893" s="5" t="n">
        <v>1</v>
      </c>
      <c r="F893" s="6" t="inlineStr">
        <is>
          <t># 2000136-27476828</t>
        </is>
      </c>
      <c r="G893" s="10" t="n"/>
      <c r="H893" s="9" t="inlineStr">
        <is>
          <t>Hold Refund</t>
        </is>
      </c>
      <c r="I893" s="9" t="n">
        <v>1</v>
      </c>
      <c r="J893" s="9" t="inlineStr">
        <is>
          <t>cnt</t>
        </is>
      </c>
      <c r="K893" s="9" t="n">
        <v>-3.78</v>
      </c>
    </row>
    <row r="894" ht="15" customFormat="1" customHeight="1" s="5">
      <c r="A894" s="81" t="n">
        <v>45948</v>
      </c>
      <c r="B894" s="78" t="n">
        <v>0.4402777777777778</v>
      </c>
      <c r="C894" s="5" t="inlineStr">
        <is>
          <t>Costco</t>
        </is>
      </c>
      <c r="E894" s="5" t="n">
        <v>1</v>
      </c>
      <c r="F894" s="6" t="inlineStr">
        <is>
          <t>439 208 44 708</t>
        </is>
      </c>
      <c r="G894" s="15" t="n"/>
      <c r="H894" s="9" t="inlineStr">
        <is>
          <t>Tomato Multi-Colored Medley</t>
        </is>
      </c>
      <c r="I894" s="5" t="n">
        <v>2</v>
      </c>
      <c r="J894" s="5" t="inlineStr">
        <is>
          <t>lb</t>
        </is>
      </c>
      <c r="K894" s="9" t="n">
        <v>6.59</v>
      </c>
    </row>
    <row r="895" ht="15" customFormat="1" customHeight="1" s="5">
      <c r="A895" s="81" t="n">
        <v>45948</v>
      </c>
      <c r="B895" s="78" t="n">
        <v>0.4402777777777778</v>
      </c>
      <c r="C895" s="5" t="inlineStr">
        <is>
          <t>Costco</t>
        </is>
      </c>
      <c r="E895" s="5" t="n">
        <v>1</v>
      </c>
      <c r="F895" s="6" t="inlineStr">
        <is>
          <t>439 208 44 708</t>
        </is>
      </c>
      <c r="G895" s="15" t="n"/>
      <c r="H895" s="9" t="inlineStr">
        <is>
          <t>AllerClear Non-Drowsy Loratadine Tablets, 10 mg - Antihistamine</t>
        </is>
      </c>
      <c r="I895" s="5" t="n">
        <v>365</v>
      </c>
      <c r="J895" s="5" t="inlineStr">
        <is>
          <t>cnt</t>
        </is>
      </c>
      <c r="K895" s="9" t="inlineStr">
        <is>
          <t>11.49 A</t>
        </is>
      </c>
    </row>
    <row r="896" ht="15" customFormat="1" customHeight="1" s="5">
      <c r="A896" s="81" t="n">
        <v>45948</v>
      </c>
      <c r="B896" s="78" t="n">
        <v>0.4402777777777778</v>
      </c>
      <c r="C896" s="5" t="inlineStr">
        <is>
          <t>Costco</t>
        </is>
      </c>
      <c r="E896" s="5" t="n">
        <v>1</v>
      </c>
      <c r="F896" s="6" t="inlineStr">
        <is>
          <t>439 208 44 708</t>
        </is>
      </c>
      <c r="G896" s="15" t="n"/>
      <c r="H896" s="9" t="inlineStr">
        <is>
          <t>Avocados Fresh</t>
        </is>
      </c>
      <c r="I896" s="5" t="n">
        <v>6</v>
      </c>
      <c r="J896" s="5" t="inlineStr">
        <is>
          <t>cnt</t>
        </is>
      </c>
      <c r="K896" s="9" t="n">
        <v>4.59</v>
      </c>
    </row>
    <row r="897" ht="15" customFormat="1" customHeight="1" s="5">
      <c r="A897" s="81" t="n">
        <v>45948</v>
      </c>
      <c r="B897" s="78" t="n">
        <v>0.4402777777777778</v>
      </c>
      <c r="C897" s="5" t="inlineStr">
        <is>
          <t>Costco</t>
        </is>
      </c>
      <c r="E897" s="5" t="n">
        <v>1</v>
      </c>
      <c r="F897" s="6" t="inlineStr">
        <is>
          <t>439 208 44 708</t>
        </is>
      </c>
      <c r="G897" s="15" t="n"/>
      <c r="H897" s="9" t="inlineStr">
        <is>
          <t>Driscoll's Raspberries</t>
        </is>
      </c>
      <c r="I897" s="5" t="n">
        <v>12</v>
      </c>
      <c r="J897" s="5" t="inlineStr">
        <is>
          <t>oz</t>
        </is>
      </c>
      <c r="K897" s="9" t="n">
        <v>4.79</v>
      </c>
    </row>
    <row r="898" ht="15" customFormat="1" customHeight="1" s="5">
      <c r="A898" s="81" t="n">
        <v>45948</v>
      </c>
      <c r="B898" s="78" t="n">
        <v>0.4402777777777778</v>
      </c>
      <c r="C898" s="5" t="inlineStr">
        <is>
          <t>Costco</t>
        </is>
      </c>
      <c r="E898" s="5" t="n">
        <v>1</v>
      </c>
      <c r="F898" s="6" t="inlineStr">
        <is>
          <t>439 208 44 708</t>
        </is>
      </c>
      <c r="G898" s="15" t="n"/>
      <c r="H898" s="9" t="inlineStr">
        <is>
          <t>**DISCOUNT** Raspberries</t>
        </is>
      </c>
      <c r="I898" s="5" t="n">
        <v>12</v>
      </c>
      <c r="J898" s="5" t="inlineStr">
        <is>
          <t>oz</t>
        </is>
      </c>
      <c r="K898" s="9" t="inlineStr">
        <is>
          <t>1.00-</t>
        </is>
      </c>
    </row>
    <row r="899" ht="15" customFormat="1" customHeight="1" s="5">
      <c r="A899" s="81" t="n">
        <v>45948</v>
      </c>
      <c r="B899" s="78" t="n">
        <v>0.4402777777777778</v>
      </c>
      <c r="C899" s="5" t="inlineStr">
        <is>
          <t>Costco</t>
        </is>
      </c>
      <c r="E899" s="5" t="n">
        <v>1</v>
      </c>
      <c r="F899" s="6" t="inlineStr">
        <is>
          <t>439 208 44 708</t>
        </is>
      </c>
      <c r="G899" s="15" t="n"/>
      <c r="H899" s="9" t="inlineStr">
        <is>
          <t>Driscoll's Raspberries</t>
        </is>
      </c>
      <c r="I899" s="5" t="n">
        <v>12</v>
      </c>
      <c r="J899" s="5" t="inlineStr">
        <is>
          <t>oz</t>
        </is>
      </c>
      <c r="K899" s="9" t="n">
        <v>4.79</v>
      </c>
    </row>
    <row r="900" ht="15" customFormat="1" customHeight="1" s="5">
      <c r="A900" s="81" t="n">
        <v>45948</v>
      </c>
      <c r="B900" s="78" t="n">
        <v>0.4402777777777778</v>
      </c>
      <c r="C900" s="5" t="inlineStr">
        <is>
          <t>Costco</t>
        </is>
      </c>
      <c r="E900" s="5" t="n">
        <v>1</v>
      </c>
      <c r="F900" s="6" t="inlineStr">
        <is>
          <t>439 208 44 708</t>
        </is>
      </c>
      <c r="G900" s="15" t="n"/>
      <c r="H900" s="9" t="inlineStr">
        <is>
          <t>**DISCOUNT** Raspberries</t>
        </is>
      </c>
      <c r="I900" s="5" t="n">
        <v>12</v>
      </c>
      <c r="J900" s="5" t="inlineStr">
        <is>
          <t>oz</t>
        </is>
      </c>
      <c r="K900" s="9" t="inlineStr">
        <is>
          <t>1.00-</t>
        </is>
      </c>
    </row>
    <row r="901" ht="15" customFormat="1" customHeight="1" s="5">
      <c r="A901" s="81" t="n">
        <v>45948</v>
      </c>
      <c r="B901" s="78" t="n">
        <v>0.4402777777777778</v>
      </c>
      <c r="C901" s="5" t="inlineStr">
        <is>
          <t>Costco</t>
        </is>
      </c>
      <c r="E901" s="5" t="n">
        <v>1</v>
      </c>
      <c r="F901" s="6" t="inlineStr">
        <is>
          <t>439 208 44 708</t>
        </is>
      </c>
      <c r="G901" s="15" t="n"/>
      <c r="H901" s="9" t="inlineStr">
        <is>
          <t>Fresh Medjool Dates Organic Pitted</t>
        </is>
      </c>
      <c r="I901" s="5" t="n">
        <v>24</v>
      </c>
      <c r="J901" s="5" t="inlineStr">
        <is>
          <t>oz</t>
        </is>
      </c>
      <c r="K901" s="9" t="n">
        <v>11.99</v>
      </c>
    </row>
    <row r="902" ht="15" customFormat="1" customHeight="1" s="5">
      <c r="A902" s="81" t="n">
        <v>45948</v>
      </c>
      <c r="B902" s="78" t="n">
        <v>0.4402777777777778</v>
      </c>
      <c r="C902" s="5" t="inlineStr">
        <is>
          <t>Costco</t>
        </is>
      </c>
      <c r="E902" s="5" t="n">
        <v>1</v>
      </c>
      <c r="F902" s="6" t="inlineStr">
        <is>
          <t>439 208 44 708</t>
        </is>
      </c>
      <c r="G902" s="15" t="n"/>
      <c r="H902" s="9" t="inlineStr">
        <is>
          <t>Bibigo Steamed Dumplings Chicken and Vegetable 6 trays</t>
        </is>
      </c>
      <c r="I902" s="5" t="n">
        <v>39.6</v>
      </c>
      <c r="J902" s="5" t="inlineStr">
        <is>
          <t>oz</t>
        </is>
      </c>
      <c r="K902" s="9" t="n">
        <v>13.49</v>
      </c>
    </row>
    <row r="903" ht="15" customFormat="1" customHeight="1" s="5">
      <c r="A903" s="81" t="n">
        <v>45948</v>
      </c>
      <c r="B903" s="78" t="n">
        <v>0.4402777777777778</v>
      </c>
      <c r="C903" s="5" t="inlineStr">
        <is>
          <t>Costco</t>
        </is>
      </c>
      <c r="E903" s="5" t="n">
        <v>1</v>
      </c>
      <c r="F903" s="6" t="inlineStr">
        <is>
          <t>439 208 44 708</t>
        </is>
      </c>
      <c r="G903" s="15" t="n"/>
      <c r="H903" s="9" t="inlineStr">
        <is>
          <t>**DISCOUNT** /107699 Bibigo Steamed Dumplings</t>
        </is>
      </c>
      <c r="I903" s="5" t="n">
        <v>39.6</v>
      </c>
      <c r="J903" s="5" t="inlineStr">
        <is>
          <t>oz</t>
        </is>
      </c>
      <c r="K903" s="9" t="inlineStr">
        <is>
          <t>3.50-</t>
        </is>
      </c>
    </row>
    <row r="904" ht="15" customFormat="1" customHeight="1" s="5">
      <c r="A904" s="81" t="n">
        <v>45948</v>
      </c>
      <c r="B904" s="78" t="n">
        <v>0.4402777777777778</v>
      </c>
      <c r="C904" s="5" t="inlineStr">
        <is>
          <t>Costco</t>
        </is>
      </c>
      <c r="E904" s="5" t="n">
        <v>1</v>
      </c>
      <c r="F904" s="6" t="inlineStr">
        <is>
          <t>439 208 44 708</t>
        </is>
      </c>
      <c r="G904" s="15" t="n"/>
      <c r="H904" s="9" t="inlineStr">
        <is>
          <t>KS 5 Dozen Cage Free Grade AA Large Eggs</t>
        </is>
      </c>
      <c r="I904" s="5" t="n">
        <v>120</v>
      </c>
      <c r="J904" s="5" t="inlineStr">
        <is>
          <t>cnt</t>
        </is>
      </c>
      <c r="K904" s="9" t="n">
        <v>10.99</v>
      </c>
    </row>
    <row r="905" ht="15" customFormat="1" customHeight="1" s="5">
      <c r="A905" s="81" t="n">
        <v>45948</v>
      </c>
      <c r="B905" s="78" t="n">
        <v>0.4402777777777778</v>
      </c>
      <c r="C905" s="5" t="inlineStr">
        <is>
          <t>Costco</t>
        </is>
      </c>
      <c r="E905" s="5" t="n">
        <v>1</v>
      </c>
      <c r="F905" s="6" t="inlineStr">
        <is>
          <t>439 208 44 708</t>
        </is>
      </c>
      <c r="G905" s="15" t="n"/>
      <c r="H905" s="9" t="inlineStr">
        <is>
          <t>Tollhouse Morsels Semi-Sweet</t>
        </is>
      </c>
      <c r="I905" s="5" t="n">
        <v>72</v>
      </c>
      <c r="J905" s="5" t="inlineStr">
        <is>
          <t>oz</t>
        </is>
      </c>
      <c r="K905" s="9" t="inlineStr">
        <is>
          <t>15.99 EF</t>
        </is>
      </c>
    </row>
    <row r="906" ht="15" customFormat="1" customHeight="1" s="5">
      <c r="A906" s="81" t="n">
        <v>45948</v>
      </c>
      <c r="B906" s="78" t="n">
        <v>0.4402777777777778</v>
      </c>
      <c r="C906" s="5" t="inlineStr">
        <is>
          <t>Costco</t>
        </is>
      </c>
      <c r="E906" s="5" t="n">
        <v>1</v>
      </c>
      <c r="F906" s="6" t="inlineStr">
        <is>
          <t>439 208 44 708</t>
        </is>
      </c>
      <c r="G906" s="15" t="n"/>
      <c r="H906" s="9" t="inlineStr">
        <is>
          <t>KS Vitamin D3 50 mcg 600 softgels</t>
        </is>
      </c>
      <c r="I906" s="5" t="n">
        <v>600</v>
      </c>
      <c r="J906" s="5" t="inlineStr">
        <is>
          <t>cnt</t>
        </is>
      </c>
      <c r="K906" s="9" t="inlineStr">
        <is>
          <t>10.49 A</t>
        </is>
      </c>
    </row>
    <row r="907" ht="15" customFormat="1" customHeight="1" s="5">
      <c r="A907" s="81" t="n">
        <v>45948</v>
      </c>
      <c r="B907" s="78" t="n">
        <v>0.4402777777777778</v>
      </c>
      <c r="C907" s="5" t="inlineStr">
        <is>
          <t>Costco</t>
        </is>
      </c>
      <c r="E907" s="5" t="n">
        <v>1</v>
      </c>
      <c r="F907" s="6" t="inlineStr">
        <is>
          <t>439 208 44 708</t>
        </is>
      </c>
      <c r="G907" s="15" t="n"/>
      <c r="H907" s="9" t="inlineStr">
        <is>
          <t>Naturally More Creamy Peanut Butter 2 x 1.75lb tubs</t>
        </is>
      </c>
      <c r="I907" s="5" t="n">
        <v>3.5</v>
      </c>
      <c r="J907" s="5" t="inlineStr">
        <is>
          <t>lb</t>
        </is>
      </c>
      <c r="K907" s="9" t="n">
        <v>9.49</v>
      </c>
    </row>
    <row r="908" ht="15" customFormat="1" customHeight="1" s="5">
      <c r="A908" s="81" t="n">
        <v>45948</v>
      </c>
      <c r="B908" s="78" t="n">
        <v>0.4402777777777778</v>
      </c>
      <c r="C908" s="5" t="inlineStr">
        <is>
          <t>Costco</t>
        </is>
      </c>
      <c r="E908" s="5" t="n">
        <v>1</v>
      </c>
      <c r="F908" s="6" t="inlineStr">
        <is>
          <t>439 208 44 708</t>
        </is>
      </c>
      <c r="G908" s="15" t="n"/>
      <c r="H908" s="9" t="inlineStr">
        <is>
          <t>Brami Protein Pasta, Madein Italy, 2 boxes Fusilli, 2 baxes curly mac</t>
        </is>
      </c>
      <c r="I908" s="5" t="n">
        <v>4</v>
      </c>
      <c r="J908" s="5" t="inlineStr">
        <is>
          <t>lb</t>
        </is>
      </c>
      <c r="K908" s="9" t="n">
        <v>10.99</v>
      </c>
    </row>
    <row r="909" ht="15" customFormat="1" customHeight="1" s="5">
      <c r="A909" s="81" t="n">
        <v>45948</v>
      </c>
      <c r="B909" s="78" t="n">
        <v>0.4402777777777778</v>
      </c>
      <c r="C909" s="5" t="inlineStr">
        <is>
          <t>Costco</t>
        </is>
      </c>
      <c r="E909" s="5" t="n">
        <v>1</v>
      </c>
      <c r="F909" s="6" t="inlineStr">
        <is>
          <t>439 208 44 708</t>
        </is>
      </c>
      <c r="G909" s="15" t="n"/>
      <c r="H909" s="9" t="inlineStr">
        <is>
          <t>Pork St. Louis Spare Ribs @$3.49/lb</t>
        </is>
      </c>
      <c r="I909" s="5" t="n">
        <v>10.82</v>
      </c>
      <c r="J909" s="5" t="inlineStr">
        <is>
          <t>lb</t>
        </is>
      </c>
      <c r="K909" s="9" t="n">
        <v>37.76</v>
      </c>
    </row>
    <row r="910" ht="15" customFormat="1" customHeight="1" s="5">
      <c r="A910" s="81" t="n">
        <v>45948</v>
      </c>
      <c r="B910" s="78" t="n">
        <v>0.4402777777777778</v>
      </c>
      <c r="C910" s="5" t="inlineStr">
        <is>
          <t>Costco</t>
        </is>
      </c>
      <c r="E910" s="5" t="n">
        <v>1</v>
      </c>
      <c r="F910" s="6" t="inlineStr">
        <is>
          <t>439 208 44 708</t>
        </is>
      </c>
      <c r="G910" s="15" t="n"/>
      <c r="H910" s="9" t="inlineStr">
        <is>
          <t>Sweet potato</t>
        </is>
      </c>
      <c r="I910" s="5" t="n">
        <v>5</v>
      </c>
      <c r="J910" s="5" t="inlineStr">
        <is>
          <t>lb</t>
        </is>
      </c>
      <c r="K910" s="9" t="n">
        <v>3.99</v>
      </c>
    </row>
    <row r="911" ht="15" customFormat="1" customHeight="1" s="5">
      <c r="A911" s="81" t="n">
        <v>45948</v>
      </c>
      <c r="B911" s="78" t="n">
        <v>0.4402777777777778</v>
      </c>
      <c r="C911" s="5" t="inlineStr">
        <is>
          <t>Costco</t>
        </is>
      </c>
      <c r="E911" s="5" t="n">
        <v>1</v>
      </c>
      <c r="F911" s="6" t="inlineStr">
        <is>
          <t>439 208 44 708</t>
        </is>
      </c>
      <c r="G911" s="15" t="n"/>
      <c r="H911" s="9" t="inlineStr">
        <is>
          <t>Sliced Sourdough (Heather Blahut recommendation)</t>
        </is>
      </c>
      <c r="I911" s="5" t="n">
        <v>48</v>
      </c>
      <c r="J911" s="5" t="inlineStr">
        <is>
          <t>oz</t>
        </is>
      </c>
      <c r="K911" s="9" t="n">
        <v>8.99</v>
      </c>
    </row>
    <row r="912" ht="15" customFormat="1" customHeight="1" s="5">
      <c r="A912" s="81" t="n">
        <v>45948</v>
      </c>
      <c r="B912" s="78" t="n">
        <v>0.4402777777777778</v>
      </c>
      <c r="C912" s="5" t="inlineStr">
        <is>
          <t>Costco</t>
        </is>
      </c>
      <c r="E912" s="5" t="n">
        <v>1</v>
      </c>
      <c r="F912" s="6" t="inlineStr">
        <is>
          <t>439 208 44 708</t>
        </is>
      </c>
      <c r="G912" s="15" t="n"/>
      <c r="H912" s="9" t="inlineStr">
        <is>
          <t>Tax A 8.00%</t>
        </is>
      </c>
      <c r="I912" s="5" t="n">
        <v>2</v>
      </c>
      <c r="J912" s="5" t="inlineStr">
        <is>
          <t>cnt</t>
        </is>
      </c>
      <c r="K912" s="9" t="n">
        <v>1.76</v>
      </c>
    </row>
    <row r="913" ht="15" customFormat="1" customHeight="1" s="5">
      <c r="A913" s="81" t="n">
        <v>45948</v>
      </c>
      <c r="B913" s="78" t="n">
        <v>0.4402777777777778</v>
      </c>
      <c r="C913" s="5" t="inlineStr">
        <is>
          <t>Costco</t>
        </is>
      </c>
      <c r="E913" s="5" t="n">
        <v>1</v>
      </c>
      <c r="F913" s="6" t="inlineStr">
        <is>
          <t>439 208 44 708</t>
        </is>
      </c>
      <c r="G913" s="15" t="n"/>
      <c r="H913" s="9" t="inlineStr">
        <is>
          <t>Tax E 3.75%</t>
        </is>
      </c>
      <c r="I913" s="5" t="n">
        <v>1</v>
      </c>
      <c r="J913" s="5" t="inlineStr">
        <is>
          <t>cnt</t>
        </is>
      </c>
      <c r="K913" s="9" t="n">
        <v>0.6</v>
      </c>
    </row>
    <row r="914" ht="15" customFormat="1" customHeight="1" s="5">
      <c r="A914" s="81" t="n">
        <v>45948</v>
      </c>
      <c r="B914" s="78" t="n">
        <v>0.4402777777777778</v>
      </c>
      <c r="C914" s="5" t="inlineStr">
        <is>
          <t>Costco</t>
        </is>
      </c>
      <c r="E914" s="5" t="n">
        <v>1</v>
      </c>
      <c r="F914" s="6" t="inlineStr">
        <is>
          <t>439 208 44 708</t>
        </is>
      </c>
      <c r="G914" s="15" t="n"/>
      <c r="H914" s="9" t="inlineStr">
        <is>
          <t>Tax F 4.00%</t>
        </is>
      </c>
      <c r="I914" s="5" t="n">
        <v>1</v>
      </c>
      <c r="J914" s="5" t="inlineStr">
        <is>
          <t>cnt</t>
        </is>
      </c>
      <c r="K914" s="9" t="n">
        <v>0.64</v>
      </c>
    </row>
    <row r="915" ht="15" customFormat="1" customHeight="1" s="5">
      <c r="A915" s="81" t="n">
        <v>45947</v>
      </c>
      <c r="B915" s="82" t="n">
        <v>0.7979166666666667</v>
      </c>
      <c r="C915" s="5" t="inlineStr">
        <is>
          <t>Accelerate Health</t>
        </is>
      </c>
      <c r="D915" s="5" t="n">
        <v>1</v>
      </c>
      <c r="F915" s="6" t="inlineStr">
        <is>
          <t>1018010903</t>
        </is>
      </c>
      <c r="G915" s="15" t="inlineStr">
        <is>
          <t>2025280BG5522</t>
        </is>
      </c>
      <c r="H915" s="9" t="inlineStr">
        <is>
          <t>10/3 Eli Chiro 20 minute follow up Dr. Kelly</t>
        </is>
      </c>
      <c r="I915" s="9" t="n">
        <v>1</v>
      </c>
      <c r="J915" s="9" t="inlineStr">
        <is>
          <t>cnt</t>
        </is>
      </c>
      <c r="K915" s="5" t="n">
        <v>118.4</v>
      </c>
    </row>
    <row r="916" ht="15" customFormat="1" customHeight="1" s="5">
      <c r="A916" s="81" t="n">
        <v>45946</v>
      </c>
      <c r="B916" s="82" t="n">
        <v>0.89375</v>
      </c>
      <c r="C916" s="5" t="inlineStr">
        <is>
          <t>Amazon</t>
        </is>
      </c>
      <c r="D916" s="5" t="n">
        <v>1</v>
      </c>
      <c r="F916" s="6" t="inlineStr">
        <is>
          <t>113-7787018-9584216</t>
        </is>
      </c>
      <c r="G916" s="15" t="n"/>
      <c r="H916" s="9" t="inlineStr">
        <is>
          <t>Amazon refund for mistaken charge</t>
        </is>
      </c>
      <c r="I916" s="9" t="n">
        <v>1</v>
      </c>
      <c r="J916" s="9" t="inlineStr">
        <is>
          <t>cnt</t>
        </is>
      </c>
      <c r="K916" s="9" t="n">
        <v>-205.19</v>
      </c>
    </row>
    <row r="917" ht="15" customFormat="1" customHeight="1" s="5">
      <c r="A917" s="81" t="n">
        <v>45946</v>
      </c>
      <c r="B917" s="78" t="n">
        <v>0.8673611111111111</v>
      </c>
      <c r="C917" s="5" t="inlineStr">
        <is>
          <t>BELLA Health + Wellness</t>
        </is>
      </c>
      <c r="D917" s="5" t="n">
        <v>1</v>
      </c>
      <c r="F917" s="6" t="inlineStr">
        <is>
          <t>1017024944</t>
        </is>
      </c>
      <c r="G917" s="15" t="inlineStr">
        <is>
          <t>2025282BH0124</t>
        </is>
      </c>
      <c r="H917" s="9" t="inlineStr">
        <is>
          <t>10/2 Lydia Ultrasound 36-week prenatal</t>
        </is>
      </c>
      <c r="I917" s="5" t="n">
        <v>1</v>
      </c>
      <c r="J917" s="5" t="inlineStr">
        <is>
          <t>cnt</t>
        </is>
      </c>
      <c r="K917" s="9" t="n">
        <v>150.24</v>
      </c>
    </row>
    <row r="918" ht="15" customFormat="1" customHeight="1" s="5">
      <c r="A918" s="81" t="n">
        <v>45946</v>
      </c>
      <c r="B918" s="82" t="n">
        <v>0.8625</v>
      </c>
      <c r="C918" s="5" t="inlineStr">
        <is>
          <t>Accelerate Health</t>
        </is>
      </c>
      <c r="D918" s="5" t="n">
        <v>1</v>
      </c>
      <c r="F918" s="6" t="inlineStr">
        <is>
          <t>1017024252</t>
        </is>
      </c>
      <c r="G918" s="15" t="inlineStr">
        <is>
          <t>2025280BG5380</t>
        </is>
      </c>
      <c r="H918" s="9" t="inlineStr">
        <is>
          <t>10/3 Lydia Chiro 20 minute follow up Dr. Kelly -- no massage, but charged this anyway</t>
        </is>
      </c>
      <c r="I918" s="9" t="n">
        <v>1</v>
      </c>
      <c r="J918" s="9" t="inlineStr">
        <is>
          <t>cnt</t>
        </is>
      </c>
      <c r="K918" s="5" t="n">
        <v>135.74</v>
      </c>
    </row>
    <row r="919" ht="15" customFormat="1" customHeight="1" s="5">
      <c r="A919" s="81" t="n">
        <v>45946</v>
      </c>
      <c r="B919" s="78" t="n">
        <v>0.7083333333333334</v>
      </c>
      <c r="C919" s="5" t="inlineStr">
        <is>
          <t>Safeway</t>
        </is>
      </c>
      <c r="E919" s="5" t="n">
        <v>1</v>
      </c>
      <c r="F919" s="6" t="inlineStr">
        <is>
          <t>2612 53 173 8853</t>
        </is>
      </c>
      <c r="G919" s="15" t="inlineStr">
        <is>
          <t>74747940020</t>
        </is>
      </c>
      <c r="H919" s="9" t="inlineStr">
        <is>
          <t>Rao's Tuscan Beef Soup</t>
        </is>
      </c>
      <c r="I919" s="9" t="n">
        <v>15.5</v>
      </c>
      <c r="J919" s="9" t="inlineStr">
        <is>
          <t>oz</t>
        </is>
      </c>
      <c r="K919" s="9" t="n">
        <v>6.49</v>
      </c>
    </row>
    <row r="920" ht="15" customFormat="1" customHeight="1" s="5">
      <c r="A920" s="81" t="n">
        <v>45946</v>
      </c>
      <c r="B920" s="78" t="n">
        <v>0.7083333333333334</v>
      </c>
      <c r="C920" s="5" t="inlineStr">
        <is>
          <t>Safeway</t>
        </is>
      </c>
      <c r="E920" s="5" t="n">
        <v>1</v>
      </c>
      <c r="F920" s="6" t="inlineStr">
        <is>
          <t>2612 53 173 8853</t>
        </is>
      </c>
      <c r="G920" s="15" t="inlineStr">
        <is>
          <t>74747940020</t>
        </is>
      </c>
      <c r="H920" s="9" t="inlineStr">
        <is>
          <t>Rao's Tuscan Beef Soup</t>
        </is>
      </c>
      <c r="I920" s="9" t="n">
        <v>15.5</v>
      </c>
      <c r="J920" s="9" t="inlineStr">
        <is>
          <t>oz</t>
        </is>
      </c>
      <c r="K920" s="9" t="n">
        <v>6.49</v>
      </c>
    </row>
    <row r="921" ht="15" customFormat="1" customHeight="1" s="5">
      <c r="A921" s="81" t="n">
        <v>45946</v>
      </c>
      <c r="B921" s="78" t="n">
        <v>0.7083333333333334</v>
      </c>
      <c r="C921" s="5" t="inlineStr">
        <is>
          <t>Safeway</t>
        </is>
      </c>
      <c r="E921" s="5" t="n">
        <v>1</v>
      </c>
      <c r="F921" s="6" t="inlineStr">
        <is>
          <t>2612 53 173 8853</t>
        </is>
      </c>
      <c r="G921" s="15" t="inlineStr">
        <is>
          <t>74747940020</t>
        </is>
      </c>
      <c r="H921" s="9" t="inlineStr">
        <is>
          <t>**DISCOUNT** Member Savings</t>
        </is>
      </c>
      <c r="I921" s="9" t="n">
        <v>31</v>
      </c>
      <c r="J921" s="9" t="inlineStr">
        <is>
          <t>oz</t>
        </is>
      </c>
      <c r="K921" s="9" t="n">
        <v>-3</v>
      </c>
    </row>
    <row r="922" ht="15" customFormat="1" customHeight="1" s="5">
      <c r="A922" s="81" t="n">
        <v>45946</v>
      </c>
      <c r="B922" s="78" t="n">
        <v>0.7083333333333334</v>
      </c>
      <c r="C922" s="5" t="inlineStr">
        <is>
          <t>Safeway</t>
        </is>
      </c>
      <c r="E922" s="5" t="n">
        <v>1</v>
      </c>
      <c r="F922" s="6" t="inlineStr">
        <is>
          <t>2612 53 173 8853</t>
        </is>
      </c>
      <c r="G922" s="15" t="inlineStr">
        <is>
          <t>1800000512</t>
        </is>
      </c>
      <c r="H922" s="9" t="inlineStr">
        <is>
          <t>Pillsbury Cinnamon Rolls With Cream Cheese Icing 8 Count - 12.4 Oz</t>
        </is>
      </c>
      <c r="I922" s="9" t="n">
        <v>12.4</v>
      </c>
      <c r="J922" s="9" t="inlineStr">
        <is>
          <t>oz</t>
        </is>
      </c>
      <c r="K922" s="9" t="n">
        <v>4.29</v>
      </c>
    </row>
    <row r="923" ht="15" customFormat="1" customHeight="1" s="5">
      <c r="A923" s="81" t="n">
        <v>45946</v>
      </c>
      <c r="B923" s="78" t="n">
        <v>0.7083333333333334</v>
      </c>
      <c r="C923" s="5" t="inlineStr">
        <is>
          <t>Safeway</t>
        </is>
      </c>
      <c r="E923" s="5" t="n">
        <v>1</v>
      </c>
      <c r="F923" s="6" t="inlineStr">
        <is>
          <t>2612 53 173 8853</t>
        </is>
      </c>
      <c r="G923" s="15" t="inlineStr">
        <is>
          <t>1800000512</t>
        </is>
      </c>
      <c r="H923" s="9" t="inlineStr">
        <is>
          <t>**DISCOUNT** Member Savings</t>
        </is>
      </c>
      <c r="I923" s="9" t="n">
        <v>12.4</v>
      </c>
      <c r="J923" s="9" t="inlineStr">
        <is>
          <t>oz</t>
        </is>
      </c>
      <c r="K923" s="9" t="n">
        <v>-1.8</v>
      </c>
    </row>
    <row r="924" ht="15" customFormat="1" customHeight="1" s="5">
      <c r="A924" s="81" t="n">
        <v>45946</v>
      </c>
      <c r="B924" s="78" t="n">
        <v>0.7083333333333334</v>
      </c>
      <c r="C924" s="5" t="inlineStr">
        <is>
          <t>Safeway</t>
        </is>
      </c>
      <c r="E924" s="5" t="n">
        <v>1</v>
      </c>
      <c r="F924" s="6" t="inlineStr">
        <is>
          <t>2612 53 173 8853</t>
        </is>
      </c>
      <c r="G924" s="15" t="inlineStr">
        <is>
          <t>7313203111</t>
        </is>
      </c>
      <c r="H924" s="9" t="inlineStr">
        <is>
          <t>Rustik Oven Sourdough Bread Sliced</t>
        </is>
      </c>
      <c r="I924" s="9" t="n">
        <v>16</v>
      </c>
      <c r="J924" s="9" t="inlineStr">
        <is>
          <t>oz</t>
        </is>
      </c>
      <c r="K924" s="9" t="n">
        <v>5.49</v>
      </c>
    </row>
    <row r="925" ht="15" customFormat="1" customHeight="1" s="5">
      <c r="A925" s="81" t="n">
        <v>45946</v>
      </c>
      <c r="B925" s="78" t="n">
        <v>0.7083333333333334</v>
      </c>
      <c r="C925" s="5" t="inlineStr">
        <is>
          <t>Safeway</t>
        </is>
      </c>
      <c r="E925" s="5" t="n">
        <v>1</v>
      </c>
      <c r="F925" s="6" t="inlineStr">
        <is>
          <t>2612 53 173 8853</t>
        </is>
      </c>
      <c r="G925" s="15" t="inlineStr">
        <is>
          <t>7313203111</t>
        </is>
      </c>
      <c r="H925" s="9" t="inlineStr">
        <is>
          <t>**DISCOUNT** Member Savings</t>
        </is>
      </c>
      <c r="I925" s="9" t="n">
        <v>16</v>
      </c>
      <c r="J925" s="9" t="inlineStr">
        <is>
          <t>oz</t>
        </is>
      </c>
      <c r="K925" s="9" t="n">
        <v>-0.5</v>
      </c>
    </row>
    <row r="926" ht="15" customFormat="1" customHeight="1" s="5">
      <c r="A926" s="81" t="n">
        <v>45946</v>
      </c>
      <c r="B926" s="78" t="n">
        <v>0.7083333333333334</v>
      </c>
      <c r="C926" s="5" t="inlineStr">
        <is>
          <t>Safeway</t>
        </is>
      </c>
      <c r="E926" s="5" t="n">
        <v>1</v>
      </c>
      <c r="F926" s="6" t="inlineStr">
        <is>
          <t>2612 53 173 8853</t>
        </is>
      </c>
      <c r="G926" s="15" t="inlineStr">
        <is>
          <t>4062</t>
        </is>
      </c>
      <c r="H926" s="9" t="inlineStr">
        <is>
          <t>Cucumbers, 1 whole</t>
        </is>
      </c>
      <c r="I926" s="9" t="n">
        <v>1</v>
      </c>
      <c r="J926" s="9" t="inlineStr">
        <is>
          <t>cnt</t>
        </is>
      </c>
      <c r="K926" s="9" t="n">
        <v>0.99</v>
      </c>
    </row>
    <row r="927" ht="15" customFormat="1" customHeight="1" s="5">
      <c r="A927" s="81" t="n">
        <v>45946</v>
      </c>
      <c r="B927" s="78" t="n">
        <v>0.7083333333333334</v>
      </c>
      <c r="C927" s="5" t="inlineStr">
        <is>
          <t>Safeway</t>
        </is>
      </c>
      <c r="E927" s="5" t="n">
        <v>1</v>
      </c>
      <c r="F927" s="6" t="inlineStr">
        <is>
          <t>2612 53 173 8853</t>
        </is>
      </c>
      <c r="G927" s="15" t="inlineStr">
        <is>
          <t>4087</t>
        </is>
      </c>
      <c r="H927" s="9" t="inlineStr">
        <is>
          <t>Red Roma Tomatoes @$1.69/lb</t>
        </is>
      </c>
      <c r="I927" s="9" t="n">
        <v>0.71</v>
      </c>
      <c r="J927" s="9" t="inlineStr">
        <is>
          <t>lb</t>
        </is>
      </c>
      <c r="K927" s="9" t="n">
        <v>1.2</v>
      </c>
    </row>
    <row r="928" ht="15" customFormat="1" customHeight="1" s="5">
      <c r="A928" s="81" t="n">
        <v>45946</v>
      </c>
      <c r="B928" s="78" t="n">
        <v>0.7083333333333334</v>
      </c>
      <c r="C928" s="5" t="inlineStr">
        <is>
          <t>Safeway</t>
        </is>
      </c>
      <c r="E928" s="5" t="n">
        <v>1</v>
      </c>
      <c r="F928" s="6" t="inlineStr">
        <is>
          <t>2612 53 173 8853</t>
        </is>
      </c>
      <c r="G928" s="15" t="n"/>
      <c r="H928" s="9" t="inlineStr">
        <is>
          <t>**DISCOUNT** Rewards and Cash Off</t>
        </is>
      </c>
      <c r="I928" s="9" t="n">
        <v>1</v>
      </c>
      <c r="J928" s="9" t="inlineStr">
        <is>
          <t>cnt</t>
        </is>
      </c>
      <c r="K928" s="9" t="n">
        <v>-1</v>
      </c>
    </row>
    <row r="929" ht="15" customFormat="1" customHeight="1" s="5">
      <c r="A929" s="81" t="n">
        <v>45946</v>
      </c>
      <c r="B929" s="78" t="n">
        <v>0.7083333333333334</v>
      </c>
      <c r="C929" s="5" t="inlineStr">
        <is>
          <t>Safeway</t>
        </is>
      </c>
      <c r="E929" s="5" t="n">
        <v>1</v>
      </c>
      <c r="F929" s="6" t="inlineStr">
        <is>
          <t>2612 53 173 8853</t>
        </is>
      </c>
      <c r="G929" s="15" t="n"/>
      <c r="H929" s="9" t="inlineStr">
        <is>
          <t>Tax</t>
        </is>
      </c>
      <c r="I929" s="9" t="n">
        <v>6</v>
      </c>
      <c r="J929" s="9" t="inlineStr">
        <is>
          <t>cnt</t>
        </is>
      </c>
      <c r="K929" s="9" t="n">
        <v>0</v>
      </c>
    </row>
    <row r="930" ht="15" customFormat="1" customHeight="1" s="5">
      <c r="A930" s="81" t="n">
        <v>45946</v>
      </c>
      <c r="B930" s="82" t="n">
        <v>0.6666666666666666</v>
      </c>
      <c r="C930" s="5" t="inlineStr">
        <is>
          <t>Amazon</t>
        </is>
      </c>
      <c r="E930" s="5" t="n">
        <v>1</v>
      </c>
      <c r="F930" s="6" t="inlineStr">
        <is>
          <t>112-1339958-3784251</t>
        </is>
      </c>
      <c r="G930" s="15" t="n"/>
      <c r="H930" s="9" t="inlineStr">
        <is>
          <t xml:space="preserve">**RETURNED** Owlet Cam Smart Video Baby Monitor with Video Camera and Audio - Secure WiFi, 1080p Night Vision, Customize Cry, Sound and Motion Alerts, 2-Way Audio, Mounting kit -- "Open Box, Like New: Screen is like new with no visible scratches. Item will come in original packaging." </t>
        </is>
      </c>
      <c r="I930" s="5" t="n">
        <v>1</v>
      </c>
      <c r="J930" s="5" t="inlineStr">
        <is>
          <t>cnt</t>
        </is>
      </c>
      <c r="K930" s="5" t="n">
        <v>-62.32</v>
      </c>
    </row>
    <row r="931" ht="15" customFormat="1" customHeight="1" s="5">
      <c r="A931" s="81" t="n">
        <v>45946</v>
      </c>
      <c r="B931" s="82" t="n">
        <v>0.6402777777777777</v>
      </c>
      <c r="C931" s="5" t="inlineStr">
        <is>
          <t>Amazon</t>
        </is>
      </c>
      <c r="D931" s="5" t="n">
        <v>1</v>
      </c>
      <c r="F931" s="6" t="inlineStr">
        <is>
          <t>111-8396131-2656200</t>
        </is>
      </c>
      <c r="G931" s="15" t="n"/>
      <c r="H931" s="18" t="inlineStr">
        <is>
          <t>Owlet Dream Sight™ – Smart HD Video Baby Monitor with 2K Camera, Cry, Motion &amp; Sound Alerts, Temp + Humidity Monitoring, Secure WiFi, 2-Way Talk, Compatible with Dream Sock Sold by: Amazon.com Supplied by: Other</t>
        </is>
      </c>
      <c r="I931" s="5" t="n">
        <v>1</v>
      </c>
      <c r="J931" s="5" t="inlineStr">
        <is>
          <t>cnt</t>
        </is>
      </c>
      <c r="K931" s="5" t="n">
        <v>99.98999999999999</v>
      </c>
    </row>
    <row r="932" ht="15" customFormat="1" customHeight="1" s="5">
      <c r="A932" s="81" t="n">
        <v>45946</v>
      </c>
      <c r="B932" s="82" t="n">
        <v>0.6402777777777777</v>
      </c>
      <c r="C932" s="5" t="inlineStr">
        <is>
          <t>Amazon</t>
        </is>
      </c>
      <c r="D932" s="5" t="n">
        <v>1</v>
      </c>
      <c r="F932" s="6" t="inlineStr">
        <is>
          <t>111-8396131-2656200</t>
        </is>
      </c>
      <c r="G932" s="15" t="n"/>
      <c r="H932" s="9" t="inlineStr">
        <is>
          <t>**DISCOUNT** Amazon Registry 15% discount</t>
        </is>
      </c>
      <c r="I932" s="5" t="n">
        <v>1</v>
      </c>
      <c r="J932" s="5" t="inlineStr">
        <is>
          <t>cnt</t>
        </is>
      </c>
      <c r="K932" s="5" t="n">
        <v>-15</v>
      </c>
    </row>
    <row r="933" ht="15" customFormat="1" customHeight="1" s="5">
      <c r="A933" s="81" t="n">
        <v>45946</v>
      </c>
      <c r="B933" s="82" t="n">
        <v>0.6402777777777777</v>
      </c>
      <c r="C933" s="5" t="inlineStr">
        <is>
          <t>Amazon</t>
        </is>
      </c>
      <c r="D933" s="5" t="n">
        <v>1</v>
      </c>
      <c r="F933" s="6" t="inlineStr">
        <is>
          <t>111-8396131-2656200</t>
        </is>
      </c>
      <c r="G933" s="15" t="n"/>
      <c r="H933" s="9" t="inlineStr">
        <is>
          <t>Co retail delivery fees</t>
        </is>
      </c>
      <c r="I933" s="5" t="n">
        <v>1</v>
      </c>
      <c r="J933" s="5" t="inlineStr">
        <is>
          <t>cnt</t>
        </is>
      </c>
      <c r="K933" s="5" t="n">
        <v>0.28</v>
      </c>
    </row>
    <row r="934" ht="15" customFormat="1" customHeight="1" s="5">
      <c r="A934" s="81" t="n">
        <v>45946</v>
      </c>
      <c r="B934" s="82" t="n">
        <v>0.6402777777777777</v>
      </c>
      <c r="C934" s="5" t="inlineStr">
        <is>
          <t>Amazon</t>
        </is>
      </c>
      <c r="D934" s="5" t="n">
        <v>1</v>
      </c>
      <c r="F934" s="6" t="inlineStr">
        <is>
          <t>111-8396131-2656200</t>
        </is>
      </c>
      <c r="G934" s="15" t="n"/>
      <c r="H934" s="9" t="inlineStr">
        <is>
          <t>Tax</t>
        </is>
      </c>
      <c r="I934" s="5" t="n">
        <v>1</v>
      </c>
      <c r="J934" s="5" t="inlineStr">
        <is>
          <t>cnt</t>
        </is>
      </c>
      <c r="K934" s="5" t="n">
        <v>6.8</v>
      </c>
    </row>
    <row r="935" ht="15" customFormat="1" customHeight="1" s="5">
      <c r="A935" s="81" t="n">
        <v>45946</v>
      </c>
      <c r="B935" s="82" t="n">
        <v>0.2916666666666667</v>
      </c>
      <c r="C935" s="5" t="inlineStr">
        <is>
          <t>US Tax Witholding</t>
        </is>
      </c>
      <c r="D935" s="5" t="n">
        <v>1</v>
      </c>
      <c r="F935" s="6" t="inlineStr">
        <is>
          <t>RTX_Paycheck_25_47</t>
        </is>
      </c>
      <c r="G935" s="7" t="n"/>
      <c r="H935" s="9" t="inlineStr">
        <is>
          <t>Federal Income Tax</t>
        </is>
      </c>
      <c r="I935" s="9" t="n"/>
      <c r="J935" s="9" t="n"/>
      <c r="K935" s="9" t="n">
        <v>523.01</v>
      </c>
    </row>
    <row r="936" ht="15" customFormat="1" customHeight="1" s="5">
      <c r="A936" s="81" t="n">
        <v>45946</v>
      </c>
      <c r="B936" s="82" t="n">
        <v>0.2916666666666667</v>
      </c>
      <c r="C936" s="5" t="inlineStr">
        <is>
          <t>US Tax Witholding</t>
        </is>
      </c>
      <c r="D936" s="5" t="n">
        <v>1</v>
      </c>
      <c r="F936" s="6" t="inlineStr">
        <is>
          <t>RTX_Paycheck_25_47</t>
        </is>
      </c>
      <c r="G936" s="7" t="n"/>
      <c r="H936" s="9" t="inlineStr">
        <is>
          <t>Social Security Tax</t>
        </is>
      </c>
      <c r="I936" s="9" t="n"/>
      <c r="J936" s="9" t="n"/>
      <c r="K936" s="9" t="n">
        <v>350.78</v>
      </c>
    </row>
    <row r="937" ht="15" customFormat="1" customHeight="1" s="5">
      <c r="A937" s="81" t="n">
        <v>45946</v>
      </c>
      <c r="B937" s="82" t="n">
        <v>0.2916666666666667</v>
      </c>
      <c r="C937" s="5" t="inlineStr">
        <is>
          <t>US Tax Witholding</t>
        </is>
      </c>
      <c r="D937" s="5" t="n">
        <v>1</v>
      </c>
      <c r="F937" s="6" t="inlineStr">
        <is>
          <t>RTX_Paycheck_25_47</t>
        </is>
      </c>
      <c r="G937" s="7" t="n"/>
      <c r="H937" s="9" t="inlineStr">
        <is>
          <t>Medicare Tax</t>
        </is>
      </c>
      <c r="I937" s="9" t="n"/>
      <c r="J937" s="9" t="n"/>
      <c r="K937" s="9" t="n">
        <v>82.04000000000001</v>
      </c>
    </row>
    <row r="938" ht="15" customFormat="1" customHeight="1" s="5">
      <c r="A938" s="81" t="n">
        <v>45946</v>
      </c>
      <c r="B938" s="82" t="n">
        <v>0.2916666666666667</v>
      </c>
      <c r="C938" s="5" t="inlineStr">
        <is>
          <t>Raytheon</t>
        </is>
      </c>
      <c r="D938" s="5" t="n">
        <v>1</v>
      </c>
      <c r="F938" s="6" t="inlineStr">
        <is>
          <t>RTX_Paycheck_25_47</t>
        </is>
      </c>
      <c r="G938" s="17" t="inlineStr">
        <is>
          <t>XXXX3523</t>
        </is>
      </c>
      <c r="H938" s="9" t="inlineStr">
        <is>
          <t>Net Paycheck [Sep 27 - Oct 10]</t>
        </is>
      </c>
      <c r="I938" s="9" t="n"/>
      <c r="J938" s="9" t="n"/>
      <c r="K938" s="9" t="n">
        <v>3406.34</v>
      </c>
    </row>
    <row r="939" ht="15" customFormat="1" customHeight="1" s="5">
      <c r="A939" s="81" t="n">
        <v>45946</v>
      </c>
      <c r="B939" s="82" t="n">
        <v>0.2916666666666667</v>
      </c>
      <c r="C939" s="5" t="inlineStr">
        <is>
          <t>Raytheon</t>
        </is>
      </c>
      <c r="D939" s="5" t="n">
        <v>1</v>
      </c>
      <c r="F939" s="6" t="inlineStr">
        <is>
          <t>RTX_Paycheck_25_47</t>
        </is>
      </c>
      <c r="G939" s="10" t="n"/>
      <c r="H939" s="9" t="inlineStr">
        <is>
          <t>RTX Direct Deposit -- cancelling offset</t>
        </is>
      </c>
      <c r="I939" s="9" t="n"/>
      <c r="J939" s="9" t="n"/>
      <c r="K939" s="9" t="n">
        <v>-3406.35</v>
      </c>
    </row>
    <row r="940" ht="15" customFormat="1" customHeight="1" s="5">
      <c r="A940" s="81" t="n">
        <v>45946</v>
      </c>
      <c r="B940" s="82" t="n">
        <v>0.2916666666666667</v>
      </c>
      <c r="C940" s="5" t="inlineStr">
        <is>
          <t>Raytheon</t>
        </is>
      </c>
      <c r="D940" s="5" t="n">
        <v>1</v>
      </c>
      <c r="F940" s="6" t="inlineStr">
        <is>
          <t>RTX_Paycheck_25_47</t>
        </is>
      </c>
      <c r="G940" s="10" t="n"/>
      <c r="H940" s="9" t="inlineStr">
        <is>
          <t>Gross Paycheck [Sep 27 - Oct 10] ($62.5000/hr)</t>
        </is>
      </c>
      <c r="I940" s="9" t="n"/>
      <c r="J940" s="9" t="n"/>
      <c r="K940" s="9" t="n">
        <v>-6086.63</v>
      </c>
    </row>
    <row r="941" ht="15" customFormat="1" customHeight="1" s="5">
      <c r="A941" s="81" t="n">
        <v>45946</v>
      </c>
      <c r="B941" s="82" t="n">
        <v>0.2916666666666667</v>
      </c>
      <c r="C941" s="5" t="inlineStr">
        <is>
          <t>Raytheon</t>
        </is>
      </c>
      <c r="D941" s="5" t="n">
        <v>1</v>
      </c>
      <c r="F941" s="6" t="inlineStr">
        <is>
          <t>RTX_Paycheck_25_47</t>
        </is>
      </c>
      <c r="G941" s="10" t="n"/>
      <c r="H941" s="9" t="inlineStr">
        <is>
          <t>Ed(ucation) Assi(tance) Offset</t>
        </is>
      </c>
      <c r="I941" s="9" t="n"/>
      <c r="J941" s="9" t="n"/>
      <c r="K941" s="9" t="n">
        <v>711.63</v>
      </c>
    </row>
    <row r="942" ht="15" customFormat="1" customHeight="1" s="5">
      <c r="A942" s="81" t="n">
        <v>45946</v>
      </c>
      <c r="B942" s="82" t="n">
        <v>0.2916666666666667</v>
      </c>
      <c r="C942" s="5" t="inlineStr">
        <is>
          <t>Parents Gift Account</t>
        </is>
      </c>
      <c r="D942" s="5" t="n">
        <v>1</v>
      </c>
      <c r="F942" s="6" t="inlineStr">
        <is>
          <t>RTX_Paycheck_25_47</t>
        </is>
      </c>
      <c r="G942" s="17" t="inlineStr">
        <is>
          <t>XXXX7146</t>
        </is>
      </c>
      <c r="H942" s="9" t="inlineStr">
        <is>
          <t>Contribution to Parents Gift Account</t>
        </is>
      </c>
      <c r="I942" s="9" t="n"/>
      <c r="J942" s="9" t="n"/>
      <c r="K942" s="9" t="n">
        <v>0.01</v>
      </c>
    </row>
    <row r="943" ht="15" customFormat="1" customHeight="1" s="5">
      <c r="A943" s="81" t="n">
        <v>45946</v>
      </c>
      <c r="B943" s="82" t="n">
        <v>0.2916666666666667</v>
      </c>
      <c r="C943" s="5" t="inlineStr">
        <is>
          <t>HSA</t>
        </is>
      </c>
      <c r="D943" s="5" t="n">
        <v>1</v>
      </c>
      <c r="F943" s="6" t="inlineStr">
        <is>
          <t>RTX_Paycheck_25_47</t>
        </is>
      </c>
      <c r="G943" s="10" t="n"/>
      <c r="H943" s="9" t="inlineStr">
        <is>
          <t>Personal contribution to HSA</t>
        </is>
      </c>
      <c r="I943" s="9" t="n"/>
      <c r="J943" s="9" t="n"/>
      <c r="K943" s="9" t="n">
        <v>295.47</v>
      </c>
    </row>
    <row r="944" ht="15" customFormat="1" customHeight="1" s="5">
      <c r="A944" s="81" t="n">
        <v>45946</v>
      </c>
      <c r="B944" s="82" t="n">
        <v>0.2916666666666667</v>
      </c>
      <c r="C944" s="5" t="inlineStr">
        <is>
          <t>Delta Dental</t>
        </is>
      </c>
      <c r="D944" s="5" t="n">
        <v>1</v>
      </c>
      <c r="F944" s="6" t="inlineStr">
        <is>
          <t>RTX_Paycheck_25_47</t>
        </is>
      </c>
      <c r="G944" s="10" t="n"/>
      <c r="H944" s="9" t="inlineStr">
        <is>
          <t>Dental Insurance</t>
        </is>
      </c>
      <c r="I944" s="9" t="n"/>
      <c r="J944" s="9" t="n"/>
      <c r="K944" s="9" t="n">
        <v>4.26</v>
      </c>
    </row>
    <row r="945" ht="15" customFormat="1" customHeight="1" s="5">
      <c r="A945" s="81" t="n">
        <v>45946</v>
      </c>
      <c r="B945" s="82" t="n">
        <v>0.2916666666666667</v>
      </c>
      <c r="C945" s="5" t="inlineStr">
        <is>
          <t>CO Tax Witholding</t>
        </is>
      </c>
      <c r="D945" s="5" t="n">
        <v>1</v>
      </c>
      <c r="F945" s="6" t="inlineStr">
        <is>
          <t>RTX_Paycheck_25_47</t>
        </is>
      </c>
      <c r="G945" s="7" t="n"/>
      <c r="H945" s="9" t="inlineStr">
        <is>
          <t>CO State Income Tax</t>
        </is>
      </c>
      <c r="I945" s="9" t="n"/>
      <c r="J945" s="9" t="n"/>
      <c r="K945" s="9" t="n">
        <v>231.92</v>
      </c>
    </row>
    <row r="946" ht="15" customFormat="1" customHeight="1" s="5">
      <c r="A946" s="81" t="n">
        <v>45946</v>
      </c>
      <c r="B946" s="82" t="n">
        <v>0.2916666666666667</v>
      </c>
      <c r="C946" s="5" t="inlineStr">
        <is>
          <t>CO Tax Witholding</t>
        </is>
      </c>
      <c r="D946" s="5" t="n">
        <v>1</v>
      </c>
      <c r="F946" s="6" t="inlineStr">
        <is>
          <t>RTX_Paycheck_25_47</t>
        </is>
      </c>
      <c r="G946" s="7" t="n"/>
      <c r="H946" s="9" t="inlineStr">
        <is>
          <t>CO Paid Family Leave Insurance</t>
        </is>
      </c>
      <c r="I946" s="9" t="n"/>
      <c r="J946" s="9" t="n"/>
      <c r="K946" s="9" t="n">
        <v>27.39</v>
      </c>
    </row>
    <row r="947" ht="15" customFormat="1" customHeight="1" s="5">
      <c r="A947" s="81" t="n">
        <v>45946</v>
      </c>
      <c r="B947" s="82" t="n">
        <v>0.2916666666666667</v>
      </c>
      <c r="C947" s="5" t="inlineStr">
        <is>
          <t>Anthem BcBs</t>
        </is>
      </c>
      <c r="D947" s="5" t="n">
        <v>1</v>
      </c>
      <c r="F947" s="6" t="inlineStr">
        <is>
          <t>RTX_Paycheck_25_47</t>
        </is>
      </c>
      <c r="G947" s="10" t="n"/>
      <c r="H947" s="9" t="inlineStr">
        <is>
          <t>Medical Insurance</t>
        </is>
      </c>
      <c r="I947" s="9" t="n"/>
      <c r="J947" s="9" t="n"/>
      <c r="K947" s="9" t="n">
        <v>131.28</v>
      </c>
    </row>
    <row r="948" ht="15" customFormat="1" customHeight="1" s="5">
      <c r="A948" s="81" t="n">
        <v>45946</v>
      </c>
      <c r="B948" s="82" t="n">
        <v>0.2916666666666667</v>
      </c>
      <c r="C948" s="5" t="inlineStr">
        <is>
          <t>Alight</t>
        </is>
      </c>
      <c r="D948" s="5" t="n">
        <v>1</v>
      </c>
      <c r="F948" s="6" t="inlineStr">
        <is>
          <t>RTX_Paycheck_25_47</t>
        </is>
      </c>
      <c r="G948" s="10" t="n"/>
      <c r="H948" s="9" t="inlineStr">
        <is>
          <t>401k Basic -- Traditional</t>
        </is>
      </c>
      <c r="I948" s="9" t="n"/>
      <c r="J948" s="9" t="n"/>
      <c r="K948" s="9" t="n">
        <v>0</v>
      </c>
    </row>
    <row r="949" ht="15" customFormat="1" customHeight="1" s="5">
      <c r="A949" s="81" t="n">
        <v>45946</v>
      </c>
      <c r="B949" s="82" t="n">
        <v>0.2916666666666667</v>
      </c>
      <c r="C949" s="5" t="inlineStr">
        <is>
          <t>Alight</t>
        </is>
      </c>
      <c r="D949" s="5" t="n">
        <v>1</v>
      </c>
      <c r="F949" s="6" t="inlineStr">
        <is>
          <t>RTX_Paycheck_25_47</t>
        </is>
      </c>
      <c r="G949" s="10" t="n"/>
      <c r="H949" s="9" t="inlineStr">
        <is>
          <t>Roth 401k Basic</t>
        </is>
      </c>
      <c r="I949" s="9" t="n"/>
      <c r="J949" s="9" t="n"/>
      <c r="K949" s="9" t="n">
        <v>322.5</v>
      </c>
    </row>
    <row r="950" ht="15" customFormat="1" customHeight="1" s="5">
      <c r="A950" s="81" t="n">
        <v>45945</v>
      </c>
      <c r="B950" s="78" t="n">
        <v>0.5013888888888889</v>
      </c>
      <c r="C950" s="5" t="inlineStr">
        <is>
          <t>Costco</t>
        </is>
      </c>
      <c r="E950" s="5" t="n">
        <v>1</v>
      </c>
      <c r="F950" s="6" t="inlineStr">
        <is>
          <t>439 209 72 709</t>
        </is>
      </c>
      <c r="G950" s="15" t="inlineStr">
        <is>
          <t>509768</t>
        </is>
      </c>
      <c r="H950" s="9" t="inlineStr">
        <is>
          <t>3M Scissors, 3-pack, Precision Ultra Edge, 3 x 8in scissors</t>
        </is>
      </c>
      <c r="K950" s="9" t="inlineStr">
        <is>
          <t>9.99 A</t>
        </is>
      </c>
    </row>
    <row r="951" ht="15" customFormat="1" customHeight="1" s="5">
      <c r="A951" s="81" t="n">
        <v>45945</v>
      </c>
      <c r="B951" s="78" t="n">
        <v>0.5013888888888889</v>
      </c>
      <c r="C951" s="5" t="inlineStr">
        <is>
          <t>Costco</t>
        </is>
      </c>
      <c r="E951" s="5" t="n">
        <v>1</v>
      </c>
      <c r="F951" s="6" t="inlineStr">
        <is>
          <t>439 209 72 709</t>
        </is>
      </c>
      <c r="G951" s="15" t="inlineStr">
        <is>
          <t>0000361326</t>
        </is>
      </c>
      <c r="H951" s="9" t="inlineStr">
        <is>
          <t>**DISCOUNT** /509768 3M Scissors</t>
        </is>
      </c>
      <c r="K951" s="9" t="inlineStr">
        <is>
          <t>3.00-A</t>
        </is>
      </c>
    </row>
    <row r="952" ht="15" customFormat="1" customHeight="1" s="5">
      <c r="A952" s="81" t="n">
        <v>45945</v>
      </c>
      <c r="B952" s="78" t="n">
        <v>0.5013888888888889</v>
      </c>
      <c r="C952" s="5" t="inlineStr">
        <is>
          <t>Costco</t>
        </is>
      </c>
      <c r="E952" s="5" t="n">
        <v>1</v>
      </c>
      <c r="F952" s="6" t="inlineStr">
        <is>
          <t>439 209 72 709</t>
        </is>
      </c>
      <c r="G952" s="15" t="inlineStr">
        <is>
          <t>E 61576</t>
        </is>
      </c>
      <c r="H952" s="9" t="inlineStr">
        <is>
          <t>Sweet potato</t>
        </is>
      </c>
      <c r="I952" s="5" t="n">
        <v>5</v>
      </c>
      <c r="J952" s="5" t="inlineStr">
        <is>
          <t>lb</t>
        </is>
      </c>
      <c r="K952" s="9" t="n">
        <v>3.99</v>
      </c>
    </row>
    <row r="953" ht="15" customFormat="1" customHeight="1" s="5">
      <c r="A953" s="81" t="n">
        <v>45945</v>
      </c>
      <c r="B953" s="78" t="n">
        <v>0.5013888888888889</v>
      </c>
      <c r="C953" s="5" t="inlineStr">
        <is>
          <t>Costco</t>
        </is>
      </c>
      <c r="E953" s="5" t="n">
        <v>1</v>
      </c>
      <c r="F953" s="6" t="inlineStr">
        <is>
          <t>439 209 72 709</t>
        </is>
      </c>
      <c r="G953" s="15" t="inlineStr">
        <is>
          <t>E 39036</t>
        </is>
      </c>
      <c r="H953" s="9" t="inlineStr">
        <is>
          <t>Romaine Lettuce Heads</t>
        </is>
      </c>
      <c r="I953" s="5" t="n">
        <v>6</v>
      </c>
      <c r="J953" s="5" t="inlineStr">
        <is>
          <t>cnt</t>
        </is>
      </c>
      <c r="K953" s="9" t="n">
        <v>3.69</v>
      </c>
    </row>
    <row r="954" ht="15" customFormat="1" customHeight="1" s="5">
      <c r="A954" s="81" t="n">
        <v>45945</v>
      </c>
      <c r="B954" s="78" t="n">
        <v>0.5013888888888889</v>
      </c>
      <c r="C954" s="5" t="inlineStr">
        <is>
          <t>Costco</t>
        </is>
      </c>
      <c r="E954" s="5" t="n">
        <v>1</v>
      </c>
      <c r="F954" s="6" t="inlineStr">
        <is>
          <t>439 209 72 709</t>
        </is>
      </c>
      <c r="G954" s="15" t="inlineStr">
        <is>
          <t>E 1015237</t>
        </is>
      </c>
      <c r="H954" s="9" t="inlineStr">
        <is>
          <t>KS Stir Fry Frozen</t>
        </is>
      </c>
      <c r="I954" s="5" t="n">
        <v>5.5</v>
      </c>
      <c r="J954" s="5" t="inlineStr">
        <is>
          <t>lb</t>
        </is>
      </c>
      <c r="K954" s="9" t="n">
        <v>9.789999999999999</v>
      </c>
    </row>
    <row r="955" ht="15" customFormat="1" customHeight="1" s="5">
      <c r="A955" s="81" t="n">
        <v>45945</v>
      </c>
      <c r="B955" s="78" t="n">
        <v>0.5013888888888889</v>
      </c>
      <c r="C955" s="5" t="inlineStr">
        <is>
          <t>Costco</t>
        </is>
      </c>
      <c r="E955" s="5" t="n">
        <v>1</v>
      </c>
      <c r="F955" s="6" t="inlineStr">
        <is>
          <t>439 209 72 709</t>
        </is>
      </c>
      <c r="G955" s="15" t="inlineStr">
        <is>
          <t>E 1129578</t>
        </is>
      </c>
      <c r="H955" s="9" t="inlineStr">
        <is>
          <t>Marianne''s Avocado Oil</t>
        </is>
      </c>
      <c r="I955" s="5" t="n">
        <v>67.59999999999999</v>
      </c>
      <c r="J955" s="5" t="inlineStr">
        <is>
          <t>oz</t>
        </is>
      </c>
      <c r="K955" s="9" t="n">
        <v>21.89</v>
      </c>
    </row>
    <row r="956" ht="15" customFormat="1" customHeight="1" s="5">
      <c r="A956" s="81" t="n">
        <v>45945</v>
      </c>
      <c r="B956" s="78" t="n">
        <v>0.5013888888888889</v>
      </c>
      <c r="C956" s="5" t="inlineStr">
        <is>
          <t>Costco</t>
        </is>
      </c>
      <c r="E956" s="5" t="n">
        <v>1</v>
      </c>
      <c r="F956" s="6" t="inlineStr">
        <is>
          <t>439 209 72 709</t>
        </is>
      </c>
      <c r="G956" s="15" t="inlineStr">
        <is>
          <t>E 1296507</t>
        </is>
      </c>
      <c r="H956" s="9" t="inlineStr">
        <is>
          <t>Organic Madras Lentils Tastybite, 8 pack x 10 oz</t>
        </is>
      </c>
      <c r="I956" s="5" t="n">
        <v>80</v>
      </c>
      <c r="J956" s="5" t="inlineStr">
        <is>
          <t>oz</t>
        </is>
      </c>
      <c r="K956" s="9" t="n">
        <v>14.79</v>
      </c>
    </row>
    <row r="957" ht="15" customFormat="1" customHeight="1" s="5">
      <c r="A957" s="81" t="n">
        <v>45945</v>
      </c>
      <c r="B957" s="78" t="n">
        <v>0.5013888888888889</v>
      </c>
      <c r="C957" s="5" t="inlineStr">
        <is>
          <t>Costco</t>
        </is>
      </c>
      <c r="E957" s="5" t="n">
        <v>1</v>
      </c>
      <c r="F957" s="6" t="inlineStr">
        <is>
          <t>439 209 72 709</t>
        </is>
      </c>
      <c r="G957" s="15" t="inlineStr">
        <is>
          <t>E 0000362919</t>
        </is>
      </c>
      <c r="H957" s="9" t="inlineStr">
        <is>
          <t>**DISCOUNT** Tastybite Lentils</t>
        </is>
      </c>
      <c r="I957" s="5" t="n">
        <v>80</v>
      </c>
      <c r="J957" s="5" t="inlineStr">
        <is>
          <t>oz</t>
        </is>
      </c>
      <c r="K957" s="9" t="inlineStr">
        <is>
          <t>4.00-</t>
        </is>
      </c>
    </row>
    <row r="958" ht="15" customFormat="1" customHeight="1" s="5">
      <c r="A958" s="81" t="n">
        <v>45945</v>
      </c>
      <c r="B958" s="78" t="n">
        <v>0.5013888888888889</v>
      </c>
      <c r="C958" s="5" t="inlineStr">
        <is>
          <t>Costco</t>
        </is>
      </c>
      <c r="E958" s="5" t="n">
        <v>1</v>
      </c>
      <c r="F958" s="6" t="inlineStr">
        <is>
          <t>439 209 72 709</t>
        </is>
      </c>
      <c r="G958" s="15" t="inlineStr">
        <is>
          <t>E 1296507</t>
        </is>
      </c>
      <c r="H958" s="9" t="inlineStr">
        <is>
          <t>Organic Madras Lentils Tastybite, 8 pack x 10 oz</t>
        </is>
      </c>
      <c r="I958" s="5" t="n">
        <v>80</v>
      </c>
      <c r="J958" s="5" t="inlineStr">
        <is>
          <t>oz</t>
        </is>
      </c>
      <c r="K958" s="9" t="n">
        <v>14.79</v>
      </c>
    </row>
    <row r="959" ht="15" customFormat="1" customHeight="1" s="5">
      <c r="A959" s="81" t="n">
        <v>45945</v>
      </c>
      <c r="B959" s="78" t="n">
        <v>0.5013888888888889</v>
      </c>
      <c r="C959" s="5" t="inlineStr">
        <is>
          <t>Costco</t>
        </is>
      </c>
      <c r="E959" s="5" t="n">
        <v>1</v>
      </c>
      <c r="F959" s="6" t="inlineStr">
        <is>
          <t>439 209 72 709</t>
        </is>
      </c>
      <c r="G959" s="15" t="inlineStr">
        <is>
          <t>E 0000362919</t>
        </is>
      </c>
      <c r="H959" s="9" t="inlineStr">
        <is>
          <t>**DISCOUNT** Tastybite Lentils</t>
        </is>
      </c>
      <c r="I959" s="5" t="n">
        <v>80</v>
      </c>
      <c r="J959" s="5" t="inlineStr">
        <is>
          <t>oz</t>
        </is>
      </c>
      <c r="K959" s="9" t="inlineStr">
        <is>
          <t>4.00-</t>
        </is>
      </c>
    </row>
    <row r="960" ht="15" customFormat="1" customHeight="1" s="5">
      <c r="A960" s="81" t="n">
        <v>45945</v>
      </c>
      <c r="B960" s="78" t="n">
        <v>0.5013888888888889</v>
      </c>
      <c r="C960" s="5" t="inlineStr">
        <is>
          <t>Costco</t>
        </is>
      </c>
      <c r="E960" s="5" t="n">
        <v>1</v>
      </c>
      <c r="F960" s="6" t="inlineStr">
        <is>
          <t>439 209 72 709</t>
        </is>
      </c>
      <c r="G960" s="15" t="inlineStr">
        <is>
          <t>E 47825</t>
        </is>
      </c>
      <c r="H960" s="9" t="inlineStr">
        <is>
          <t>Green Grapes Seedless Autumn Crisp</t>
        </is>
      </c>
      <c r="I960" s="5" t="n">
        <v>3</v>
      </c>
      <c r="J960" s="5" t="inlineStr">
        <is>
          <t>lb</t>
        </is>
      </c>
      <c r="K960" s="9" t="n">
        <v>5.99</v>
      </c>
    </row>
    <row r="961" ht="15" customFormat="1" customHeight="1" s="5">
      <c r="A961" s="81" t="n">
        <v>45945</v>
      </c>
      <c r="B961" s="78" t="n">
        <v>0.5013888888888889</v>
      </c>
      <c r="C961" s="5" t="inlineStr">
        <is>
          <t>Costco</t>
        </is>
      </c>
      <c r="E961" s="5" t="n">
        <v>1</v>
      </c>
      <c r="F961" s="6" t="inlineStr">
        <is>
          <t>439 209 72 709</t>
        </is>
      </c>
      <c r="G961" s="15" t="inlineStr">
        <is>
          <t>E 96716</t>
        </is>
      </c>
      <c r="H961" s="9" t="inlineStr">
        <is>
          <t>Organic Spinach Box</t>
        </is>
      </c>
      <c r="I961" s="5" t="n">
        <v>16</v>
      </c>
      <c r="J961" s="5" t="inlineStr">
        <is>
          <t>oz</t>
        </is>
      </c>
      <c r="K961" s="9" t="n">
        <v>3.89</v>
      </c>
    </row>
    <row r="962" ht="15" customFormat="1" customHeight="1" s="5">
      <c r="A962" s="81" t="n">
        <v>45945</v>
      </c>
      <c r="B962" s="78" t="n">
        <v>0.5013888888888889</v>
      </c>
      <c r="C962" s="5" t="inlineStr">
        <is>
          <t>Costco</t>
        </is>
      </c>
      <c r="E962" s="5" t="n">
        <v>1</v>
      </c>
      <c r="F962" s="6" t="inlineStr">
        <is>
          <t>439 209 72 709</t>
        </is>
      </c>
      <c r="G962" s="15" t="inlineStr">
        <is>
          <t>E 17313</t>
        </is>
      </c>
      <c r="H962" s="9" t="inlineStr">
        <is>
          <t>Steelhead Farm Raised Fillet @$9.99/lb</t>
        </is>
      </c>
      <c r="I962" s="5" t="n">
        <v>3.23</v>
      </c>
      <c r="J962" s="5" t="inlineStr">
        <is>
          <t>lb</t>
        </is>
      </c>
      <c r="K962" s="9" t="n">
        <v>32.27</v>
      </c>
    </row>
    <row r="963" ht="15" customFormat="1" customHeight="1" s="5">
      <c r="A963" s="81" t="n">
        <v>45945</v>
      </c>
      <c r="B963" s="78" t="n">
        <v>0.5013888888888889</v>
      </c>
      <c r="C963" s="5" t="inlineStr">
        <is>
          <t>Costco</t>
        </is>
      </c>
      <c r="E963" s="5" t="n">
        <v>1</v>
      </c>
      <c r="F963" s="6" t="inlineStr">
        <is>
          <t>439 209 72 709</t>
        </is>
      </c>
      <c r="G963" s="15" t="inlineStr">
        <is>
          <t>E 1823420</t>
        </is>
      </c>
      <c r="H963" s="9" t="inlineStr">
        <is>
          <t>Rustic Italian Loaf Bread KS</t>
        </is>
      </c>
      <c r="I963" s="5" t="n">
        <v>2</v>
      </c>
      <c r="J963" s="5" t="inlineStr">
        <is>
          <t>lb</t>
        </is>
      </c>
      <c r="K963" s="9" t="n">
        <v>5.99</v>
      </c>
    </row>
    <row r="964" ht="15" customFormat="1" customHeight="1" s="5">
      <c r="A964" s="81" t="n">
        <v>45945</v>
      </c>
      <c r="B964" s="78" t="n">
        <v>0.5013888888888889</v>
      </c>
      <c r="C964" s="5" t="inlineStr">
        <is>
          <t>Costco</t>
        </is>
      </c>
      <c r="E964" s="5" t="n">
        <v>1</v>
      </c>
      <c r="F964" s="6" t="inlineStr">
        <is>
          <t>439 209 72 709</t>
        </is>
      </c>
      <c r="G964" s="15" t="inlineStr">
        <is>
          <t>E 1649248</t>
        </is>
      </c>
      <c r="H964" s="9" t="inlineStr">
        <is>
          <t>La Grande Galette French Butter Cookies with Sea Salt</t>
        </is>
      </c>
      <c r="I964" s="5" t="n">
        <v>21.16</v>
      </c>
      <c r="J964" s="5" t="inlineStr">
        <is>
          <t>oz</t>
        </is>
      </c>
      <c r="K964" s="9" t="n">
        <v>9.69</v>
      </c>
    </row>
    <row r="965" ht="15" customFormat="1" customHeight="1" s="5">
      <c r="A965" s="81" t="n">
        <v>45945</v>
      </c>
      <c r="B965" s="78" t="n">
        <v>0.5013888888888889</v>
      </c>
      <c r="C965" s="5" t="inlineStr">
        <is>
          <t>Costco</t>
        </is>
      </c>
      <c r="E965" s="5" t="n">
        <v>1</v>
      </c>
      <c r="F965" s="6" t="inlineStr">
        <is>
          <t>439 209 72 709</t>
        </is>
      </c>
      <c r="G965" s="15" t="inlineStr">
        <is>
          <t>E 0000361649</t>
        </is>
      </c>
      <c r="H965" s="9" t="inlineStr">
        <is>
          <t>**DISCOUNT** /1649248 Galette Cookies</t>
        </is>
      </c>
      <c r="I965" s="5" t="n">
        <v>21.16</v>
      </c>
      <c r="J965" s="5" t="inlineStr">
        <is>
          <t>oz</t>
        </is>
      </c>
      <c r="K965" s="9" t="inlineStr">
        <is>
          <t>3.10-</t>
        </is>
      </c>
    </row>
    <row r="966" ht="15" customFormat="1" customHeight="1" s="5">
      <c r="A966" s="81" t="n">
        <v>45945</v>
      </c>
      <c r="B966" s="78" t="n">
        <v>0.5013888888888889</v>
      </c>
      <c r="C966" s="5" t="inlineStr">
        <is>
          <t>Costco</t>
        </is>
      </c>
      <c r="E966" s="5" t="n">
        <v>1</v>
      </c>
      <c r="F966" s="6" t="inlineStr">
        <is>
          <t>439 209 72 709</t>
        </is>
      </c>
      <c r="G966" s="15" t="inlineStr">
        <is>
          <t>E 71003</t>
        </is>
      </c>
      <c r="H966" s="9" t="inlineStr">
        <is>
          <t>KS 100% Italian Extra Virgin Olive Oil, Cold-Extracted, Product of Italy</t>
        </is>
      </c>
      <c r="I966" s="5" t="n">
        <v>2</v>
      </c>
      <c r="J966" s="5" t="inlineStr">
        <is>
          <t>L</t>
        </is>
      </c>
      <c r="K966" s="9" t="n">
        <v>27.99</v>
      </c>
    </row>
    <row r="967" ht="15" customFormat="1" customHeight="1" s="5">
      <c r="A967" s="81" t="n">
        <v>45945</v>
      </c>
      <c r="B967" s="78" t="n">
        <v>0.5013888888888889</v>
      </c>
      <c r="C967" s="5" t="inlineStr">
        <is>
          <t>Costco</t>
        </is>
      </c>
      <c r="E967" s="5" t="n">
        <v>1</v>
      </c>
      <c r="F967" s="6" t="inlineStr">
        <is>
          <t>439 209 72 709</t>
        </is>
      </c>
      <c r="G967" s="15" t="inlineStr">
        <is>
          <t>E 5866</t>
        </is>
      </c>
      <c r="H967" s="9" t="inlineStr">
        <is>
          <t>Rave Apples</t>
        </is>
      </c>
      <c r="I967" s="5" t="n">
        <v>4</v>
      </c>
      <c r="J967" s="5" t="inlineStr">
        <is>
          <t>lb</t>
        </is>
      </c>
      <c r="K967" s="9" t="n">
        <v>4.79</v>
      </c>
    </row>
    <row r="968" ht="15" customFormat="1" customHeight="1" s="5">
      <c r="A968" s="81" t="n">
        <v>45945</v>
      </c>
      <c r="B968" s="78" t="n">
        <v>0.5013888888888889</v>
      </c>
      <c r="C968" s="5" t="inlineStr">
        <is>
          <t>Costco</t>
        </is>
      </c>
      <c r="E968" s="5" t="n">
        <v>1</v>
      </c>
      <c r="F968" s="6" t="inlineStr">
        <is>
          <t>439 209 72 709</t>
        </is>
      </c>
      <c r="G968" s="15" t="inlineStr">
        <is>
          <t>E 67072</t>
        </is>
      </c>
      <c r="H968" s="9" t="inlineStr">
        <is>
          <t>Navel Oranges from Chile</t>
        </is>
      </c>
      <c r="I968" s="5" t="n">
        <v>8</v>
      </c>
      <c r="J968" s="5" t="inlineStr">
        <is>
          <t>lb</t>
        </is>
      </c>
      <c r="K968" s="9" t="n">
        <v>10.89</v>
      </c>
    </row>
    <row r="969" ht="15" customFormat="1" customHeight="1" s="5">
      <c r="A969" s="81" t="n">
        <v>45945</v>
      </c>
      <c r="B969" s="78" t="n">
        <v>0.5013888888888889</v>
      </c>
      <c r="C969" s="5" t="inlineStr">
        <is>
          <t>Costco</t>
        </is>
      </c>
      <c r="E969" s="5" t="n">
        <v>1</v>
      </c>
      <c r="F969" s="6" t="inlineStr">
        <is>
          <t>439 209 72 709</t>
        </is>
      </c>
      <c r="G969" s="15" t="n"/>
      <c r="H969" s="9" t="inlineStr">
        <is>
          <t>Tax A 8.00%</t>
        </is>
      </c>
      <c r="I969" s="5" t="n">
        <v>15</v>
      </c>
      <c r="J969" s="5" t="inlineStr">
        <is>
          <t>cnt</t>
        </is>
      </c>
      <c r="K969" s="9" t="n">
        <v>0.5600000000000001</v>
      </c>
    </row>
    <row r="970" ht="15" customFormat="1" customHeight="1" s="5">
      <c r="A970" s="81" t="n">
        <v>45944</v>
      </c>
      <c r="B970" s="78" t="n">
        <v>0.8083333333333333</v>
      </c>
      <c r="C970" s="5" t="inlineStr">
        <is>
          <t>Zane's Italian Bistro</t>
        </is>
      </c>
      <c r="E970" s="5" t="n">
        <v>1</v>
      </c>
      <c r="F970" s="6" t="inlineStr">
        <is>
          <t>0038476819473</t>
        </is>
      </c>
      <c r="G970" s="15" t="n"/>
      <c r="H970" s="9" t="inlineStr">
        <is>
          <t>Pasta Bolognese</t>
        </is>
      </c>
      <c r="I970" s="9" t="n">
        <v>1</v>
      </c>
      <c r="J970" s="9" t="inlineStr">
        <is>
          <t>cnt</t>
        </is>
      </c>
      <c r="K970" s="9" t="n">
        <v>29</v>
      </c>
    </row>
    <row r="971" ht="15" customFormat="1" customHeight="1" s="5">
      <c r="A971" s="81" t="n">
        <v>45944</v>
      </c>
      <c r="B971" s="78" t="n">
        <v>0.8083333333333333</v>
      </c>
      <c r="C971" s="5" t="inlineStr">
        <is>
          <t>Zane's Italian Bistro</t>
        </is>
      </c>
      <c r="E971" s="5" t="n">
        <v>1</v>
      </c>
      <c r="F971" s="6" t="inlineStr">
        <is>
          <t>0038476819473</t>
        </is>
      </c>
      <c r="G971" s="15" t="n"/>
      <c r="H971" s="9" t="inlineStr">
        <is>
          <t>Pasta Bolognese</t>
        </is>
      </c>
      <c r="I971" s="9" t="n">
        <v>1</v>
      </c>
      <c r="J971" s="9" t="inlineStr">
        <is>
          <t>cnt</t>
        </is>
      </c>
      <c r="K971" s="9" t="n">
        <v>29</v>
      </c>
    </row>
    <row r="972" ht="15" customFormat="1" customHeight="1" s="5">
      <c r="A972" s="81" t="n">
        <v>45944</v>
      </c>
      <c r="B972" s="78" t="n">
        <v>0.8083333333333333</v>
      </c>
      <c r="C972" s="5" t="inlineStr">
        <is>
          <t>Zane's Italian Bistro</t>
        </is>
      </c>
      <c r="E972" s="5" t="n">
        <v>1</v>
      </c>
      <c r="F972" s="6" t="inlineStr">
        <is>
          <t>0038476819473</t>
        </is>
      </c>
      <c r="G972" s="15" t="n"/>
      <c r="H972" s="9" t="inlineStr">
        <is>
          <t>2 orders of breadsticks and marinara sauce</t>
        </is>
      </c>
      <c r="I972" s="9" t="n">
        <v>2</v>
      </c>
      <c r="J972" s="9" t="inlineStr">
        <is>
          <t>cnt</t>
        </is>
      </c>
      <c r="K972" s="9" t="n">
        <v>0</v>
      </c>
    </row>
    <row r="973" ht="15" customFormat="1" customHeight="1" s="5">
      <c r="A973" s="81" t="n">
        <v>45944</v>
      </c>
      <c r="B973" s="78" t="n">
        <v>0.8083333333333333</v>
      </c>
      <c r="C973" s="5" t="inlineStr">
        <is>
          <t>Zane's Italian Bistro</t>
        </is>
      </c>
      <c r="E973" s="5" t="n">
        <v>1</v>
      </c>
      <c r="F973" s="6" t="inlineStr">
        <is>
          <t>0038476819473</t>
        </is>
      </c>
      <c r="G973" s="15" t="n"/>
      <c r="H973" s="9" t="inlineStr">
        <is>
          <t>Tax</t>
        </is>
      </c>
      <c r="I973" s="9" t="n">
        <v>4</v>
      </c>
      <c r="J973" s="9" t="inlineStr">
        <is>
          <t>cnt</t>
        </is>
      </c>
      <c r="K973" s="9" t="n">
        <v>5.31</v>
      </c>
    </row>
    <row r="974" ht="15" customFormat="1" customHeight="1" s="5">
      <c r="A974" s="81" t="n">
        <v>45944</v>
      </c>
      <c r="B974" s="82" t="n">
        <v>0.75</v>
      </c>
      <c r="C974" s="5" t="inlineStr">
        <is>
          <t>City of Aurora</t>
        </is>
      </c>
      <c r="E974" s="5" t="n">
        <v>1</v>
      </c>
      <c r="F974" s="6" t="inlineStr">
        <is>
          <t>NA_no Receipt02</t>
        </is>
      </c>
      <c r="G974" s="15" t="n"/>
      <c r="H974" s="9" t="inlineStr">
        <is>
          <t>Charge for Eli, Lydia, Sheva to go to Morehead rec center pool</t>
        </is>
      </c>
      <c r="I974" s="9" t="n">
        <v>3</v>
      </c>
      <c r="J974" s="9" t="inlineStr">
        <is>
          <t>cnt</t>
        </is>
      </c>
      <c r="K974" s="9" t="n">
        <v>7</v>
      </c>
    </row>
    <row r="975" ht="15" customFormat="1" customHeight="1" s="5">
      <c r="A975" s="81" t="n">
        <v>45944</v>
      </c>
      <c r="B975" s="78" t="n">
        <v>0.4326388888888889</v>
      </c>
      <c r="C975" s="5" t="inlineStr">
        <is>
          <t>IRS</t>
        </is>
      </c>
      <c r="D975" s="5" t="n">
        <v>1</v>
      </c>
      <c r="F975" s="6" t="inlineStr">
        <is>
          <t>222-5688-3250-7380</t>
        </is>
      </c>
      <c r="G975" s="15" t="n"/>
      <c r="H975" s="9" t="inlineStr">
        <is>
          <t>Payment for IRS "incorrect refund from 2021 taxes" error</t>
        </is>
      </c>
      <c r="I975" s="9" t="n">
        <v>1</v>
      </c>
      <c r="J975" s="9" t="inlineStr">
        <is>
          <t>cnt</t>
        </is>
      </c>
      <c r="K975" s="9" t="n">
        <v>135.4</v>
      </c>
    </row>
    <row r="976" ht="15" customFormat="1" customHeight="1" s="5">
      <c r="A976" s="81" t="n">
        <v>45944</v>
      </c>
      <c r="B976" s="78" t="n">
        <v>0.4326388888888889</v>
      </c>
      <c r="C976" s="5" t="inlineStr">
        <is>
          <t>IRS</t>
        </is>
      </c>
      <c r="D976" s="5" t="n">
        <v>1</v>
      </c>
      <c r="F976" s="6" t="inlineStr">
        <is>
          <t>222-5688-3250-7380</t>
        </is>
      </c>
      <c r="G976" s="15" t="n"/>
      <c r="H976" s="9" t="inlineStr">
        <is>
          <t>IRS calculated interest on payment since 2021</t>
        </is>
      </c>
      <c r="I976" s="9" t="n">
        <v>1</v>
      </c>
      <c r="J976" s="9" t="inlineStr">
        <is>
          <t>cnt</t>
        </is>
      </c>
      <c r="K976" s="9" t="n">
        <v>34.39</v>
      </c>
    </row>
    <row r="977" ht="15" customFormat="1" customHeight="1" s="5">
      <c r="A977" s="81" t="n">
        <v>45944</v>
      </c>
      <c r="B977" s="82" t="n">
        <v>0.2916666666666667</v>
      </c>
      <c r="C977" s="5" t="inlineStr">
        <is>
          <t>Amazon</t>
        </is>
      </c>
      <c r="D977" s="5" t="n">
        <v>1</v>
      </c>
      <c r="F977" s="6" t="inlineStr">
        <is>
          <t>6645879653140</t>
        </is>
      </c>
      <c r="G977" s="10" t="n"/>
      <c r="H977" s="9" t="inlineStr">
        <is>
          <t>Refund for switching to new plan from $7.49/mo current plan</t>
        </is>
      </c>
      <c r="I977" s="9" t="n">
        <v>1</v>
      </c>
      <c r="J977" s="9" t="inlineStr">
        <is>
          <t>cnt</t>
        </is>
      </c>
      <c r="K977" s="9" t="n">
        <v>-4.36</v>
      </c>
    </row>
    <row r="978" ht="15" customFormat="1" customHeight="1" s="5">
      <c r="A978" s="81" t="n">
        <v>45944</v>
      </c>
      <c r="B978" s="82" t="n">
        <v>0.2916666666666667</v>
      </c>
      <c r="C978" s="5" t="inlineStr">
        <is>
          <t>Amazon</t>
        </is>
      </c>
      <c r="D978" s="5" t="n">
        <v>1</v>
      </c>
      <c r="F978" s="6" t="inlineStr">
        <is>
          <t>D01-6905456-0221069</t>
        </is>
      </c>
      <c r="G978" s="10" t="n"/>
      <c r="H978" s="9" t="inlineStr">
        <is>
          <t>AMAZON PRIME Young adult Membership Fee: Annual charge</t>
        </is>
      </c>
      <c r="I978" s="9" t="n">
        <v>1</v>
      </c>
      <c r="J978" s="9" t="inlineStr">
        <is>
          <t>cnt</t>
        </is>
      </c>
      <c r="K978" s="9" t="n">
        <v>69</v>
      </c>
    </row>
    <row r="979" ht="15" customFormat="1" customHeight="1" s="5">
      <c r="A979" s="81" t="n">
        <v>45944</v>
      </c>
      <c r="B979" s="82" t="n">
        <v>0.2916666666666667</v>
      </c>
      <c r="C979" s="5" t="inlineStr">
        <is>
          <t>Amazon</t>
        </is>
      </c>
      <c r="D979" s="5" t="n">
        <v>1</v>
      </c>
      <c r="F979" s="6" t="inlineStr">
        <is>
          <t>D01-6905456-0221069</t>
        </is>
      </c>
      <c r="G979" s="10" t="n"/>
      <c r="H979" s="9" t="inlineStr">
        <is>
          <t>**DISCOUNT** Amazon Rewards Points</t>
        </is>
      </c>
      <c r="I979" s="9" t="n">
        <v>1</v>
      </c>
      <c r="J979" s="9" t="inlineStr">
        <is>
          <t>cnt</t>
        </is>
      </c>
      <c r="K979" s="9" t="n">
        <v>-45.02</v>
      </c>
    </row>
    <row r="980" ht="15" customFormat="1" customHeight="1" s="5">
      <c r="A980" s="81" t="n">
        <v>45944</v>
      </c>
      <c r="B980" s="82" t="n">
        <v>0.2916666666666667</v>
      </c>
      <c r="C980" s="5" t="inlineStr">
        <is>
          <t>Amazon</t>
        </is>
      </c>
      <c r="D980" s="5" t="n">
        <v>1</v>
      </c>
      <c r="F980" s="6" t="inlineStr">
        <is>
          <t>D01-6905456-0221069</t>
        </is>
      </c>
      <c r="G980" s="10" t="n"/>
      <c r="H980" s="9" t="inlineStr">
        <is>
          <t>Tax</t>
        </is>
      </c>
      <c r="I980" s="9" t="n">
        <v>1</v>
      </c>
      <c r="J980" s="9" t="inlineStr">
        <is>
          <t>cnt</t>
        </is>
      </c>
      <c r="K980" s="9" t="n">
        <v>5.52</v>
      </c>
    </row>
    <row r="981" ht="15" customFormat="1" customHeight="1" s="5">
      <c r="A981" s="81" t="n">
        <v>45942</v>
      </c>
      <c r="B981" s="82" t="n">
        <v>0.6875</v>
      </c>
      <c r="C981" s="5" t="inlineStr">
        <is>
          <t>City of Aurora</t>
        </is>
      </c>
      <c r="E981" s="5" t="n">
        <v>1</v>
      </c>
      <c r="F981" s="6" t="inlineStr">
        <is>
          <t>NA_no Receipt01</t>
        </is>
      </c>
      <c r="G981" s="15" t="n"/>
      <c r="H981" s="9" t="inlineStr">
        <is>
          <t>Charge for Eli, Sheva to go to Morehead rec center pool</t>
        </is>
      </c>
      <c r="I981" s="9" t="n">
        <v>2</v>
      </c>
      <c r="J981" s="9" t="inlineStr">
        <is>
          <t>cnt</t>
        </is>
      </c>
      <c r="K981" s="9" t="n">
        <v>5</v>
      </c>
    </row>
    <row r="982" ht="15" customFormat="1" customHeight="1" s="5">
      <c r="A982" s="81" t="n">
        <v>45942</v>
      </c>
      <c r="B982" s="78" t="n">
        <v>0.6159722222222223</v>
      </c>
      <c r="C982" s="5" t="inlineStr">
        <is>
          <t>Turo Car Rental</t>
        </is>
      </c>
      <c r="D982" s="5" t="n">
        <v>1</v>
      </c>
      <c r="F982" s="6" t="inlineStr">
        <is>
          <t>Reservation ID #50188621</t>
        </is>
      </c>
      <c r="G982" s="15" t="n"/>
      <c r="H982" s="9" t="inlineStr">
        <is>
          <t>Turo 12/1  9p - 1/1 7p  Nissan Sentra 2017, 1860 miles</t>
        </is>
      </c>
      <c r="I982" s="9" t="n">
        <v>1</v>
      </c>
      <c r="J982" s="9" t="inlineStr">
        <is>
          <t>cnt</t>
        </is>
      </c>
      <c r="K982" s="9" t="n">
        <v>554.86</v>
      </c>
    </row>
    <row r="983" ht="15" customFormat="1" customHeight="1" s="5">
      <c r="A983" s="81" t="n">
        <v>45942</v>
      </c>
      <c r="B983" s="78" t="n">
        <v>0.6159722222222223</v>
      </c>
      <c r="C983" s="5" t="inlineStr">
        <is>
          <t>Turo Car Rental</t>
        </is>
      </c>
      <c r="D983" s="5" t="n">
        <v>1</v>
      </c>
      <c r="F983" s="6" t="inlineStr">
        <is>
          <t>Reservation ID #50188621</t>
        </is>
      </c>
      <c r="G983" s="15" t="n"/>
      <c r="H983" s="9" t="inlineStr">
        <is>
          <t>Mary Wu Treat!</t>
        </is>
      </c>
      <c r="I983" s="9" t="n">
        <v>1</v>
      </c>
      <c r="J983" s="9" t="inlineStr">
        <is>
          <t>cnt</t>
        </is>
      </c>
      <c r="K983" s="9" t="n">
        <v>-554.86</v>
      </c>
    </row>
    <row r="984" ht="15" customFormat="1" customHeight="1" s="5">
      <c r="A984" s="81" t="n">
        <v>45941</v>
      </c>
      <c r="B984" s="78" t="n">
        <v>0.7631944444444444</v>
      </c>
      <c r="C984" s="5" t="inlineStr">
        <is>
          <t>Venmo</t>
        </is>
      </c>
      <c r="D984" s="5" t="n">
        <v>1</v>
      </c>
      <c r="F984" s="6" t="inlineStr">
        <is>
          <t>4441435400692180817</t>
        </is>
      </c>
      <c r="G984" s="15" t="n"/>
      <c r="H984" s="9" t="inlineStr">
        <is>
          <t>Tip: Carolina Gosselin Prenatal Massage 2/2</t>
        </is>
      </c>
      <c r="I984" s="9" t="n">
        <v>1</v>
      </c>
      <c r="J984" s="9" t="inlineStr">
        <is>
          <t>cnt</t>
        </is>
      </c>
      <c r="K984" s="9" t="n">
        <v>20</v>
      </c>
    </row>
    <row r="985" ht="15" customFormat="1" customHeight="1" s="5">
      <c r="A985" s="81" t="n">
        <v>45941</v>
      </c>
      <c r="B985" s="78" t="n">
        <v>0.6006944444444444</v>
      </c>
      <c r="C985" s="5" t="inlineStr">
        <is>
          <t>Safeway</t>
        </is>
      </c>
      <c r="E985" s="5" t="n">
        <v>1</v>
      </c>
      <c r="F985" s="6" t="inlineStr">
        <is>
          <t>2612 51 119 8851</t>
        </is>
      </c>
      <c r="G985" s="15" t="inlineStr">
        <is>
          <t>68954408060</t>
        </is>
      </c>
      <c r="H985" s="9" t="inlineStr">
        <is>
          <t>Fage Greek Yogurt Single Serve Cup</t>
        </is>
      </c>
      <c r="I985" s="9" t="n">
        <v>5.3</v>
      </c>
      <c r="J985" s="9" t="inlineStr">
        <is>
          <t>oz</t>
        </is>
      </c>
      <c r="K985" s="9" t="inlineStr">
        <is>
          <t>1.89 S</t>
        </is>
      </c>
    </row>
    <row r="986" ht="15" customFormat="1" customHeight="1" s="5">
      <c r="A986" s="81" t="n">
        <v>45941</v>
      </c>
      <c r="B986" s="78" t="n">
        <v>0.6006944444444444</v>
      </c>
      <c r="C986" s="5" t="inlineStr">
        <is>
          <t>Safeway</t>
        </is>
      </c>
      <c r="E986" s="5" t="n">
        <v>1</v>
      </c>
      <c r="F986" s="6" t="inlineStr">
        <is>
          <t>2612 51 119 8851</t>
        </is>
      </c>
      <c r="G986" s="15" t="n"/>
      <c r="H986" s="9" t="inlineStr">
        <is>
          <t>**DISCOUNT** Rewards and Cash Off</t>
        </is>
      </c>
      <c r="I986" s="9" t="n">
        <v>5.3</v>
      </c>
      <c r="J986" s="9" t="inlineStr">
        <is>
          <t>oz</t>
        </is>
      </c>
      <c r="K986" s="9" t="n">
        <v>-1</v>
      </c>
    </row>
    <row r="987" ht="15" customFormat="1" customHeight="1" s="5">
      <c r="A987" s="81" t="n">
        <v>45941</v>
      </c>
      <c r="B987" s="78" t="n">
        <v>0.6006944444444444</v>
      </c>
      <c r="C987" s="5" t="inlineStr">
        <is>
          <t>Safeway</t>
        </is>
      </c>
      <c r="E987" s="5" t="n">
        <v>1</v>
      </c>
      <c r="F987" s="6" t="inlineStr">
        <is>
          <t>2612 51 119 8851</t>
        </is>
      </c>
      <c r="G987" s="15" t="n"/>
      <c r="H987" s="9" t="inlineStr">
        <is>
          <t>Tax</t>
        </is>
      </c>
      <c r="I987" s="9" t="n">
        <v>5.3</v>
      </c>
      <c r="J987" s="9" t="inlineStr">
        <is>
          <t>oz</t>
        </is>
      </c>
      <c r="K987" s="9" t="n">
        <v>0</v>
      </c>
    </row>
    <row r="988" ht="15" customFormat="1" customHeight="1" s="5">
      <c r="A988" s="81" t="n">
        <v>45941</v>
      </c>
      <c r="B988" s="78" t="n">
        <v>0.59375</v>
      </c>
      <c r="C988" s="5" t="inlineStr">
        <is>
          <t>Costco</t>
        </is>
      </c>
      <c r="E988" s="5" t="n">
        <v>1</v>
      </c>
      <c r="F988" s="6" t="inlineStr">
        <is>
          <t>459</t>
        </is>
      </c>
      <c r="G988" s="15" t="inlineStr">
        <is>
          <t>3</t>
        </is>
      </c>
      <c r="H988" s="9" t="inlineStr">
        <is>
          <t>Subaru Gas 15.142 Gallons @ $2.399/gal</t>
        </is>
      </c>
      <c r="I988" s="9" t="n">
        <v>15.142</v>
      </c>
      <c r="J988" s="9" t="inlineStr">
        <is>
          <t>gal</t>
        </is>
      </c>
      <c r="K988" s="9" t="n">
        <v>36.33</v>
      </c>
    </row>
    <row r="989" ht="15" customFormat="1" customHeight="1" s="5">
      <c r="A989" s="81" t="n">
        <v>45941</v>
      </c>
      <c r="B989" s="82" t="n">
        <v>0.3708333333333333</v>
      </c>
      <c r="C989" s="5" t="inlineStr">
        <is>
          <t>Amazon</t>
        </is>
      </c>
      <c r="D989" s="5" t="n">
        <v>1</v>
      </c>
      <c r="F989" s="6" t="inlineStr">
        <is>
          <t>113-6796010-6597020</t>
        </is>
      </c>
      <c r="G989" s="10" t="n"/>
      <c r="H989" s="9" t="inlineStr">
        <is>
          <t>Strawberries, Fresh, 1 lb</t>
        </is>
      </c>
      <c r="I989" s="9" t="n">
        <v>1</v>
      </c>
      <c r="J989" s="9" t="inlineStr">
        <is>
          <t>lb</t>
        </is>
      </c>
      <c r="K989" s="9" t="n">
        <v>2.31</v>
      </c>
    </row>
    <row r="990" ht="15" customFormat="1" customHeight="1" s="5">
      <c r="A990" s="81" t="n">
        <v>45941</v>
      </c>
      <c r="B990" s="82" t="n">
        <v>0.3659722222222222</v>
      </c>
      <c r="C990" s="5" t="inlineStr">
        <is>
          <t>Amazon</t>
        </is>
      </c>
      <c r="D990" s="5" t="n">
        <v>1</v>
      </c>
      <c r="F990" s="6" t="inlineStr">
        <is>
          <t>113-1891401-6047445</t>
        </is>
      </c>
      <c r="G990" s="10" t="n"/>
      <c r="H990" s="9" t="inlineStr">
        <is>
          <t>Red Raspberries, 6 oz</t>
        </is>
      </c>
      <c r="I990" s="9" t="n">
        <v>6</v>
      </c>
      <c r="J990" s="9" t="inlineStr">
        <is>
          <t>oz</t>
        </is>
      </c>
      <c r="K990" s="9" t="n">
        <v>1.67</v>
      </c>
    </row>
    <row r="991" ht="15" customFormat="1" customHeight="1" s="5">
      <c r="A991" s="81" t="n">
        <v>45941</v>
      </c>
      <c r="B991" s="82" t="n">
        <v>0.3659722222222222</v>
      </c>
      <c r="C991" s="5" t="inlineStr">
        <is>
          <t>Amazon</t>
        </is>
      </c>
      <c r="D991" s="5" t="n">
        <v>1</v>
      </c>
      <c r="F991" s="6" t="inlineStr">
        <is>
          <t>113-1891401-6047445</t>
        </is>
      </c>
      <c r="G991" s="10" t="n"/>
      <c r="H991" s="9" t="inlineStr">
        <is>
          <t>Red Raspberries, 6 oz</t>
        </is>
      </c>
      <c r="I991" s="9" t="n">
        <v>6</v>
      </c>
      <c r="J991" s="9" t="inlineStr">
        <is>
          <t>oz</t>
        </is>
      </c>
      <c r="K991" s="9" t="n">
        <v>1.67</v>
      </c>
    </row>
    <row r="992" ht="15" customFormat="1" customHeight="1" s="5">
      <c r="A992" s="81" t="n">
        <v>45941</v>
      </c>
      <c r="B992" s="82" t="n">
        <v>0.3659722222222222</v>
      </c>
      <c r="C992" s="5" t="inlineStr">
        <is>
          <t>Amazon</t>
        </is>
      </c>
      <c r="D992" s="5" t="n">
        <v>1</v>
      </c>
      <c r="F992" s="6" t="inlineStr">
        <is>
          <t>113-1891401-6047445</t>
        </is>
      </c>
      <c r="G992" s="10" t="n"/>
      <c r="H992" s="9" t="inlineStr">
        <is>
          <t>Red Raspberries, 6 oz</t>
        </is>
      </c>
      <c r="I992" s="9" t="n">
        <v>6</v>
      </c>
      <c r="J992" s="9" t="inlineStr">
        <is>
          <t>oz</t>
        </is>
      </c>
      <c r="K992" s="9" t="n">
        <v>1.67</v>
      </c>
    </row>
    <row r="993" ht="15" customFormat="1" customHeight="1" s="5">
      <c r="A993" s="81" t="n">
        <v>45941</v>
      </c>
      <c r="B993" s="82" t="n">
        <v>0.3659722222222222</v>
      </c>
      <c r="C993" s="5" t="inlineStr">
        <is>
          <t>Amazon</t>
        </is>
      </c>
      <c r="D993" s="5" t="n">
        <v>1</v>
      </c>
      <c r="F993" s="6" t="inlineStr">
        <is>
          <t>113-5056082-5685016</t>
        </is>
      </c>
      <c r="G993" s="10" t="n"/>
      <c r="H993" s="9" t="inlineStr">
        <is>
          <t>Permatex 22058 Dielectric Tune-Up Grease, 3oz. - High Performance Dielectric Grease Used To Protect Terminals, Spark Plugs, Wiring And Other Electrical Connections Against Salt, Dirt, And Corrosion</t>
        </is>
      </c>
      <c r="I993" s="9" t="n">
        <v>3</v>
      </c>
      <c r="J993" s="9" t="inlineStr">
        <is>
          <t>oz</t>
        </is>
      </c>
      <c r="K993" s="9" t="n">
        <v>9.99</v>
      </c>
    </row>
    <row r="994" ht="15" customFormat="1" customHeight="1" s="5">
      <c r="A994" s="81" t="n">
        <v>45941</v>
      </c>
      <c r="B994" s="82" t="n">
        <v>0.3659722222222222</v>
      </c>
      <c r="C994" s="5" t="inlineStr">
        <is>
          <t>Amazon</t>
        </is>
      </c>
      <c r="D994" s="5" t="n">
        <v>1</v>
      </c>
      <c r="F994" s="6" t="inlineStr">
        <is>
          <t>113-5056082-5685016</t>
        </is>
      </c>
      <c r="G994" s="10" t="n"/>
      <c r="H994" s="9" t="inlineStr">
        <is>
          <t>CTA Tools 3238 9 Wire Spark Plug Gap Gauge</t>
        </is>
      </c>
      <c r="I994" s="9" t="n">
        <v>1</v>
      </c>
      <c r="J994" s="9" t="inlineStr">
        <is>
          <t>cnt</t>
        </is>
      </c>
      <c r="K994" s="9" t="n">
        <v>5.3</v>
      </c>
    </row>
    <row r="995" ht="15" customFormat="1" customHeight="1" s="5">
      <c r="A995" s="81" t="n">
        <v>45941</v>
      </c>
      <c r="B995" s="82" t="n">
        <v>0.3659722222222222</v>
      </c>
      <c r="C995" s="5" t="inlineStr">
        <is>
          <t>Amazon</t>
        </is>
      </c>
      <c r="D995" s="5" t="n">
        <v>1</v>
      </c>
      <c r="F995" s="6" t="inlineStr">
        <is>
          <t>113-5056082-5685016</t>
        </is>
      </c>
      <c r="G995" s="10" t="n"/>
      <c r="H995" s="58" t="inlineStr">
        <is>
          <t>ATLIN 14mm Spark Plug Socket - Thin Wall Spark Plug Socket - Compatible with BMW, MINI, Nissan</t>
        </is>
      </c>
      <c r="I995" s="9" t="n">
        <v>1</v>
      </c>
      <c r="J995" s="9" t="inlineStr">
        <is>
          <t>cnt</t>
        </is>
      </c>
      <c r="K995" s="9" t="n">
        <v>11.99</v>
      </c>
    </row>
    <row r="996" ht="15" customFormat="1" customHeight="1" s="5">
      <c r="A996" s="81" t="n">
        <v>45941</v>
      </c>
      <c r="B996" s="82" t="n">
        <v>0.3659722222222222</v>
      </c>
      <c r="C996" s="5" t="inlineStr">
        <is>
          <t>Amazon</t>
        </is>
      </c>
      <c r="D996" s="5" t="n">
        <v>1</v>
      </c>
      <c r="F996" s="6" t="inlineStr">
        <is>
          <t>113-5056082-5685016</t>
        </is>
      </c>
      <c r="G996" s="10" t="n"/>
      <c r="H996" s="9" t="inlineStr">
        <is>
          <t>**DISCOUNT** Coupon</t>
        </is>
      </c>
      <c r="I996" s="9" t="n">
        <v>1</v>
      </c>
      <c r="J996" s="9" t="inlineStr">
        <is>
          <t>cnt</t>
        </is>
      </c>
      <c r="K996" s="9" t="n">
        <v>-3</v>
      </c>
    </row>
    <row r="997" ht="15" customFormat="1" customHeight="1" s="5">
      <c r="A997" s="81" t="n">
        <v>45941</v>
      </c>
      <c r="B997" s="82" t="n">
        <v>0.3659722222222222</v>
      </c>
      <c r="C997" s="5" t="inlineStr">
        <is>
          <t>Amazon</t>
        </is>
      </c>
      <c r="D997" s="5" t="n">
        <v>1</v>
      </c>
      <c r="F997" s="6" t="inlineStr">
        <is>
          <t>113-5056082-5685016</t>
        </is>
      </c>
      <c r="G997" s="10" t="n"/>
      <c r="H997" s="9" t="inlineStr">
        <is>
          <t>Tax</t>
        </is>
      </c>
      <c r="I997" s="9" t="n">
        <v>3</v>
      </c>
      <c r="J997" s="9" t="inlineStr">
        <is>
          <t>cnt</t>
        </is>
      </c>
      <c r="K997" s="9" t="n">
        <v>1.94</v>
      </c>
    </row>
    <row r="998" ht="15" customFormat="1" customHeight="1" s="5">
      <c r="A998" s="81" t="n">
        <v>45941</v>
      </c>
      <c r="B998" s="82" t="n">
        <v>0.1284722222222222</v>
      </c>
      <c r="C998" s="5" t="inlineStr">
        <is>
          <t>Overland Missions</t>
        </is>
      </c>
      <c r="D998" s="5" t="n">
        <v>1</v>
      </c>
      <c r="F998" s="6" t="inlineStr">
        <is>
          <t>3538 121286285848</t>
        </is>
      </c>
      <c r="G998" s="10" t="n"/>
      <c r="H998" s="9" t="inlineStr">
        <is>
          <t>Pelletier - Monthly missions donation</t>
        </is>
      </c>
      <c r="I998" s="9" t="n">
        <v>1</v>
      </c>
      <c r="J998" s="9" t="inlineStr">
        <is>
          <t>cnt</t>
        </is>
      </c>
      <c r="K998" s="9" t="n">
        <v>250</v>
      </c>
    </row>
    <row r="999" ht="15" customFormat="1" customHeight="1" s="5">
      <c r="A999" s="81" t="n">
        <v>45940</v>
      </c>
      <c r="B999" s="82" t="n">
        <v>0.8868055555555555</v>
      </c>
      <c r="C999" s="5" t="inlineStr">
        <is>
          <t>RockAuto</t>
        </is>
      </c>
      <c r="D999" s="5" t="n">
        <v>1</v>
      </c>
      <c r="F999" s="6" t="inlineStr">
        <is>
          <t>325686876</t>
        </is>
      </c>
      <c r="G999" s="10" t="n"/>
      <c r="H999" s="9" t="inlineStr">
        <is>
          <t>Laser Iridium High Ignitability; Pre-Set Gap: 0.032"</t>
        </is>
      </c>
      <c r="I999" s="9" t="n">
        <v>4</v>
      </c>
      <c r="J999" s="9" t="inlineStr">
        <is>
          <t>cnt</t>
        </is>
      </c>
      <c r="K999" s="9" t="n">
        <v>57.32</v>
      </c>
    </row>
    <row r="1000" ht="15" customFormat="1" customHeight="1" s="5">
      <c r="A1000" s="81" t="n">
        <v>45940</v>
      </c>
      <c r="B1000" s="82" t="n">
        <v>0.8868055555555555</v>
      </c>
      <c r="C1000" s="5" t="inlineStr">
        <is>
          <t>RockAuto</t>
        </is>
      </c>
      <c r="D1000" s="5" t="n">
        <v>1</v>
      </c>
      <c r="F1000" s="6" t="inlineStr">
        <is>
          <t>325686876</t>
        </is>
      </c>
      <c r="G1000" s="10" t="n"/>
      <c r="H1000" s="9" t="inlineStr">
        <is>
          <t>Co retail delivery fees</t>
        </is>
      </c>
      <c r="I1000" s="9" t="n">
        <v>4</v>
      </c>
      <c r="J1000" s="9" t="inlineStr">
        <is>
          <t>cnt</t>
        </is>
      </c>
      <c r="K1000" s="9" t="n">
        <v>0.28</v>
      </c>
    </row>
    <row r="1001" ht="15" customFormat="1" customHeight="1" s="5">
      <c r="A1001" s="81" t="n">
        <v>45940</v>
      </c>
      <c r="B1001" s="82" t="n">
        <v>0.8868055555555555</v>
      </c>
      <c r="C1001" s="5" t="inlineStr">
        <is>
          <t>RockAuto</t>
        </is>
      </c>
      <c r="D1001" s="5" t="n">
        <v>1</v>
      </c>
      <c r="F1001" s="6" t="inlineStr">
        <is>
          <t>325686876</t>
        </is>
      </c>
      <c r="G1001" s="10" t="n"/>
      <c r="H1001" s="9" t="inlineStr">
        <is>
          <t>Shipping</t>
        </is>
      </c>
      <c r="I1001" s="9" t="n">
        <v>4</v>
      </c>
      <c r="J1001" s="9" t="inlineStr">
        <is>
          <t>cnt</t>
        </is>
      </c>
      <c r="K1001" s="9" t="n">
        <v>5.99</v>
      </c>
    </row>
    <row r="1002" ht="15" customFormat="1" customHeight="1" s="5">
      <c r="A1002" s="81" t="n">
        <v>45940</v>
      </c>
      <c r="B1002" s="82" t="n">
        <v>0.8868055555555555</v>
      </c>
      <c r="C1002" s="5" t="inlineStr">
        <is>
          <t>RockAuto</t>
        </is>
      </c>
      <c r="D1002" s="5" t="n">
        <v>1</v>
      </c>
      <c r="F1002" s="6" t="inlineStr">
        <is>
          <t>325686876</t>
        </is>
      </c>
      <c r="G1002" s="10" t="n"/>
      <c r="H1002" s="9" t="inlineStr">
        <is>
          <t>Tax</t>
        </is>
      </c>
      <c r="I1002" s="9" t="n">
        <v>4</v>
      </c>
      <c r="J1002" s="9" t="inlineStr">
        <is>
          <t>cnt</t>
        </is>
      </c>
      <c r="K1002" s="9" t="n">
        <v>5.06</v>
      </c>
    </row>
    <row r="1003" ht="15" customFormat="1" customHeight="1" s="5">
      <c r="A1003" s="81" t="n">
        <v>45940</v>
      </c>
      <c r="B1003" s="82" t="n">
        <v>0.8826388888888889</v>
      </c>
      <c r="C1003" s="5" t="inlineStr">
        <is>
          <t>Walmart</t>
        </is>
      </c>
      <c r="D1003" s="5" t="n">
        <v>1</v>
      </c>
      <c r="F1003" s="6" t="inlineStr">
        <is>
          <t>2000139-01191066</t>
        </is>
      </c>
      <c r="G1003" s="10" t="n"/>
      <c r="H1003" s="9" t="inlineStr">
        <is>
          <t>Tabasco Chipotle Pepper Sauce, 5 oz Regular Glass Bottle Containing Liquid Hot Sauce, Gluten Free</t>
        </is>
      </c>
      <c r="I1003" s="9" t="n">
        <v>5</v>
      </c>
      <c r="J1003" s="9" t="inlineStr">
        <is>
          <t>oz</t>
        </is>
      </c>
      <c r="K1003" s="9" t="n">
        <v>3.56</v>
      </c>
    </row>
    <row r="1004" ht="15" customFormat="1" customHeight="1" s="5">
      <c r="A1004" s="81" t="n">
        <v>45940</v>
      </c>
      <c r="B1004" s="82" t="n">
        <v>0.8826388888888889</v>
      </c>
      <c r="C1004" s="5" t="inlineStr">
        <is>
          <t>Walmart</t>
        </is>
      </c>
      <c r="D1004" s="5" t="n">
        <v>1</v>
      </c>
      <c r="F1004" s="6" t="inlineStr">
        <is>
          <t>2000139-01191066</t>
        </is>
      </c>
      <c r="G1004" s="10" t="n"/>
      <c r="H1004" s="9" t="inlineStr">
        <is>
          <t>**DISCOUNT** Walmart Cash</t>
        </is>
      </c>
      <c r="I1004" s="9" t="n">
        <v>5</v>
      </c>
      <c r="J1004" s="9" t="inlineStr">
        <is>
          <t>oz</t>
        </is>
      </c>
      <c r="K1004" s="9" t="n">
        <v>-3</v>
      </c>
    </row>
    <row r="1005" ht="15" customFormat="1" customHeight="1" s="5">
      <c r="A1005" s="81" t="n">
        <v>45940</v>
      </c>
      <c r="B1005" s="82" t="n">
        <v>0.8069444444444445</v>
      </c>
      <c r="C1005" s="5" t="inlineStr">
        <is>
          <t>Accelerate Health</t>
        </is>
      </c>
      <c r="E1005" s="5" t="n">
        <v>1</v>
      </c>
      <c r="F1005" s="6" t="inlineStr">
        <is>
          <t>1011012219</t>
        </is>
      </c>
      <c r="G1005" s="15" t="inlineStr">
        <is>
          <t>2025272BC4602</t>
        </is>
      </c>
      <c r="H1005" s="9" t="inlineStr">
        <is>
          <t>9/26 Eli Chiro 20 minute follow up Dr. Kelly</t>
        </is>
      </c>
      <c r="I1005" s="9" t="n"/>
      <c r="J1005" s="9" t="n"/>
      <c r="K1005" s="5" t="n">
        <v>118.4</v>
      </c>
    </row>
    <row r="1006" ht="15" customFormat="1" customHeight="1" s="5">
      <c r="A1006" s="81" t="n">
        <v>45940</v>
      </c>
      <c r="B1006" s="82" t="n">
        <v>0.5875</v>
      </c>
      <c r="C1006" s="5" t="inlineStr">
        <is>
          <t>PayPal</t>
        </is>
      </c>
      <c r="D1006" s="5" t="n">
        <v>1</v>
      </c>
      <c r="F1006" s="6" t="inlineStr">
        <is>
          <t>28803099Y2952920Y</t>
        </is>
      </c>
      <c r="G1006" s="17" t="n"/>
      <c r="H1006" s="9" t="inlineStr">
        <is>
          <t>Doula Payment 4/4 (should have been 10/9! Oops again!!)</t>
        </is>
      </c>
      <c r="K1006" s="5" t="n">
        <v>500</v>
      </c>
    </row>
    <row r="1007" ht="15" customFormat="1" customHeight="1" s="5">
      <c r="A1007" s="81" t="n">
        <v>45940</v>
      </c>
      <c r="B1007" s="82" t="n">
        <v>0.5715277777777777</v>
      </c>
      <c r="C1007" s="5" t="inlineStr">
        <is>
          <t>Accelerate Health</t>
        </is>
      </c>
      <c r="E1007" s="5" t="n">
        <v>1</v>
      </c>
      <c r="F1007" s="6" t="inlineStr">
        <is>
          <t>1010194358</t>
        </is>
      </c>
      <c r="G1007" s="15" t="inlineStr">
        <is>
          <t>2025275BF8299</t>
        </is>
      </c>
      <c r="H1007" s="9" t="inlineStr">
        <is>
          <t>10/1 Lydia Chiro 20 minute follow up Dr. Kelly</t>
        </is>
      </c>
      <c r="I1007" s="9" t="n"/>
      <c r="J1007" s="9" t="n"/>
      <c r="K1007" s="5" t="n">
        <v>135.74</v>
      </c>
    </row>
    <row r="1008" ht="15" customFormat="1" customHeight="1" s="5">
      <c r="A1008" s="81" t="n">
        <v>45940</v>
      </c>
      <c r="B1008" s="82" t="n">
        <v>0.5715277777777777</v>
      </c>
      <c r="C1008" s="5" t="inlineStr">
        <is>
          <t>Accelerate Health</t>
        </is>
      </c>
      <c r="E1008" s="5" t="n">
        <v>1</v>
      </c>
      <c r="F1008" s="6" t="inlineStr">
        <is>
          <t>1010194358</t>
        </is>
      </c>
      <c r="G1008" s="15" t="inlineStr">
        <is>
          <t>2025272BC6590</t>
        </is>
      </c>
      <c r="H1008" s="9" t="inlineStr">
        <is>
          <t>9/26 Lydia Chiro 20 minute follow up Dr. Kelly</t>
        </is>
      </c>
      <c r="I1008" s="9" t="n"/>
      <c r="J1008" s="9" t="n"/>
      <c r="K1008" s="5" t="n">
        <v>103.88</v>
      </c>
    </row>
    <row r="1009" ht="15" customFormat="1" customHeight="1" s="5">
      <c r="A1009" s="81" t="n">
        <v>45940</v>
      </c>
      <c r="B1009" s="82" t="n">
        <v>0.5715277777777777</v>
      </c>
      <c r="C1009" s="5" t="inlineStr">
        <is>
          <t>Accelerate Health</t>
        </is>
      </c>
      <c r="E1009" s="5" t="n">
        <v>1</v>
      </c>
      <c r="F1009" s="6" t="inlineStr">
        <is>
          <t>1010194358</t>
        </is>
      </c>
      <c r="G1009" s="15" t="inlineStr">
        <is>
          <t>2025272BC6590</t>
        </is>
      </c>
      <c r="H1009" s="9" t="inlineStr">
        <is>
          <t>9/26 Lydia Spot massage, Michelle (was late, so missed it, but will probably be charged anyway)</t>
        </is>
      </c>
      <c r="I1009" s="9" t="n"/>
      <c r="J1009" s="9" t="n"/>
      <c r="K1009" s="5" t="n">
        <v>31.86</v>
      </c>
    </row>
    <row r="1010" ht="15" customFormat="1" customHeight="1" s="5">
      <c r="A1010" s="81" t="n">
        <v>45940</v>
      </c>
      <c r="B1010" s="82" t="n">
        <v>0.4083333333333333</v>
      </c>
      <c r="C1010" s="5" t="inlineStr">
        <is>
          <t>Starbucks</t>
        </is>
      </c>
      <c r="E1010" s="5" t="n">
        <v>1</v>
      </c>
      <c r="F1010" s="6" t="inlineStr">
        <is>
          <t>#722485</t>
        </is>
      </c>
      <c r="G1010" s="10" t="n"/>
      <c r="H1010" s="9" t="inlineStr">
        <is>
          <t>CAFFE LATTE grande 16 fl oz</t>
        </is>
      </c>
      <c r="I1010" s="9" t="n">
        <v>16</v>
      </c>
      <c r="J1010" s="9" t="inlineStr">
        <is>
          <t>fl oz</t>
        </is>
      </c>
      <c r="K1010" s="9" t="n">
        <v>4.95</v>
      </c>
    </row>
    <row r="1011" ht="15" customFormat="1" customHeight="1" s="5">
      <c r="A1011" s="81" t="n">
        <v>45940</v>
      </c>
      <c r="B1011" s="82" t="n">
        <v>0.4083333333333333</v>
      </c>
      <c r="C1011" s="5" t="inlineStr">
        <is>
          <t>Starbucks</t>
        </is>
      </c>
      <c r="E1011" s="5" t="n">
        <v>1</v>
      </c>
      <c r="F1011" s="6" t="inlineStr">
        <is>
          <t>#722485</t>
        </is>
      </c>
      <c r="G1011" s="10" t="n"/>
      <c r="H1011" s="9" t="inlineStr">
        <is>
          <t>2 Pumps Vanilla Syrup</t>
        </is>
      </c>
      <c r="I1011" s="9" t="n">
        <v>16</v>
      </c>
      <c r="J1011" s="9" t="inlineStr">
        <is>
          <t>fl oz</t>
        </is>
      </c>
      <c r="K1011" s="9" t="n">
        <v>0.8</v>
      </c>
    </row>
    <row r="1012" ht="15" customFormat="1" customHeight="1" s="5">
      <c r="A1012" s="81" t="n">
        <v>45940</v>
      </c>
      <c r="B1012" s="82" t="n">
        <v>0.4083333333333333</v>
      </c>
      <c r="C1012" s="5" t="inlineStr">
        <is>
          <t>Starbucks</t>
        </is>
      </c>
      <c r="E1012" s="5" t="n">
        <v>1</v>
      </c>
      <c r="F1012" s="6" t="inlineStr">
        <is>
          <t>#722485</t>
        </is>
      </c>
      <c r="G1012" s="10" t="n"/>
      <c r="H1012" s="9" t="inlineStr">
        <is>
          <t>Tax 8.0%</t>
        </is>
      </c>
      <c r="I1012" s="9" t="n">
        <v>16</v>
      </c>
      <c r="J1012" s="9" t="inlineStr">
        <is>
          <t>fl oz</t>
        </is>
      </c>
      <c r="K1012" s="9" t="n">
        <v>0.46</v>
      </c>
    </row>
    <row r="1013" ht="15" customFormat="1" customHeight="1" s="5">
      <c r="A1013" s="81" t="n">
        <v>45940</v>
      </c>
      <c r="B1013" s="78" t="n">
        <v>0.2916666666666667</v>
      </c>
      <c r="C1013" s="5" t="inlineStr">
        <is>
          <t>Amazon</t>
        </is>
      </c>
      <c r="D1013" s="5" t="n">
        <v>1</v>
      </c>
      <c r="F1013" s="6" t="inlineStr">
        <is>
          <t>112-0489206-1286630</t>
        </is>
      </c>
      <c r="G1013" s="15" t="n"/>
      <c r="H1013" s="9" t="inlineStr">
        <is>
          <t>**DISCOUNT** Amazon Subscribe and Save 10% off</t>
        </is>
      </c>
      <c r="I1013" s="9" t="n">
        <v>4.8</v>
      </c>
      <c r="J1013" s="9" t="inlineStr">
        <is>
          <t>oz</t>
        </is>
      </c>
      <c r="K1013" s="9">
        <f>-1.8</f>
        <v/>
      </c>
    </row>
    <row r="1014" ht="15" customFormat="1" customHeight="1" s="5">
      <c r="A1014" s="81" t="n">
        <v>45940</v>
      </c>
      <c r="B1014" s="78" t="n">
        <v>0.2916666666666667</v>
      </c>
      <c r="C1014" s="5" t="inlineStr">
        <is>
          <t>Amazon</t>
        </is>
      </c>
      <c r="D1014" s="5" t="n">
        <v>1</v>
      </c>
      <c r="F1014" s="6" t="inlineStr">
        <is>
          <t>112-0489206-1286630</t>
        </is>
      </c>
      <c r="G1014" s="15" t="n"/>
      <c r="H1014" s="9" t="inlineStr">
        <is>
          <t>Co retail delivery fees</t>
        </is>
      </c>
      <c r="I1014" s="9" t="n">
        <v>3</v>
      </c>
      <c r="J1014" s="9" t="inlineStr">
        <is>
          <t>cnt</t>
        </is>
      </c>
      <c r="K1014" s="9" t="n">
        <v>0.28</v>
      </c>
    </row>
    <row r="1015" ht="15" customFormat="1" customHeight="1" s="5">
      <c r="A1015" s="81" t="n">
        <v>45940</v>
      </c>
      <c r="B1015" s="78" t="n">
        <v>0.2916666666666667</v>
      </c>
      <c r="C1015" s="5" t="inlineStr">
        <is>
          <t>Amazon</t>
        </is>
      </c>
      <c r="D1015" s="5" t="n">
        <v>1</v>
      </c>
      <c r="F1015" s="6" t="inlineStr">
        <is>
          <t>112-0489206-1286630</t>
        </is>
      </c>
      <c r="G1015" s="15" t="n"/>
      <c r="H1015" s="9" t="inlineStr">
        <is>
          <t>Taxes</t>
        </is>
      </c>
      <c r="I1015" s="9" t="n">
        <v>3</v>
      </c>
      <c r="J1015" s="9" t="inlineStr">
        <is>
          <t>cnt</t>
        </is>
      </c>
      <c r="K1015" s="9" t="n">
        <v>1.3</v>
      </c>
    </row>
    <row r="1016" ht="15" customFormat="1" customHeight="1" s="5">
      <c r="A1016" s="81" t="n">
        <v>45940</v>
      </c>
      <c r="B1016" s="78" t="n">
        <v>0.2916666666666667</v>
      </c>
      <c r="C1016" s="5" t="inlineStr">
        <is>
          <t>Amazon</t>
        </is>
      </c>
      <c r="D1016" s="5" t="n">
        <v>1</v>
      </c>
      <c r="F1016" s="6" t="inlineStr">
        <is>
          <t>112-0489206-1286630</t>
        </is>
      </c>
      <c r="G1016" s="15" t="n"/>
      <c r="H1016" s="9" t="inlineStr">
        <is>
          <t>Yoni Steaming Herbs (5 Steams) | Cleansing + Gentle Formula | Formulated by Trained Herbalist | USDA Organic Vaginal Steam, V-Steam, Yoni Steaming Herbs | V Steam Kit</t>
        </is>
      </c>
      <c r="I1016" s="9" t="n">
        <v>4.8</v>
      </c>
      <c r="J1016" s="9" t="inlineStr">
        <is>
          <t>oz</t>
        </is>
      </c>
      <c r="K1016" s="9" t="n">
        <v>17.99</v>
      </c>
    </row>
    <row r="1017" ht="15" customFormat="1" customHeight="1" s="5">
      <c r="A1017" s="81" t="n">
        <v>45939</v>
      </c>
      <c r="B1017" s="82" t="n">
        <v>0.7729166666666667</v>
      </c>
      <c r="C1017" s="5" t="inlineStr">
        <is>
          <t>Mt. Fuji Hibachi and Sushi</t>
        </is>
      </c>
      <c r="E1017" s="5" t="n">
        <v>1</v>
      </c>
      <c r="F1017" s="6" t="inlineStr">
        <is>
          <t>#14</t>
        </is>
      </c>
      <c r="G1017" s="10" t="n"/>
      <c r="H1017" s="9" t="inlineStr">
        <is>
          <t>Salmon Lover Plate</t>
        </is>
      </c>
      <c r="I1017" s="9" t="n">
        <v>1</v>
      </c>
      <c r="J1017" s="9" t="inlineStr">
        <is>
          <t>cnt</t>
        </is>
      </c>
      <c r="K1017" s="9" t="n">
        <v>21.95</v>
      </c>
    </row>
    <row r="1018" ht="15" customFormat="1" customHeight="1" s="5">
      <c r="A1018" s="81" t="n">
        <v>45939</v>
      </c>
      <c r="B1018" s="82" t="n">
        <v>0.7729166666666667</v>
      </c>
      <c r="C1018" s="5" t="inlineStr">
        <is>
          <t>Mt. Fuji Hibachi and Sushi</t>
        </is>
      </c>
      <c r="E1018" s="5" t="n">
        <v>1</v>
      </c>
      <c r="F1018" s="6" t="inlineStr">
        <is>
          <t>#14</t>
        </is>
      </c>
      <c r="G1018" s="10" t="n"/>
      <c r="H1018" s="9" t="inlineStr">
        <is>
          <t>I Love Eel Roll</t>
        </is>
      </c>
      <c r="I1018" s="9" t="n">
        <v>1</v>
      </c>
      <c r="J1018" s="9" t="inlineStr">
        <is>
          <t>cnt</t>
        </is>
      </c>
      <c r="K1018" s="9" t="n">
        <v>13.5</v>
      </c>
    </row>
    <row r="1019" ht="15" customFormat="1" customHeight="1" s="5">
      <c r="A1019" s="81" t="n">
        <v>45939</v>
      </c>
      <c r="B1019" s="82" t="n">
        <v>0.7729166666666667</v>
      </c>
      <c r="C1019" s="5" t="inlineStr">
        <is>
          <t>Mt. Fuji Hibachi and Sushi</t>
        </is>
      </c>
      <c r="E1019" s="5" t="n">
        <v>1</v>
      </c>
      <c r="F1019" s="6" t="inlineStr">
        <is>
          <t>#14</t>
        </is>
      </c>
      <c r="G1019" s="10" t="n"/>
      <c r="H1019" s="9" t="inlineStr">
        <is>
          <t>Alaska Roll</t>
        </is>
      </c>
      <c r="I1019" s="9" t="n">
        <v>1</v>
      </c>
      <c r="J1019" s="9" t="inlineStr">
        <is>
          <t>cnt</t>
        </is>
      </c>
      <c r="K1019" s="9" t="n">
        <v>7.5</v>
      </c>
    </row>
    <row r="1020" ht="15" customFormat="1" customHeight="1" s="5">
      <c r="A1020" s="81" t="n">
        <v>45939</v>
      </c>
      <c r="B1020" s="82" t="n">
        <v>0.7729166666666667</v>
      </c>
      <c r="C1020" s="5" t="inlineStr">
        <is>
          <t>Mt. Fuji Hibachi and Sushi</t>
        </is>
      </c>
      <c r="E1020" s="5" t="n">
        <v>1</v>
      </c>
      <c r="F1020" s="6" t="inlineStr">
        <is>
          <t>#14</t>
        </is>
      </c>
      <c r="G1020" s="10" t="n"/>
      <c r="H1020" s="9" t="inlineStr">
        <is>
          <t>Eli "Tip for the sushi chefs"</t>
        </is>
      </c>
      <c r="I1020" s="9" t="n">
        <v>1</v>
      </c>
      <c r="J1020" s="9" t="inlineStr">
        <is>
          <t>cnt</t>
        </is>
      </c>
      <c r="K1020" s="9" t="n">
        <v>2.61</v>
      </c>
    </row>
    <row r="1021" ht="15" customFormat="1" customHeight="1" s="5">
      <c r="A1021" s="81" t="n">
        <v>45939</v>
      </c>
      <c r="B1021" s="82" t="n">
        <v>0.7729166666666667</v>
      </c>
      <c r="C1021" s="5" t="inlineStr">
        <is>
          <t>Mt. Fuji Hibachi and Sushi</t>
        </is>
      </c>
      <c r="E1021" s="5" t="n">
        <v>1</v>
      </c>
      <c r="F1021" s="6" t="inlineStr">
        <is>
          <t>#14</t>
        </is>
      </c>
      <c r="G1021" s="10" t="n"/>
      <c r="H1021" s="9" t="inlineStr">
        <is>
          <t>Tax (takeout) (8.00%)</t>
        </is>
      </c>
      <c r="I1021" s="9" t="n">
        <v>1</v>
      </c>
      <c r="J1021" s="9" t="inlineStr">
        <is>
          <t>cnt</t>
        </is>
      </c>
      <c r="K1021" s="9" t="n">
        <v>3.44</v>
      </c>
    </row>
    <row r="1022" ht="15" customFormat="1" customHeight="1" s="5">
      <c r="A1022" s="81" t="n">
        <v>45939</v>
      </c>
      <c r="B1022" s="82" t="n">
        <v>0.7208333333333333</v>
      </c>
      <c r="C1022" s="5" t="inlineStr">
        <is>
          <t>Starbucks</t>
        </is>
      </c>
      <c r="E1022" s="5" t="n">
        <v>1</v>
      </c>
      <c r="F1022" s="6" t="inlineStr">
        <is>
          <t>#724893</t>
        </is>
      </c>
      <c r="G1022" s="10" t="n"/>
      <c r="H1022" s="9" t="inlineStr">
        <is>
          <t>CAFFE LATTE grande 16 fl oz</t>
        </is>
      </c>
      <c r="I1022" s="9" t="n">
        <v>16</v>
      </c>
      <c r="J1022" s="9" t="inlineStr">
        <is>
          <t>fl oz</t>
        </is>
      </c>
      <c r="K1022" s="9" t="n">
        <v>4.95</v>
      </c>
    </row>
    <row r="1023" ht="15" customFormat="1" customHeight="1" s="5">
      <c r="A1023" s="81" t="n">
        <v>45939</v>
      </c>
      <c r="B1023" s="82" t="n">
        <v>0.7208333333333333</v>
      </c>
      <c r="C1023" s="5" t="inlineStr">
        <is>
          <t>Starbucks</t>
        </is>
      </c>
      <c r="E1023" s="5" t="n">
        <v>1</v>
      </c>
      <c r="F1023" s="6" t="inlineStr">
        <is>
          <t>#724893</t>
        </is>
      </c>
      <c r="G1023" s="10" t="n"/>
      <c r="H1023" s="9" t="inlineStr">
        <is>
          <t>2 Pumps Vanilla Syrup</t>
        </is>
      </c>
      <c r="I1023" s="9" t="n">
        <v>16</v>
      </c>
      <c r="J1023" s="9" t="inlineStr">
        <is>
          <t>fl oz</t>
        </is>
      </c>
      <c r="K1023" s="9" t="n">
        <v>0.8</v>
      </c>
    </row>
    <row r="1024" ht="15" customFormat="1" customHeight="1" s="5">
      <c r="A1024" s="81" t="n">
        <v>45939</v>
      </c>
      <c r="B1024" s="82" t="n">
        <v>0.7208333333333333</v>
      </c>
      <c r="C1024" s="5" t="inlineStr">
        <is>
          <t>Starbucks</t>
        </is>
      </c>
      <c r="E1024" s="5" t="n">
        <v>1</v>
      </c>
      <c r="F1024" s="6" t="inlineStr">
        <is>
          <t>#724893</t>
        </is>
      </c>
      <c r="G1024" s="10" t="n"/>
      <c r="H1024" s="9" t="inlineStr">
        <is>
          <t>Tax 8.0%</t>
        </is>
      </c>
      <c r="I1024" s="9" t="n">
        <v>16</v>
      </c>
      <c r="J1024" s="9" t="inlineStr">
        <is>
          <t>fl oz</t>
        </is>
      </c>
      <c r="K1024" s="9" t="n">
        <v>0.46</v>
      </c>
    </row>
    <row r="1025" ht="15" customFormat="1" customHeight="1" s="5">
      <c r="A1025" s="81" t="n">
        <v>45939</v>
      </c>
      <c r="B1025" s="82" t="n">
        <v>0.6659722222222222</v>
      </c>
      <c r="C1025" s="5" t="inlineStr">
        <is>
          <t>Starbucks</t>
        </is>
      </c>
      <c r="D1025" s="5" t="n">
        <v>1</v>
      </c>
      <c r="F1025" s="6" t="inlineStr">
        <is>
          <t>NA_appTransaction0011</t>
        </is>
      </c>
      <c r="G1025" s="10" t="n"/>
      <c r="H1025" s="9" t="inlineStr">
        <is>
          <t>Starbucks Reload</t>
        </is>
      </c>
      <c r="I1025" s="9" t="n"/>
      <c r="J1025" s="9" t="n"/>
      <c r="K1025" s="9" t="n">
        <v>20</v>
      </c>
    </row>
    <row r="1026" ht="15" customFormat="1" customHeight="1" s="5">
      <c r="A1026" s="81" t="n">
        <v>45939</v>
      </c>
      <c r="B1026" s="82" t="n">
        <v>0.6659722222222222</v>
      </c>
      <c r="C1026" s="5" t="inlineStr">
        <is>
          <t>Starbucks</t>
        </is>
      </c>
      <c r="D1026" s="5" t="n">
        <v>1</v>
      </c>
      <c r="F1026" s="6" t="inlineStr">
        <is>
          <t>NA_appTransaction0011</t>
        </is>
      </c>
      <c r="G1026" s="10" t="n"/>
      <c r="H1026" s="9" t="inlineStr">
        <is>
          <t>Starbucks Reload Offset</t>
        </is>
      </c>
      <c r="I1026" s="9" t="n"/>
      <c r="J1026" s="9" t="n"/>
      <c r="K1026" s="9" t="n">
        <v>-20</v>
      </c>
    </row>
    <row r="1027" ht="15" customFormat="1" customHeight="1" s="5">
      <c r="A1027" s="81" t="n">
        <v>45938</v>
      </c>
      <c r="B1027" s="82" t="n">
        <v>0.825</v>
      </c>
      <c r="C1027" s="5" t="inlineStr">
        <is>
          <t>Costco</t>
        </is>
      </c>
      <c r="D1027" s="5" t="n">
        <v>1</v>
      </c>
      <c r="F1027" s="6" t="inlineStr">
        <is>
          <t>439 024 8146</t>
        </is>
      </c>
      <c r="G1027" s="15" t="inlineStr">
        <is>
          <t>1631350</t>
        </is>
      </c>
      <c r="H1027" s="9" t="inlineStr">
        <is>
          <t>BFG TRAIL-TERRAIN T/A 225/60R17 99H BSW ALL-SEASON TIRE  MSPN 58571 60,000 Mile Warranty</t>
        </is>
      </c>
      <c r="I1027" s="9" t="n">
        <v>4</v>
      </c>
      <c r="J1027" s="9" t="inlineStr">
        <is>
          <t>cnt</t>
        </is>
      </c>
      <c r="K1027" s="9" t="n">
        <v>879.96</v>
      </c>
    </row>
    <row r="1028" ht="15" customFormat="1" customHeight="1" s="5">
      <c r="A1028" s="81" t="n">
        <v>45938</v>
      </c>
      <c r="B1028" s="82" t="n">
        <v>0.825</v>
      </c>
      <c r="C1028" s="5" t="inlineStr">
        <is>
          <t>Costco</t>
        </is>
      </c>
      <c r="D1028" s="5" t="n">
        <v>1</v>
      </c>
      <c r="F1028" s="6" t="inlineStr">
        <is>
          <t>439 024 8146</t>
        </is>
      </c>
      <c r="G1028" s="15" t="inlineStr">
        <is>
          <t>6850</t>
        </is>
      </c>
      <c r="H1028" s="9" t="inlineStr">
        <is>
          <t>No Charge Tire Installation</t>
        </is>
      </c>
      <c r="I1028" s="9" t="n">
        <v>4</v>
      </c>
      <c r="J1028" s="9" t="inlineStr">
        <is>
          <t>cnt</t>
        </is>
      </c>
      <c r="K1028" s="9" t="n">
        <v>0</v>
      </c>
    </row>
    <row r="1029" ht="15" customFormat="1" customHeight="1" s="5">
      <c r="A1029" s="81" t="n">
        <v>45938</v>
      </c>
      <c r="B1029" s="82" t="n">
        <v>0.825</v>
      </c>
      <c r="C1029" s="5" t="inlineStr">
        <is>
          <t>Costco</t>
        </is>
      </c>
      <c r="D1029" s="5" t="n">
        <v>1</v>
      </c>
      <c r="F1029" s="6" t="inlineStr">
        <is>
          <t>439 024 8146</t>
        </is>
      </c>
      <c r="G1029" s="15" t="inlineStr">
        <is>
          <t>7023</t>
        </is>
      </c>
      <c r="H1029" s="9" t="inlineStr">
        <is>
          <t>Tire Disposal</t>
        </is>
      </c>
      <c r="I1029" s="9" t="n">
        <v>4</v>
      </c>
      <c r="J1029" s="9" t="inlineStr">
        <is>
          <t>cnt</t>
        </is>
      </c>
      <c r="K1029" s="9" t="n">
        <v>9</v>
      </c>
    </row>
    <row r="1030" ht="15" customFormat="1" customHeight="1" s="5">
      <c r="A1030" s="81" t="n">
        <v>45938</v>
      </c>
      <c r="B1030" s="82" t="n">
        <v>0.825</v>
      </c>
      <c r="C1030" s="5" t="inlineStr">
        <is>
          <t>Costco</t>
        </is>
      </c>
      <c r="D1030" s="5" t="n">
        <v>1</v>
      </c>
      <c r="F1030" s="6" t="inlineStr">
        <is>
          <t>439 024 8146</t>
        </is>
      </c>
      <c r="G1030" s="15" t="inlineStr">
        <is>
          <t>866632</t>
        </is>
      </c>
      <c r="H1030" s="9" t="inlineStr">
        <is>
          <t>TPMS Service Pack Generic</t>
        </is>
      </c>
      <c r="I1030" s="9" t="n">
        <v>4</v>
      </c>
      <c r="J1030" s="9" t="inlineStr">
        <is>
          <t>cnt</t>
        </is>
      </c>
      <c r="K1030" s="9" t="n">
        <v>11.96</v>
      </c>
    </row>
    <row r="1031" ht="15" customFormat="1" customHeight="1" s="5">
      <c r="A1031" s="81" t="n">
        <v>45938</v>
      </c>
      <c r="B1031" s="82" t="n">
        <v>0.825</v>
      </c>
      <c r="C1031" s="5" t="inlineStr">
        <is>
          <t>Costco</t>
        </is>
      </c>
      <c r="D1031" s="5" t="n">
        <v>1</v>
      </c>
      <c r="F1031" s="6" t="inlineStr">
        <is>
          <t>439 024 8146</t>
        </is>
      </c>
      <c r="G1031" s="10" t="n"/>
      <c r="H1031" s="9" t="inlineStr">
        <is>
          <t>Promotional Discount</t>
        </is>
      </c>
      <c r="I1031" s="9" t="n">
        <v>1</v>
      </c>
      <c r="J1031" s="9" t="inlineStr">
        <is>
          <t>cnt</t>
        </is>
      </c>
      <c r="K1031" s="9" t="n">
        <v>-60</v>
      </c>
    </row>
    <row r="1032" ht="15" customFormat="1" customHeight="1" s="5">
      <c r="A1032" s="81" t="n">
        <v>45938</v>
      </c>
      <c r="B1032" s="82" t="n">
        <v>0.825</v>
      </c>
      <c r="C1032" s="5" t="inlineStr">
        <is>
          <t>Costco</t>
        </is>
      </c>
      <c r="D1032" s="5" t="n">
        <v>1</v>
      </c>
      <c r="F1032" s="6" t="inlineStr">
        <is>
          <t>439 024 8146</t>
        </is>
      </c>
      <c r="G1032" s="10" t="n"/>
      <c r="H1032" s="9" t="inlineStr">
        <is>
          <t>CO Waste Tire Fee</t>
        </is>
      </c>
      <c r="I1032" s="9" t="n">
        <v>4</v>
      </c>
      <c r="J1032" s="9" t="inlineStr">
        <is>
          <t>cnt</t>
        </is>
      </c>
      <c r="K1032" s="9" t="n">
        <v>2</v>
      </c>
    </row>
    <row r="1033" ht="15" customFormat="1" customHeight="1" s="5">
      <c r="A1033" s="81" t="n">
        <v>45938</v>
      </c>
      <c r="B1033" s="82" t="n">
        <v>0.825</v>
      </c>
      <c r="C1033" s="5" t="inlineStr">
        <is>
          <t>Costco</t>
        </is>
      </c>
      <c r="D1033" s="5" t="n">
        <v>1</v>
      </c>
      <c r="F1033" s="6" t="inlineStr">
        <is>
          <t>439 024 8146</t>
        </is>
      </c>
      <c r="G1033" s="10" t="n"/>
      <c r="H1033" s="9" t="inlineStr">
        <is>
          <t>Co retail delivery fees</t>
        </is>
      </c>
      <c r="I1033" s="9" t="n">
        <v>1</v>
      </c>
      <c r="J1033" s="9" t="inlineStr">
        <is>
          <t>cnt</t>
        </is>
      </c>
      <c r="K1033" s="9" t="n">
        <v>0.28</v>
      </c>
    </row>
    <row r="1034" ht="15" customFormat="1" customHeight="1" s="5">
      <c r="A1034" s="81" t="n">
        <v>45938</v>
      </c>
      <c r="B1034" s="82" t="n">
        <v>0.825</v>
      </c>
      <c r="C1034" s="5" t="inlineStr">
        <is>
          <t>Costco</t>
        </is>
      </c>
      <c r="D1034" s="5" t="n">
        <v>1</v>
      </c>
      <c r="F1034" s="6" t="inlineStr">
        <is>
          <t>439 024 8146</t>
        </is>
      </c>
      <c r="G1034" s="10" t="n"/>
      <c r="H1034" s="9" t="inlineStr">
        <is>
          <t>Tax</t>
        </is>
      </c>
      <c r="I1034" s="9" t="n">
        <v>4</v>
      </c>
      <c r="J1034" s="9" t="inlineStr">
        <is>
          <t>cnt</t>
        </is>
      </c>
      <c r="K1034" s="9" t="n">
        <v>67.28</v>
      </c>
    </row>
    <row r="1035" ht="15" customFormat="1" customHeight="1" s="5">
      <c r="A1035" s="81" t="n">
        <v>45938</v>
      </c>
      <c r="B1035" s="82" t="n">
        <v>0.2916666666666667</v>
      </c>
      <c r="C1035" s="5" t="inlineStr">
        <is>
          <t>Parents Gift Account</t>
        </is>
      </c>
      <c r="D1035" s="5" t="n">
        <v>1</v>
      </c>
      <c r="F1035" s="6" t="inlineStr">
        <is>
          <t>256074974</t>
        </is>
      </c>
      <c r="G1035" s="10" t="inlineStr">
        <is>
          <t>8MW7EPAYR010Q7B</t>
        </is>
      </c>
      <c r="H1035" s="9" t="inlineStr">
        <is>
          <t>Lydia ATT Phone Aug 08 - Sep 07 -- Joseph Wu paid 9/26</t>
        </is>
      </c>
      <c r="I1035" s="9" t="n"/>
      <c r="J1035" s="9" t="n"/>
      <c r="K1035" s="9" t="n">
        <v>42.21</v>
      </c>
    </row>
    <row r="1036" ht="15" customFormat="1" customHeight="1" s="5">
      <c r="A1036" s="81" t="n">
        <v>45937</v>
      </c>
      <c r="B1036" s="82" t="n">
        <v>0.8673611111111111</v>
      </c>
      <c r="C1036" s="5" t="inlineStr">
        <is>
          <t>Amazon</t>
        </is>
      </c>
      <c r="D1036" s="5" t="n">
        <v>1</v>
      </c>
      <c r="F1036" s="6" t="inlineStr">
        <is>
          <t>112-5620699-7474642</t>
        </is>
      </c>
      <c r="G1036" s="15" t="n"/>
      <c r="H1036" s="9" t="inlineStr">
        <is>
          <t>Ailun 3 Pack Screen Protector for iPhone 16 Pro Max [6.9 inch] + 3 Pack Camera Lens Protector with Installation Frame,Sensor Protection,Dynamic Island Compatible,Case Friendly Tempered Glass Film</t>
        </is>
      </c>
      <c r="I1036" s="9" t="n">
        <v>3</v>
      </c>
      <c r="J1036" s="9" t="inlineStr">
        <is>
          <t>cnt</t>
        </is>
      </c>
      <c r="K1036" s="9" t="n">
        <v>7.63</v>
      </c>
    </row>
    <row r="1037" ht="15" customFormat="1" customHeight="1" s="5">
      <c r="A1037" s="81" t="n">
        <v>45937</v>
      </c>
      <c r="B1037" s="82" t="n">
        <v>0.8673611111111111</v>
      </c>
      <c r="C1037" s="5" t="inlineStr">
        <is>
          <t>Amazon</t>
        </is>
      </c>
      <c r="D1037" s="5" t="n">
        <v>1</v>
      </c>
      <c r="F1037" s="6" t="inlineStr">
        <is>
          <t>112-5620699-7474642</t>
        </is>
      </c>
      <c r="G1037" s="15" t="n"/>
      <c r="H1037" s="9" t="inlineStr">
        <is>
          <t>Co retail delivery fees</t>
        </is>
      </c>
      <c r="I1037" s="9" t="n">
        <v>1</v>
      </c>
      <c r="J1037" s="9" t="inlineStr">
        <is>
          <t>cnt</t>
        </is>
      </c>
      <c r="K1037" s="9" t="n">
        <v>0.28</v>
      </c>
    </row>
    <row r="1038" ht="15" customFormat="1" customHeight="1" s="5">
      <c r="A1038" s="81" t="n">
        <v>45937</v>
      </c>
      <c r="B1038" s="82" t="n">
        <v>0.8673611111111111</v>
      </c>
      <c r="C1038" s="5" t="inlineStr">
        <is>
          <t>Amazon</t>
        </is>
      </c>
      <c r="D1038" s="5" t="n">
        <v>1</v>
      </c>
      <c r="F1038" s="6" t="inlineStr">
        <is>
          <t>112-5620699-7474642</t>
        </is>
      </c>
      <c r="G1038" s="15" t="n"/>
      <c r="H1038" s="9" t="inlineStr">
        <is>
          <t>Tax</t>
        </is>
      </c>
      <c r="I1038" s="9" t="n">
        <v>1</v>
      </c>
      <c r="J1038" s="9" t="inlineStr">
        <is>
          <t>cnt</t>
        </is>
      </c>
      <c r="K1038" s="9" t="n">
        <v>0.61</v>
      </c>
    </row>
    <row r="1039" ht="15" customFormat="1" customHeight="1" s="5">
      <c r="A1039" s="81" t="n">
        <v>45937</v>
      </c>
      <c r="B1039" s="82" t="n">
        <v>0.6951388888888889</v>
      </c>
      <c r="C1039" s="5" t="inlineStr">
        <is>
          <t>Costco</t>
        </is>
      </c>
      <c r="E1039" s="5" t="n">
        <v>1</v>
      </c>
      <c r="F1039" s="6" t="inlineStr">
        <is>
          <t>439 208 235 708</t>
        </is>
      </c>
      <c r="G1039" s="10" t="inlineStr">
        <is>
          <t>E 1823420</t>
        </is>
      </c>
      <c r="H1039" s="9" t="inlineStr">
        <is>
          <t>Rustic Italian Loaf of Bread</t>
        </is>
      </c>
      <c r="I1039" s="9" t="n">
        <v>32</v>
      </c>
      <c r="J1039" s="9" t="inlineStr">
        <is>
          <t>oz</t>
        </is>
      </c>
      <c r="K1039" s="9" t="n">
        <v>5.99</v>
      </c>
    </row>
    <row r="1040" ht="15" customFormat="1" customHeight="1" s="5">
      <c r="A1040" s="81" t="n">
        <v>45937</v>
      </c>
      <c r="B1040" s="82" t="n">
        <v>0.6951388888888889</v>
      </c>
      <c r="C1040" s="5" t="inlineStr">
        <is>
          <t>Costco</t>
        </is>
      </c>
      <c r="E1040" s="5" t="n">
        <v>1</v>
      </c>
      <c r="F1040" s="6" t="inlineStr">
        <is>
          <t>439 208 235 708</t>
        </is>
      </c>
      <c r="G1040" s="15" t="inlineStr">
        <is>
          <t>1817724</t>
        </is>
      </c>
      <c r="H1040" s="9" t="inlineStr">
        <is>
          <t>Kirkland Signature Helles Style Lager Beer 4.5% ALC/VOL 12 x 12 fl oz</t>
        </is>
      </c>
      <c r="I1040" s="9" t="n">
        <v>144</v>
      </c>
      <c r="J1040" s="9" t="inlineStr">
        <is>
          <t>fl oz</t>
        </is>
      </c>
      <c r="K1040" s="9" t="inlineStr">
        <is>
          <t>13.99 A</t>
        </is>
      </c>
    </row>
    <row r="1041" ht="15" customFormat="1" customHeight="1" s="5">
      <c r="A1041" s="81" t="n">
        <v>45937</v>
      </c>
      <c r="B1041" s="82" t="n">
        <v>0.6951388888888889</v>
      </c>
      <c r="C1041" s="5" t="inlineStr">
        <is>
          <t>Costco</t>
        </is>
      </c>
      <c r="E1041" s="5" t="n">
        <v>1</v>
      </c>
      <c r="F1041" s="6" t="inlineStr">
        <is>
          <t>439 208 235 708</t>
        </is>
      </c>
      <c r="G1041" s="10" t="n"/>
      <c r="H1041" s="9" t="inlineStr">
        <is>
          <t>Tax A 8.00%</t>
        </is>
      </c>
      <c r="I1041" s="9" t="n">
        <v>144</v>
      </c>
      <c r="J1041" s="9" t="inlineStr">
        <is>
          <t>fl oz</t>
        </is>
      </c>
      <c r="K1041" s="9" t="n">
        <v>1.12</v>
      </c>
    </row>
    <row r="1042" ht="15" customFormat="1" customHeight="1" s="5">
      <c r="A1042" s="81" t="n">
        <v>45937</v>
      </c>
      <c r="B1042" s="82" t="n">
        <v>0.600474537037037</v>
      </c>
      <c r="C1042" s="5" t="inlineStr">
        <is>
          <t>H-Mart</t>
        </is>
      </c>
      <c r="E1042" s="5" t="n">
        <v>1</v>
      </c>
      <c r="F1042" s="6" t="inlineStr">
        <is>
          <t>5505250115279</t>
        </is>
      </c>
      <c r="G1042" s="10" t="n"/>
      <c r="H1042" s="9" t="inlineStr">
        <is>
          <t>MP Red Curry Paste</t>
        </is>
      </c>
      <c r="I1042" s="9" t="n">
        <v>14</v>
      </c>
      <c r="J1042" s="9" t="inlineStr">
        <is>
          <t>oz</t>
        </is>
      </c>
      <c r="K1042" s="9" t="n">
        <v>3.99</v>
      </c>
    </row>
    <row r="1043" ht="15" customFormat="1" customHeight="1" s="5">
      <c r="A1043" s="81" t="n">
        <v>45937</v>
      </c>
      <c r="B1043" s="82" t="n">
        <v>0.600474537037037</v>
      </c>
      <c r="C1043" s="5" t="inlineStr">
        <is>
          <t>H-Mart</t>
        </is>
      </c>
      <c r="E1043" s="5" t="n">
        <v>1</v>
      </c>
      <c r="F1043" s="6" t="inlineStr">
        <is>
          <t>5505250115279</t>
        </is>
      </c>
      <c r="G1043" s="10" t="n"/>
      <c r="H1043" s="9" t="inlineStr">
        <is>
          <t>DF Lemongrass powder</t>
        </is>
      </c>
      <c r="I1043" s="9" t="n">
        <v>5.6</v>
      </c>
      <c r="J1043" s="9" t="inlineStr">
        <is>
          <t>oz</t>
        </is>
      </c>
      <c r="K1043" s="9" t="n">
        <v>3.79</v>
      </c>
    </row>
    <row r="1044" ht="15" customFormat="1" customHeight="1" s="5">
      <c r="A1044" s="81" t="n">
        <v>45937</v>
      </c>
      <c r="B1044" s="82" t="n">
        <v>0.600474537037037</v>
      </c>
      <c r="C1044" s="5" t="inlineStr">
        <is>
          <t>H-Mart</t>
        </is>
      </c>
      <c r="E1044" s="5" t="n">
        <v>1</v>
      </c>
      <c r="F1044" s="6" t="inlineStr">
        <is>
          <t>5505250115279</t>
        </is>
      </c>
      <c r="G1044" s="10" t="n"/>
      <c r="H1044" s="9" t="inlineStr">
        <is>
          <t>B8 Panda Shrimp Netted Spring Rolls 12 count</t>
        </is>
      </c>
      <c r="I1044" s="9" t="n">
        <v>0.55</v>
      </c>
      <c r="J1044" s="9" t="inlineStr">
        <is>
          <t>lb</t>
        </is>
      </c>
      <c r="K1044" s="9" t="n">
        <v>4.49</v>
      </c>
    </row>
    <row r="1045" ht="15" customFormat="1" customHeight="1" s="5">
      <c r="A1045" s="81" t="n">
        <v>45937</v>
      </c>
      <c r="B1045" s="82" t="n">
        <v>0.600474537037037</v>
      </c>
      <c r="C1045" s="5" t="inlineStr">
        <is>
          <t>H-Mart</t>
        </is>
      </c>
      <c r="E1045" s="5" t="n">
        <v>1</v>
      </c>
      <c r="F1045" s="6" t="inlineStr">
        <is>
          <t>5505250115279</t>
        </is>
      </c>
      <c r="G1045" s="10" t="n"/>
      <c r="H1045" s="9" t="inlineStr">
        <is>
          <t>Koshikihari Rice Short Grain Sushi Style</t>
        </is>
      </c>
      <c r="I1045" s="9" t="n">
        <v>15</v>
      </c>
      <c r="J1045" s="9" t="inlineStr">
        <is>
          <t>lb</t>
        </is>
      </c>
      <c r="K1045" s="9" t="n">
        <v>39.99</v>
      </c>
    </row>
    <row r="1046" ht="15" customFormat="1" customHeight="1" s="5">
      <c r="A1046" s="81" t="n">
        <v>45937</v>
      </c>
      <c r="B1046" s="82" t="n">
        <v>0.600474537037037</v>
      </c>
      <c r="C1046" s="5" t="inlineStr">
        <is>
          <t>H-Mart</t>
        </is>
      </c>
      <c r="E1046" s="5" t="n">
        <v>1</v>
      </c>
      <c r="F1046" s="6" t="inlineStr">
        <is>
          <t>5505250115279</t>
        </is>
      </c>
      <c r="G1046" s="10" t="n"/>
      <c r="H1046" s="9" t="inlineStr">
        <is>
          <t>Red Cabbage USA @$1.79/lb</t>
        </is>
      </c>
      <c r="I1046" s="9" t="n">
        <v>2.26</v>
      </c>
      <c r="J1046" s="9" t="inlineStr">
        <is>
          <t>lb</t>
        </is>
      </c>
      <c r="K1046" s="9" t="n">
        <v>4.05</v>
      </c>
    </row>
    <row r="1047" ht="15" customFormat="1" customHeight="1" s="5">
      <c r="A1047" s="81" t="n">
        <v>45937</v>
      </c>
      <c r="B1047" s="82" t="n">
        <v>0.600474537037037</v>
      </c>
      <c r="C1047" s="5" t="inlineStr">
        <is>
          <t>H-Mart</t>
        </is>
      </c>
      <c r="E1047" s="5" t="n">
        <v>1</v>
      </c>
      <c r="F1047" s="6" t="inlineStr">
        <is>
          <t>5505250115279</t>
        </is>
      </c>
      <c r="G1047" s="10" t="n"/>
      <c r="H1047" s="9" t="inlineStr">
        <is>
          <t>Loose Garlic Mexico @$6.99/lb</t>
        </is>
      </c>
      <c r="I1047" s="9" t="n">
        <v>0.18</v>
      </c>
      <c r="J1047" s="9" t="inlineStr">
        <is>
          <t>lb</t>
        </is>
      </c>
      <c r="K1047" s="9" t="n">
        <v>1.26</v>
      </c>
    </row>
    <row r="1048" ht="15" customFormat="1" customHeight="1" s="5">
      <c r="A1048" s="81" t="n">
        <v>45937</v>
      </c>
      <c r="B1048" s="82" t="n">
        <v>0.600474537037037</v>
      </c>
      <c r="C1048" s="5" t="inlineStr">
        <is>
          <t>H-Mart</t>
        </is>
      </c>
      <c r="E1048" s="5" t="n">
        <v>1</v>
      </c>
      <c r="F1048" s="6" t="inlineStr">
        <is>
          <t>5505250115279</t>
        </is>
      </c>
      <c r="G1048" s="10" t="n"/>
      <c r="H1048" s="9" t="inlineStr">
        <is>
          <t>Sweet Basil USA @$7.99/lb</t>
        </is>
      </c>
      <c r="I1048" s="9" t="n">
        <v>0.59</v>
      </c>
      <c r="J1048" s="9" t="inlineStr">
        <is>
          <t>lb</t>
        </is>
      </c>
      <c r="K1048" s="9" t="n">
        <v>4.71</v>
      </c>
    </row>
    <row r="1049" ht="15" customFormat="1" customHeight="1" s="5">
      <c r="A1049" s="81" t="n">
        <v>45937</v>
      </c>
      <c r="B1049" s="82" t="n">
        <v>0.600474537037037</v>
      </c>
      <c r="C1049" s="5" t="inlineStr">
        <is>
          <t>H-Mart</t>
        </is>
      </c>
      <c r="E1049" s="5" t="n">
        <v>1</v>
      </c>
      <c r="F1049" s="6" t="inlineStr">
        <is>
          <t>5505250115279</t>
        </is>
      </c>
      <c r="G1049" s="10" t="n"/>
      <c r="H1049" s="9" t="inlineStr">
        <is>
          <t>Red Bell Pepper USA/MEXICO @$1.78/lb</t>
        </is>
      </c>
      <c r="I1049" s="9" t="n">
        <v>1.25</v>
      </c>
      <c r="J1049" s="9" t="inlineStr">
        <is>
          <t>lb</t>
        </is>
      </c>
      <c r="K1049" s="9" t="n">
        <v>2.23</v>
      </c>
    </row>
    <row r="1050" ht="15" customFormat="1" customHeight="1" s="5">
      <c r="A1050" s="81" t="n">
        <v>45937</v>
      </c>
      <c r="B1050" s="82" t="n">
        <v>0.600474537037037</v>
      </c>
      <c r="C1050" s="5" t="inlineStr">
        <is>
          <t>H-Mart</t>
        </is>
      </c>
      <c r="E1050" s="5" t="n">
        <v>1</v>
      </c>
      <c r="F1050" s="6" t="inlineStr">
        <is>
          <t>5505250115279</t>
        </is>
      </c>
      <c r="G1050" s="10" t="n"/>
      <c r="H1050" s="9" t="inlineStr">
        <is>
          <t>American Cucumber USA/MEXICO @$0.98/lb</t>
        </is>
      </c>
      <c r="I1050" s="9" t="n">
        <v>1.84</v>
      </c>
      <c r="J1050" s="9" t="inlineStr">
        <is>
          <t>lb</t>
        </is>
      </c>
      <c r="K1050" s="9" t="n">
        <v>1.8</v>
      </c>
    </row>
    <row r="1051" ht="15" customFormat="1" customHeight="1" s="5">
      <c r="A1051" s="81" t="n">
        <v>45937</v>
      </c>
      <c r="B1051" s="82" t="n">
        <v>0.600474537037037</v>
      </c>
      <c r="C1051" s="5" t="inlineStr">
        <is>
          <t>H-Mart</t>
        </is>
      </c>
      <c r="E1051" s="5" t="n">
        <v>1</v>
      </c>
      <c r="F1051" s="6" t="inlineStr">
        <is>
          <t>5505250115279</t>
        </is>
      </c>
      <c r="G1051" s="10" t="n"/>
      <c r="H1051" s="9" t="inlineStr">
        <is>
          <t>Chinese Eggplant USA/MEXICO @$1.38/lb</t>
        </is>
      </c>
      <c r="I1051" s="9" t="n">
        <v>1.37</v>
      </c>
      <c r="J1051" s="9" t="inlineStr">
        <is>
          <t>lb</t>
        </is>
      </c>
      <c r="K1051" s="9" t="n">
        <v>1.89</v>
      </c>
    </row>
    <row r="1052" ht="15" customFormat="1" customHeight="1" s="5">
      <c r="A1052" s="81" t="n">
        <v>45937</v>
      </c>
      <c r="B1052" s="82" t="n">
        <v>0.600474537037037</v>
      </c>
      <c r="C1052" s="5" t="inlineStr">
        <is>
          <t>H-Mart</t>
        </is>
      </c>
      <c r="E1052" s="5" t="n">
        <v>1</v>
      </c>
      <c r="F1052" s="6" t="inlineStr">
        <is>
          <t>5505250115279</t>
        </is>
      </c>
      <c r="G1052" s="10" t="n"/>
      <c r="H1052" s="9" t="inlineStr">
        <is>
          <t>Cilantro USA/MEXICO @$0.55/bunch</t>
        </is>
      </c>
      <c r="I1052" s="9" t="n">
        <v>1</v>
      </c>
      <c r="J1052" s="9" t="inlineStr">
        <is>
          <t>cnt</t>
        </is>
      </c>
      <c r="K1052" s="9" t="n">
        <v>0.55</v>
      </c>
    </row>
    <row r="1053" ht="15" customFormat="1" customHeight="1" s="5">
      <c r="A1053" s="81" t="n">
        <v>45937</v>
      </c>
      <c r="B1053" s="82" t="n">
        <v>0.600474537037037</v>
      </c>
      <c r="C1053" s="5" t="inlineStr">
        <is>
          <t>H-Mart</t>
        </is>
      </c>
      <c r="E1053" s="5" t="n">
        <v>1</v>
      </c>
      <c r="F1053" s="6" t="inlineStr">
        <is>
          <t>5505250115279</t>
        </is>
      </c>
      <c r="G1053" s="10" t="n"/>
      <c r="H1053" s="9" t="inlineStr">
        <is>
          <t>Japaeno Green Pepper USA/MEXICO @$0.98/lb</t>
        </is>
      </c>
      <c r="I1053" s="9" t="n">
        <v>0.16</v>
      </c>
      <c r="J1053" s="9" t="inlineStr">
        <is>
          <t>lb</t>
        </is>
      </c>
      <c r="K1053" s="9" t="n">
        <v>0.16</v>
      </c>
    </row>
    <row r="1054" ht="15" customFormat="1" customHeight="1" s="5">
      <c r="A1054" s="81" t="n">
        <v>45937</v>
      </c>
      <c r="B1054" s="82" t="n">
        <v>0.600474537037037</v>
      </c>
      <c r="C1054" s="5" t="inlineStr">
        <is>
          <t>H-Mart</t>
        </is>
      </c>
      <c r="E1054" s="5" t="n">
        <v>1</v>
      </c>
      <c r="F1054" s="6" t="inlineStr">
        <is>
          <t>5505250115279</t>
        </is>
      </c>
      <c r="G1054" s="10" t="n"/>
      <c r="H1054" s="9" t="inlineStr">
        <is>
          <t>Lime USA/MEXICO @$0.20/each</t>
        </is>
      </c>
      <c r="I1054" s="9" t="n">
        <v>5</v>
      </c>
      <c r="J1054" s="9" t="inlineStr">
        <is>
          <t>cnt</t>
        </is>
      </c>
      <c r="K1054" s="9" t="n">
        <v>1</v>
      </c>
    </row>
    <row r="1055" ht="15" customFormat="1" customHeight="1" s="5">
      <c r="A1055" s="81" t="n">
        <v>45937</v>
      </c>
      <c r="B1055" s="82" t="n">
        <v>0.600474537037037</v>
      </c>
      <c r="C1055" s="5" t="inlineStr">
        <is>
          <t>H-Mart</t>
        </is>
      </c>
      <c r="E1055" s="5" t="n">
        <v>1</v>
      </c>
      <c r="F1055" s="6" t="inlineStr">
        <is>
          <t>5505250115279</t>
        </is>
      </c>
      <c r="G1055" s="10" t="n"/>
      <c r="H1055" s="9" t="inlineStr">
        <is>
          <t>Green Bell Pepper USA/MEXICO @$1.78/lb</t>
        </is>
      </c>
      <c r="I1055" s="9" t="n">
        <v>1.74</v>
      </c>
      <c r="J1055" s="9" t="inlineStr">
        <is>
          <t>lb</t>
        </is>
      </c>
      <c r="K1055" s="9" t="n">
        <v>3.1</v>
      </c>
    </row>
    <row r="1056" ht="15" customFormat="1" customHeight="1" s="5">
      <c r="A1056" s="81" t="n">
        <v>45937</v>
      </c>
      <c r="B1056" s="82" t="n">
        <v>0.600474537037037</v>
      </c>
      <c r="C1056" s="5" t="inlineStr">
        <is>
          <t>H-Mart</t>
        </is>
      </c>
      <c r="E1056" s="5" t="n">
        <v>1</v>
      </c>
      <c r="F1056" s="6" t="inlineStr">
        <is>
          <t>5505250115279</t>
        </is>
      </c>
      <c r="G1056" s="10" t="n"/>
      <c r="H1056" s="9" t="inlineStr">
        <is>
          <t>Zucchini Squash USA/MEXICO @$0.98/lb</t>
        </is>
      </c>
      <c r="I1056" s="9" t="n">
        <v>2.02</v>
      </c>
      <c r="J1056" s="9" t="inlineStr">
        <is>
          <t>lb</t>
        </is>
      </c>
      <c r="K1056" s="9" t="n">
        <v>1.98</v>
      </c>
    </row>
    <row r="1057" ht="15" customFormat="1" customHeight="1" s="5">
      <c r="A1057" s="81" t="n">
        <v>45937</v>
      </c>
      <c r="B1057" s="82" t="n">
        <v>0.600474537037037</v>
      </c>
      <c r="C1057" s="5" t="inlineStr">
        <is>
          <t>H-Mart</t>
        </is>
      </c>
      <c r="E1057" s="5" t="n">
        <v>1</v>
      </c>
      <c r="F1057" s="6" t="inlineStr">
        <is>
          <t>5505250115279</t>
        </is>
      </c>
      <c r="G1057" s="10" t="n"/>
      <c r="H1057" s="9" t="inlineStr">
        <is>
          <t>Ginger CHINA/PERU @$1.48/lb</t>
        </is>
      </c>
      <c r="I1057" s="9" t="n">
        <v>0.32</v>
      </c>
      <c r="J1057" s="9" t="inlineStr">
        <is>
          <t>lb</t>
        </is>
      </c>
      <c r="K1057" s="9" t="n">
        <v>0.47</v>
      </c>
    </row>
    <row r="1058" ht="15" customFormat="1" customHeight="1" s="5">
      <c r="A1058" s="81" t="n">
        <v>45937</v>
      </c>
      <c r="B1058" s="82" t="n">
        <v>0.600474537037037</v>
      </c>
      <c r="C1058" s="5" t="inlineStr">
        <is>
          <t>H-Mart</t>
        </is>
      </c>
      <c r="E1058" s="5" t="n">
        <v>1</v>
      </c>
      <c r="F1058" s="6" t="inlineStr">
        <is>
          <t>5505250115279</t>
        </is>
      </c>
      <c r="G1058" s="10" t="n"/>
      <c r="H1058" s="9" t="inlineStr">
        <is>
          <t>Green Onion MEXICO @$0.55/bunch</t>
        </is>
      </c>
      <c r="I1058" s="9" t="n">
        <v>1</v>
      </c>
      <c r="J1058" s="9" t="inlineStr">
        <is>
          <t>cnt</t>
        </is>
      </c>
      <c r="K1058" s="9" t="n">
        <v>0.55</v>
      </c>
    </row>
    <row r="1059" ht="15" customFormat="1" customHeight="1" s="5">
      <c r="A1059" s="81" t="n">
        <v>45937</v>
      </c>
      <c r="B1059" s="82" t="n">
        <v>0.600474537037037</v>
      </c>
      <c r="C1059" s="5" t="inlineStr">
        <is>
          <t>H-Mart</t>
        </is>
      </c>
      <c r="E1059" s="5" t="n">
        <v>1</v>
      </c>
      <c r="F1059" s="6" t="inlineStr">
        <is>
          <t>5505250115279</t>
        </is>
      </c>
      <c r="G1059" s="10" t="n"/>
      <c r="H1059" s="9" t="inlineStr">
        <is>
          <t>Tax1</t>
        </is>
      </c>
      <c r="I1059" s="9" t="n">
        <v>22.73</v>
      </c>
      <c r="J1059" s="9" t="inlineStr">
        <is>
          <t>cnt</t>
        </is>
      </c>
      <c r="K1059" s="9" t="n">
        <v>0</v>
      </c>
    </row>
    <row r="1060" ht="15" customFormat="1" customHeight="1" s="5">
      <c r="A1060" s="81" t="n">
        <v>45937</v>
      </c>
      <c r="B1060" s="82" t="n">
        <v>0.5451388888888888</v>
      </c>
      <c r="C1060" s="5" t="inlineStr">
        <is>
          <t>Walmart</t>
        </is>
      </c>
      <c r="D1060" s="5" t="n">
        <v>1</v>
      </c>
      <c r="F1060" s="6" t="inlineStr">
        <is>
          <t>#2000135-52090184</t>
        </is>
      </c>
      <c r="G1060" s="10" t="n"/>
      <c r="H1060" s="9" t="inlineStr">
        <is>
          <t>Great Value Organic Ground Flax Seed, 32 oz (907g) – USDA Certified, Allergen-Free, High Fiber</t>
        </is>
      </c>
      <c r="I1060" s="9" t="n">
        <v>32</v>
      </c>
      <c r="J1060" s="9" t="inlineStr">
        <is>
          <t>oz</t>
        </is>
      </c>
      <c r="K1060" s="9" t="n">
        <v>6.76</v>
      </c>
    </row>
    <row r="1061" ht="15" customFormat="1" customHeight="1" s="5">
      <c r="A1061" s="81" t="n">
        <v>45937</v>
      </c>
      <c r="B1061" s="82" t="n">
        <v>0.5451388888888888</v>
      </c>
      <c r="C1061" s="5" t="inlineStr">
        <is>
          <t>Walmart</t>
        </is>
      </c>
      <c r="D1061" s="5" t="n">
        <v>1</v>
      </c>
      <c r="F1061" s="6" t="inlineStr">
        <is>
          <t>#2000135-52090184</t>
        </is>
      </c>
      <c r="G1061" s="10" t="n"/>
      <c r="H1061" s="9" t="inlineStr">
        <is>
          <t>Great Value Light Brown Sugar, 32 oz</t>
        </is>
      </c>
      <c r="I1061" s="9" t="n">
        <v>32</v>
      </c>
      <c r="J1061" s="9" t="inlineStr">
        <is>
          <t>oz</t>
        </is>
      </c>
      <c r="K1061" s="9" t="n">
        <v>2.22</v>
      </c>
    </row>
    <row r="1062" ht="15" customFormat="1" customHeight="1" s="5">
      <c r="A1062" s="81" t="n">
        <v>45937</v>
      </c>
      <c r="B1062" s="82" t="n">
        <v>0.5451388888888888</v>
      </c>
      <c r="C1062" s="5" t="inlineStr">
        <is>
          <t>Walmart</t>
        </is>
      </c>
      <c r="D1062" s="5" t="n">
        <v>1</v>
      </c>
      <c r="F1062" s="6" t="inlineStr">
        <is>
          <t>#2000135-52090184</t>
        </is>
      </c>
      <c r="G1062" s="10" t="n"/>
      <c r="H1062" s="9" t="inlineStr">
        <is>
          <t>Bobo's Oat Bites, Peanut Butter Chocolate Chip, 5 Pack of 1.3 oz bars</t>
        </is>
      </c>
      <c r="I1062" s="9" t="n">
        <v>6.5</v>
      </c>
      <c r="J1062" s="9" t="inlineStr">
        <is>
          <t>oz</t>
        </is>
      </c>
      <c r="K1062" s="9" t="n">
        <v>3.56</v>
      </c>
    </row>
    <row r="1063" ht="15" customFormat="1" customHeight="1" s="5">
      <c r="A1063" s="81" t="n">
        <v>45937</v>
      </c>
      <c r="B1063" s="82" t="n">
        <v>0.5451388888888888</v>
      </c>
      <c r="C1063" s="5" t="inlineStr">
        <is>
          <t>Walmart</t>
        </is>
      </c>
      <c r="D1063" s="5" t="n">
        <v>1</v>
      </c>
      <c r="F1063" s="6" t="inlineStr">
        <is>
          <t>#2000135-52090184</t>
        </is>
      </c>
      <c r="G1063" s="10" t="n"/>
      <c r="H1063" s="9" t="inlineStr">
        <is>
          <t>Fleischmann's Active Dry Yeast, 4 oz</t>
        </is>
      </c>
      <c r="I1063" s="9" t="n">
        <v>4</v>
      </c>
      <c r="J1063" s="9" t="inlineStr">
        <is>
          <t>oz</t>
        </is>
      </c>
      <c r="K1063" s="9" t="n">
        <v>5.48</v>
      </c>
    </row>
    <row r="1064" ht="15" customFormat="1" customHeight="1" s="5">
      <c r="A1064" s="81" t="n">
        <v>45937</v>
      </c>
      <c r="B1064" s="82" t="n">
        <v>0.5451388888888888</v>
      </c>
      <c r="C1064" s="5" t="inlineStr">
        <is>
          <t>Walmart</t>
        </is>
      </c>
      <c r="D1064" s="5" t="n">
        <v>1</v>
      </c>
      <c r="F1064" s="6" t="inlineStr">
        <is>
          <t>#2000135-52090184</t>
        </is>
      </c>
      <c r="G1064" s="10" t="n"/>
      <c r="H1064" s="9" t="inlineStr">
        <is>
          <t>King Arthur Baking Company Non-GMO Project Verified, Certified Kosher 100% Whole Grain Whole Wheat Flour, 5 lb Bag</t>
        </is>
      </c>
      <c r="I1064" s="9" t="n">
        <v>5</v>
      </c>
      <c r="J1064" s="9" t="inlineStr">
        <is>
          <t>lb</t>
        </is>
      </c>
      <c r="K1064" s="9" t="n">
        <v>5.58</v>
      </c>
    </row>
    <row r="1065" ht="15" customFormat="1" customHeight="1" s="5">
      <c r="A1065" s="81" t="n">
        <v>45937</v>
      </c>
      <c r="B1065" s="82" t="n">
        <v>0.5451388888888888</v>
      </c>
      <c r="C1065" s="5" t="inlineStr">
        <is>
          <t>Walmart</t>
        </is>
      </c>
      <c r="D1065" s="5" t="n">
        <v>1</v>
      </c>
      <c r="F1065" s="6" t="inlineStr">
        <is>
          <t>#2000135-52090184</t>
        </is>
      </c>
      <c r="G1065" s="10" t="n"/>
      <c r="H1065" s="9" t="inlineStr">
        <is>
          <t>Equate Overnight Maxi Pads with Wings, Size 5, Extra Heavy Overnight Protection (36 Count)</t>
        </is>
      </c>
      <c r="I1065" s="9" t="n">
        <v>36</v>
      </c>
      <c r="J1065" s="9" t="inlineStr">
        <is>
          <t>cnt</t>
        </is>
      </c>
      <c r="K1065" s="9" t="n">
        <v>6.94</v>
      </c>
    </row>
    <row r="1066" ht="15" customFormat="1" customHeight="1" s="5">
      <c r="A1066" s="81" t="n">
        <v>45937</v>
      </c>
      <c r="B1066" s="82" t="n">
        <v>0.5451388888888888</v>
      </c>
      <c r="C1066" s="5" t="inlineStr">
        <is>
          <t>Walmart</t>
        </is>
      </c>
      <c r="D1066" s="5" t="n">
        <v>1</v>
      </c>
      <c r="F1066" s="6" t="inlineStr">
        <is>
          <t>#2000135-52090184</t>
        </is>
      </c>
      <c r="G1066" s="10" t="n"/>
      <c r="H1066" s="9" t="inlineStr">
        <is>
          <t>Equate Overnight Maxi Pads with Wings, Size 5, Extra Heavy Overnight Protection (36 Count)</t>
        </is>
      </c>
      <c r="I1066" s="9" t="n">
        <v>36</v>
      </c>
      <c r="J1066" s="9" t="inlineStr">
        <is>
          <t>cnt</t>
        </is>
      </c>
      <c r="K1066" s="9" t="n">
        <v>6.94</v>
      </c>
    </row>
    <row r="1067" ht="15" customFormat="1" customHeight="1" s="5">
      <c r="A1067" s="81" t="n">
        <v>45937</v>
      </c>
      <c r="B1067" s="82" t="n">
        <v>0.5451388888888888</v>
      </c>
      <c r="C1067" s="5" t="inlineStr">
        <is>
          <t>Walmart</t>
        </is>
      </c>
      <c r="D1067" s="5" t="n">
        <v>1</v>
      </c>
      <c r="F1067" s="6" t="inlineStr">
        <is>
          <t>#2000135-52090184</t>
        </is>
      </c>
      <c r="G1067" s="10" t="n"/>
      <c r="H1067" s="9" t="inlineStr">
        <is>
          <t>Fruit of the Earth Aloe Vera Moisturizing Gel, Unscented 12 oz.</t>
        </is>
      </c>
      <c r="I1067" s="9" t="n">
        <v>12</v>
      </c>
      <c r="J1067" s="9" t="inlineStr">
        <is>
          <t>oz</t>
        </is>
      </c>
      <c r="K1067" s="9" t="n">
        <v>4.28</v>
      </c>
    </row>
    <row r="1068" ht="15" customFormat="1" customHeight="1" s="5">
      <c r="A1068" s="81" t="n">
        <v>45937</v>
      </c>
      <c r="B1068" s="82" t="n">
        <v>0.5451388888888888</v>
      </c>
      <c r="C1068" s="5" t="inlineStr">
        <is>
          <t>Walmart</t>
        </is>
      </c>
      <c r="D1068" s="5" t="n">
        <v>1</v>
      </c>
      <c r="F1068" s="6" t="inlineStr">
        <is>
          <t>#2000135-52090184</t>
        </is>
      </c>
      <c r="G1068" s="10" t="n"/>
      <c r="H1068" s="9" t="inlineStr">
        <is>
          <t>Fruit of the Earth Aloe Vera Moisturizing Gel, Unscented 12 oz.</t>
        </is>
      </c>
      <c r="I1068" s="9" t="n">
        <v>12</v>
      </c>
      <c r="J1068" s="9" t="inlineStr">
        <is>
          <t>oz</t>
        </is>
      </c>
      <c r="K1068" s="9" t="n">
        <v>4.28</v>
      </c>
    </row>
    <row r="1069" ht="15" customFormat="1" customHeight="1" s="5">
      <c r="A1069" s="81" t="n">
        <v>45937</v>
      </c>
      <c r="B1069" s="82" t="n">
        <v>0.5451388888888888</v>
      </c>
      <c r="C1069" s="5" t="inlineStr">
        <is>
          <t>Walmart</t>
        </is>
      </c>
      <c r="D1069" s="5" t="n">
        <v>1</v>
      </c>
      <c r="F1069" s="6" t="inlineStr">
        <is>
          <t>#2000135-52090184</t>
        </is>
      </c>
      <c r="G1069" s="10" t="n"/>
      <c r="H1069" s="9" t="inlineStr">
        <is>
          <t>Bobo's Oat Bites, Chocolate Chip, 5 Pack of 1.3 oz bars</t>
        </is>
      </c>
      <c r="I1069" s="9" t="n">
        <v>6.5</v>
      </c>
      <c r="J1069" s="9" t="inlineStr">
        <is>
          <t>oz</t>
        </is>
      </c>
      <c r="K1069" s="9" t="n">
        <v>3.56</v>
      </c>
    </row>
    <row r="1070" ht="15" customFormat="1" customHeight="1" s="5">
      <c r="A1070" s="81" t="n">
        <v>45937</v>
      </c>
      <c r="B1070" s="82" t="n">
        <v>0.5451388888888888</v>
      </c>
      <c r="C1070" s="5" t="inlineStr">
        <is>
          <t>Walmart</t>
        </is>
      </c>
      <c r="D1070" s="5" t="n">
        <v>1</v>
      </c>
      <c r="F1070" s="6" t="inlineStr">
        <is>
          <t>#2000135-52090184</t>
        </is>
      </c>
      <c r="G1070" s="10" t="n"/>
      <c r="H1070" s="9" t="inlineStr">
        <is>
          <t>Co retail delivery fees</t>
        </is>
      </c>
      <c r="I1070" s="9" t="n">
        <v>9</v>
      </c>
      <c r="J1070" s="9" t="inlineStr">
        <is>
          <t>cnt</t>
        </is>
      </c>
      <c r="K1070" s="9" t="n">
        <v>0.28</v>
      </c>
    </row>
    <row r="1071" ht="15" customFormat="1" customHeight="1" s="5">
      <c r="A1071" s="81" t="n">
        <v>45937</v>
      </c>
      <c r="B1071" s="82" t="n">
        <v>0.5451388888888888</v>
      </c>
      <c r="C1071" s="5" t="inlineStr">
        <is>
          <t>Walmart</t>
        </is>
      </c>
      <c r="D1071" s="5" t="n">
        <v>1</v>
      </c>
      <c r="F1071" s="6" t="inlineStr">
        <is>
          <t>#2000135-52090184</t>
        </is>
      </c>
      <c r="G1071" s="10" t="n"/>
      <c r="H1071" s="9" t="inlineStr">
        <is>
          <t xml:space="preserve">Tax </t>
        </is>
      </c>
      <c r="I1071" s="9" t="n">
        <v>9</v>
      </c>
      <c r="J1071" s="9" t="inlineStr">
        <is>
          <t>cnt</t>
        </is>
      </c>
      <c r="K1071" s="9" t="n">
        <v>0.68</v>
      </c>
    </row>
    <row r="1072" ht="15" customFormat="1" customHeight="1" s="5">
      <c r="A1072" s="81" t="n">
        <v>45937</v>
      </c>
      <c r="B1072" s="82" t="n">
        <v>0.5451388888888888</v>
      </c>
      <c r="C1072" s="5" t="inlineStr">
        <is>
          <t>Walmart</t>
        </is>
      </c>
      <c r="D1072" s="5" t="n">
        <v>1</v>
      </c>
      <c r="F1072" s="6" t="inlineStr">
        <is>
          <t>#2000135-52090184</t>
        </is>
      </c>
      <c r="G1072" s="10" t="n"/>
      <c r="H1072" s="9" t="inlineStr">
        <is>
          <t>Walmart Temp Hold</t>
        </is>
      </c>
      <c r="I1072" s="9" t="n">
        <v>1</v>
      </c>
      <c r="J1072" s="9" t="inlineStr">
        <is>
          <t>cnt</t>
        </is>
      </c>
      <c r="K1072" s="9" t="n">
        <v>2.79</v>
      </c>
    </row>
    <row r="1073" ht="15" customFormat="1" customHeight="1" s="5">
      <c r="A1073" s="81" t="n">
        <v>45937</v>
      </c>
      <c r="B1073" s="82" t="n">
        <v>0.5451388888888888</v>
      </c>
      <c r="C1073" s="5" t="inlineStr">
        <is>
          <t>Walmart</t>
        </is>
      </c>
      <c r="D1073" s="5" t="n">
        <v>1</v>
      </c>
      <c r="F1073" s="6" t="inlineStr">
        <is>
          <t>#2000135-52090184</t>
        </is>
      </c>
      <c r="G1073" s="10" t="n"/>
      <c r="H1073" s="9" t="inlineStr">
        <is>
          <t>Walmart refund 1/3 @6:48 a</t>
        </is>
      </c>
      <c r="I1073" s="9" t="n">
        <v>1</v>
      </c>
      <c r="J1073" s="9" t="inlineStr">
        <is>
          <t>cnt</t>
        </is>
      </c>
      <c r="K1073" s="9" t="n">
        <v>-0.03</v>
      </c>
    </row>
    <row r="1074" ht="15" customFormat="1" customHeight="1" s="5">
      <c r="A1074" s="81" t="n">
        <v>45937</v>
      </c>
      <c r="B1074" s="82" t="n">
        <v>0.5451388888888888</v>
      </c>
      <c r="C1074" s="5" t="inlineStr">
        <is>
          <t>Walmart</t>
        </is>
      </c>
      <c r="D1074" s="5" t="n">
        <v>1</v>
      </c>
      <c r="F1074" s="6" t="inlineStr">
        <is>
          <t>#2000135-52090184</t>
        </is>
      </c>
      <c r="G1074" s="10" t="n"/>
      <c r="H1074" s="9" t="inlineStr">
        <is>
          <t>Walmart refund 2/3 @6:48 a</t>
        </is>
      </c>
      <c r="I1074" s="9" t="n">
        <v>1</v>
      </c>
      <c r="J1074" s="9" t="inlineStr">
        <is>
          <t>cnt</t>
        </is>
      </c>
      <c r="K1074" s="9" t="n">
        <v>-0.5</v>
      </c>
    </row>
    <row r="1075" ht="15" customFormat="1" customHeight="1" s="5">
      <c r="A1075" s="81" t="n">
        <v>45937</v>
      </c>
      <c r="B1075" s="82" t="n">
        <v>0.5451388888888888</v>
      </c>
      <c r="C1075" s="5" t="inlineStr">
        <is>
          <t>Walmart</t>
        </is>
      </c>
      <c r="D1075" s="5" t="n">
        <v>1</v>
      </c>
      <c r="F1075" s="6" t="inlineStr">
        <is>
          <t>#2000135-52090184</t>
        </is>
      </c>
      <c r="G1075" s="10" t="n"/>
      <c r="H1075" s="9" t="inlineStr">
        <is>
          <t>Walmart refund 3/3 @1:14 p (for the substition yeast/flour)</t>
        </is>
      </c>
      <c r="I1075" s="9" t="n">
        <v>1</v>
      </c>
      <c r="J1075" s="9" t="inlineStr">
        <is>
          <t>cnt</t>
        </is>
      </c>
      <c r="K1075" s="9" t="n">
        <v>-11.5</v>
      </c>
    </row>
    <row r="1076" ht="15" customFormat="1" customHeight="1" s="5">
      <c r="A1076" s="81" t="n">
        <v>45936</v>
      </c>
      <c r="B1076" s="82" t="n">
        <v>0.6923611111111111</v>
      </c>
      <c r="C1076" s="5" t="inlineStr">
        <is>
          <t>Costco</t>
        </is>
      </c>
      <c r="E1076" s="5" t="n">
        <v>1</v>
      </c>
      <c r="F1076" s="6" t="inlineStr">
        <is>
          <t>439 209 219 709</t>
        </is>
      </c>
      <c r="G1076" s="10" t="inlineStr">
        <is>
          <t>E 1045706</t>
        </is>
      </c>
      <c r="H1076" s="9" t="inlineStr">
        <is>
          <t>KS Organic Virgin Coconut Oil, cold pressed, unrefined</t>
        </is>
      </c>
      <c r="I1076" s="9" t="n">
        <v>84</v>
      </c>
      <c r="J1076" s="9" t="inlineStr">
        <is>
          <t>fl oz</t>
        </is>
      </c>
      <c r="K1076" s="9" t="n">
        <v>16.49</v>
      </c>
    </row>
    <row r="1077" ht="15" customFormat="1" customHeight="1" s="5">
      <c r="A1077" s="81" t="n">
        <v>45936</v>
      </c>
      <c r="B1077" s="82" t="n">
        <v>0.6923611111111111</v>
      </c>
      <c r="C1077" s="5" t="inlineStr">
        <is>
          <t>Costco</t>
        </is>
      </c>
      <c r="E1077" s="5" t="n">
        <v>1</v>
      </c>
      <c r="F1077" s="6" t="inlineStr">
        <is>
          <t>439 209 219 709</t>
        </is>
      </c>
      <c r="G1077" s="10" t="inlineStr">
        <is>
          <t>E 890181</t>
        </is>
      </c>
      <c r="H1077" s="9" t="inlineStr">
        <is>
          <t>WS Wild Salmon Canned, 6 x 6oz cans</t>
        </is>
      </c>
      <c r="I1077" s="9" t="n">
        <v>36</v>
      </c>
      <c r="J1077" s="9" t="inlineStr">
        <is>
          <t>oz</t>
        </is>
      </c>
      <c r="K1077" s="9" t="n">
        <v>18.99</v>
      </c>
    </row>
    <row r="1078" ht="15" customFormat="1" customHeight="1" s="5">
      <c r="A1078" s="81" t="n">
        <v>45936</v>
      </c>
      <c r="B1078" s="82" t="n">
        <v>0.6923611111111111</v>
      </c>
      <c r="C1078" s="5" t="inlineStr">
        <is>
          <t>Costco</t>
        </is>
      </c>
      <c r="E1078" s="5" t="n">
        <v>1</v>
      </c>
      <c r="F1078" s="6" t="inlineStr">
        <is>
          <t>439 209 219 709</t>
        </is>
      </c>
      <c r="G1078" s="10" t="inlineStr">
        <is>
          <t>E 1129813</t>
        </is>
      </c>
      <c r="H1078" s="9" t="inlineStr">
        <is>
          <t xml:space="preserve">Organic Multi-Grain Gourmet Crackers Milton's, 4 rolls </t>
        </is>
      </c>
      <c r="I1078" s="9" t="n">
        <v>24</v>
      </c>
      <c r="J1078" s="9" t="inlineStr">
        <is>
          <t>oz</t>
        </is>
      </c>
      <c r="K1078" s="9" t="n">
        <v>9.390000000000001</v>
      </c>
    </row>
    <row r="1079" ht="15" customFormat="1" customHeight="1" s="5">
      <c r="A1079" s="81" t="n">
        <v>45936</v>
      </c>
      <c r="B1079" s="82" t="n">
        <v>0.6923611111111111</v>
      </c>
      <c r="C1079" s="5" t="inlineStr">
        <is>
          <t>Costco</t>
        </is>
      </c>
      <c r="E1079" s="5" t="n">
        <v>1</v>
      </c>
      <c r="F1079" s="6" t="inlineStr">
        <is>
          <t>439 209 219 709</t>
        </is>
      </c>
      <c r="G1079" s="10" t="inlineStr">
        <is>
          <t>E 1604792</t>
        </is>
      </c>
      <c r="H1079" s="9" t="inlineStr">
        <is>
          <t>King Arthur Bread Flour</t>
        </is>
      </c>
      <c r="I1079" s="9" t="n">
        <v>10</v>
      </c>
      <c r="J1079" s="9" t="inlineStr">
        <is>
          <t>lb</t>
        </is>
      </c>
      <c r="K1079" s="9" t="n">
        <v>8.99</v>
      </c>
    </row>
    <row r="1080" ht="15" customFormat="1" customHeight="1" s="5">
      <c r="A1080" s="81" t="n">
        <v>45936</v>
      </c>
      <c r="B1080" s="82" t="n">
        <v>0.6923611111111111</v>
      </c>
      <c r="C1080" s="5" t="inlineStr">
        <is>
          <t>Costco</t>
        </is>
      </c>
      <c r="E1080" s="5" t="n">
        <v>1</v>
      </c>
      <c r="F1080" s="6" t="inlineStr">
        <is>
          <t>439 209 219 709</t>
        </is>
      </c>
      <c r="G1080" s="10" t="inlineStr">
        <is>
          <t>E 40677</t>
        </is>
      </c>
      <c r="H1080" s="9" t="inlineStr">
        <is>
          <t>10" Flour Tortillas, 3 packs of 10 tortillas</t>
        </is>
      </c>
      <c r="I1080" s="9" t="n">
        <v>24</v>
      </c>
      <c r="J1080" s="9" t="inlineStr">
        <is>
          <t>oz</t>
        </is>
      </c>
      <c r="K1080" s="9" t="n">
        <v>5.99</v>
      </c>
    </row>
    <row r="1081" ht="15" customFormat="1" customHeight="1" s="5">
      <c r="A1081" s="81" t="n">
        <v>45936</v>
      </c>
      <c r="B1081" s="82" t="n">
        <v>0.6923611111111111</v>
      </c>
      <c r="C1081" s="5" t="inlineStr">
        <is>
          <t>Costco</t>
        </is>
      </c>
      <c r="E1081" s="5" t="n">
        <v>1</v>
      </c>
      <c r="F1081" s="6" t="inlineStr">
        <is>
          <t>439 209 219 709</t>
        </is>
      </c>
      <c r="G1081" s="10" t="inlineStr">
        <is>
          <t>E 5938</t>
        </is>
      </c>
      <c r="H1081" s="9" t="inlineStr">
        <is>
          <t>Yukon Gold Potatoes</t>
        </is>
      </c>
      <c r="I1081" s="9" t="n">
        <v>10</v>
      </c>
      <c r="J1081" s="9" t="inlineStr">
        <is>
          <t>lb</t>
        </is>
      </c>
      <c r="K1081" s="9" t="n">
        <v>6.69</v>
      </c>
    </row>
    <row r="1082" ht="15" customFormat="1" customHeight="1" s="5">
      <c r="A1082" s="81" t="n">
        <v>45936</v>
      </c>
      <c r="B1082" s="82" t="n">
        <v>0.6923611111111111</v>
      </c>
      <c r="C1082" s="5" t="inlineStr">
        <is>
          <t>Costco</t>
        </is>
      </c>
      <c r="E1082" s="5" t="n">
        <v>1</v>
      </c>
      <c r="F1082" s="6" t="inlineStr">
        <is>
          <t>439 209 219 709</t>
        </is>
      </c>
      <c r="G1082" s="10" t="n"/>
      <c r="H1082" s="9" t="inlineStr">
        <is>
          <t>Tax</t>
        </is>
      </c>
      <c r="I1082" s="9" t="n">
        <v>6</v>
      </c>
      <c r="J1082" s="9" t="inlineStr">
        <is>
          <t>cnt</t>
        </is>
      </c>
      <c r="K1082" s="9" t="n">
        <v>0</v>
      </c>
    </row>
    <row r="1083" ht="15" customFormat="1" customHeight="1" s="5">
      <c r="A1083" s="81" t="n">
        <v>45936</v>
      </c>
      <c r="B1083" s="82" t="n">
        <v>0.4090277777777778</v>
      </c>
      <c r="C1083" s="5" t="inlineStr">
        <is>
          <t>Safeway</t>
        </is>
      </c>
      <c r="E1083" s="5" t="n">
        <v>1</v>
      </c>
      <c r="F1083" s="6" t="inlineStr">
        <is>
          <t>17 2 10 5554</t>
        </is>
      </c>
      <c r="G1083" s="10" t="inlineStr">
        <is>
          <t>AT</t>
        </is>
      </c>
      <c r="H1083" s="9" t="inlineStr">
        <is>
          <t>Dr Bronners Unscented Baby Liquid Soap</t>
        </is>
      </c>
      <c r="I1083" s="9" t="n">
        <v>32</v>
      </c>
      <c r="J1083" s="9" t="inlineStr">
        <is>
          <t>fl oz</t>
        </is>
      </c>
      <c r="K1083" s="9" t="n">
        <v>20.49</v>
      </c>
    </row>
    <row r="1084" ht="15" customFormat="1" customHeight="1" s="5">
      <c r="A1084" s="81" t="n">
        <v>45936</v>
      </c>
      <c r="B1084" s="82" t="n">
        <v>0.4090277777777778</v>
      </c>
      <c r="C1084" s="5" t="inlineStr">
        <is>
          <t>Safeway</t>
        </is>
      </c>
      <c r="E1084" s="5" t="n">
        <v>1</v>
      </c>
      <c r="F1084" s="6" t="inlineStr">
        <is>
          <t>17 2 10 5554</t>
        </is>
      </c>
      <c r="G1084" s="10" t="inlineStr">
        <is>
          <t>AT</t>
        </is>
      </c>
      <c r="H1084" s="9" t="inlineStr">
        <is>
          <t>**DISCOUNT** Member Savings</t>
        </is>
      </c>
      <c r="I1084" s="9" t="n">
        <v>32</v>
      </c>
      <c r="J1084" s="9" t="inlineStr">
        <is>
          <t>fl oz</t>
        </is>
      </c>
      <c r="K1084" s="9" t="n">
        <v>-8.199999999999999</v>
      </c>
    </row>
    <row r="1085" ht="15" customFormat="1" customHeight="1" s="5">
      <c r="A1085" s="81" t="n">
        <v>45936</v>
      </c>
      <c r="B1085" s="82" t="n">
        <v>0.4090277777777778</v>
      </c>
      <c r="C1085" s="5" t="inlineStr">
        <is>
          <t>Safeway</t>
        </is>
      </c>
      <c r="E1085" s="5" t="n">
        <v>1</v>
      </c>
      <c r="F1085" s="6" t="inlineStr">
        <is>
          <t>17 2 10 5554</t>
        </is>
      </c>
      <c r="G1085" s="10" t="inlineStr">
        <is>
          <t>BT</t>
        </is>
      </c>
      <c r="H1085" s="9" t="inlineStr">
        <is>
          <t>Dr Bronners Eucalyptus Liquid Soap</t>
        </is>
      </c>
      <c r="I1085" s="9" t="n">
        <v>32</v>
      </c>
      <c r="J1085" s="9" t="inlineStr">
        <is>
          <t>fl oz</t>
        </is>
      </c>
      <c r="K1085" s="9" t="n">
        <v>20.49</v>
      </c>
    </row>
    <row r="1086" ht="15" customFormat="1" customHeight="1" s="5">
      <c r="A1086" s="81" t="n">
        <v>45936</v>
      </c>
      <c r="B1086" s="82" t="n">
        <v>0.4090277777777778</v>
      </c>
      <c r="C1086" s="5" t="inlineStr">
        <is>
          <t>Safeway</t>
        </is>
      </c>
      <c r="E1086" s="5" t="n">
        <v>1</v>
      </c>
      <c r="F1086" s="6" t="inlineStr">
        <is>
          <t>17 2 10 5554</t>
        </is>
      </c>
      <c r="G1086" s="10" t="inlineStr">
        <is>
          <t>BT</t>
        </is>
      </c>
      <c r="H1086" s="9" t="inlineStr">
        <is>
          <t>**DISCOUNT** Member Savings</t>
        </is>
      </c>
      <c r="I1086" s="9" t="n">
        <v>32</v>
      </c>
      <c r="J1086" s="9" t="inlineStr">
        <is>
          <t>fl oz</t>
        </is>
      </c>
      <c r="K1086" s="9" t="n">
        <v>-8.199999999999999</v>
      </c>
    </row>
    <row r="1087" ht="15" customFormat="1" customHeight="1" s="5">
      <c r="A1087" s="81" t="n">
        <v>45936</v>
      </c>
      <c r="B1087" s="82" t="n">
        <v>0.4090277777777778</v>
      </c>
      <c r="C1087" s="5" t="inlineStr">
        <is>
          <t>Safeway</t>
        </is>
      </c>
      <c r="E1087" s="5" t="n">
        <v>1</v>
      </c>
      <c r="F1087" s="6" t="inlineStr">
        <is>
          <t>17 2 10 5554</t>
        </is>
      </c>
      <c r="G1087" s="10" t="inlineStr">
        <is>
          <t>CT</t>
        </is>
      </c>
      <c r="H1087" s="9" t="inlineStr">
        <is>
          <t>Dr Bronners Lavender Liquid Soap</t>
        </is>
      </c>
      <c r="I1087" s="9" t="n">
        <v>32</v>
      </c>
      <c r="J1087" s="9" t="inlineStr">
        <is>
          <t>fl oz</t>
        </is>
      </c>
      <c r="K1087" s="9" t="n">
        <v>20.49</v>
      </c>
    </row>
    <row r="1088" ht="15" customFormat="1" customHeight="1" s="5">
      <c r="A1088" s="81" t="n">
        <v>45936</v>
      </c>
      <c r="B1088" s="82" t="n">
        <v>0.4090277777777778</v>
      </c>
      <c r="C1088" s="5" t="inlineStr">
        <is>
          <t>Safeway</t>
        </is>
      </c>
      <c r="E1088" s="5" t="n">
        <v>1</v>
      </c>
      <c r="F1088" s="6" t="inlineStr">
        <is>
          <t>17 2 10 5554</t>
        </is>
      </c>
      <c r="G1088" s="10" t="inlineStr">
        <is>
          <t>CT</t>
        </is>
      </c>
      <c r="H1088" s="9" t="inlineStr">
        <is>
          <t>**DISCOUNT** Member Savings</t>
        </is>
      </c>
      <c r="I1088" s="9" t="n">
        <v>32</v>
      </c>
      <c r="J1088" s="9" t="inlineStr">
        <is>
          <t>fl oz</t>
        </is>
      </c>
      <c r="K1088" s="9" t="n">
        <v>-8.199999999999999</v>
      </c>
    </row>
    <row r="1089" ht="15" customFormat="1" customHeight="1" s="5">
      <c r="A1089" s="81" t="n">
        <v>45936</v>
      </c>
      <c r="B1089" s="82" t="n">
        <v>0.4090277777777778</v>
      </c>
      <c r="C1089" s="5" t="inlineStr">
        <is>
          <t>Safeway</t>
        </is>
      </c>
      <c r="E1089" s="5" t="n">
        <v>1</v>
      </c>
      <c r="F1089" s="6" t="inlineStr">
        <is>
          <t>17 2 10 5554</t>
        </is>
      </c>
      <c r="G1089" s="10" t="inlineStr">
        <is>
          <t>DT</t>
        </is>
      </c>
      <c r="H1089" s="9" t="inlineStr">
        <is>
          <t>Arm&amp;Hammer Toothpaste Dental Care Peroxicare Twin Pk, 2 x 6 oz</t>
        </is>
      </c>
      <c r="I1089" s="9" t="n">
        <v>12</v>
      </c>
      <c r="J1089" s="9" t="inlineStr">
        <is>
          <t>fl oz</t>
        </is>
      </c>
      <c r="K1089" s="9" t="n">
        <v>10.49</v>
      </c>
    </row>
    <row r="1090" ht="15" customFormat="1" customHeight="1" s="5">
      <c r="A1090" s="81" t="n">
        <v>45936</v>
      </c>
      <c r="B1090" s="82" t="n">
        <v>0.4090277777777778</v>
      </c>
      <c r="C1090" s="5" t="inlineStr">
        <is>
          <t>Safeway</t>
        </is>
      </c>
      <c r="E1090" s="5" t="n">
        <v>1</v>
      </c>
      <c r="F1090" s="6" t="inlineStr">
        <is>
          <t>17 2 10 5554</t>
        </is>
      </c>
      <c r="G1090" s="10" t="inlineStr">
        <is>
          <t>DT</t>
        </is>
      </c>
      <c r="H1090" s="9" t="inlineStr">
        <is>
          <t>**DISCOUNT** Member Savings</t>
        </is>
      </c>
      <c r="I1090" s="9" t="n">
        <v>12</v>
      </c>
      <c r="J1090" s="9" t="inlineStr">
        <is>
          <t>fl oz</t>
        </is>
      </c>
      <c r="K1090" s="9" t="n">
        <v>-4.8</v>
      </c>
    </row>
    <row r="1091" ht="15" customFormat="1" customHeight="1" s="5">
      <c r="A1091" s="81" t="n">
        <v>45936</v>
      </c>
      <c r="B1091" s="82" t="n">
        <v>0.4090277777777778</v>
      </c>
      <c r="C1091" s="5" t="inlineStr">
        <is>
          <t>Safeway</t>
        </is>
      </c>
      <c r="E1091" s="5" t="n">
        <v>1</v>
      </c>
      <c r="F1091" s="6" t="inlineStr">
        <is>
          <t>17 2 10 5554</t>
        </is>
      </c>
      <c r="G1091" s="10" t="inlineStr">
        <is>
          <t>ET</t>
        </is>
      </c>
      <c r="H1091" s="9" t="inlineStr">
        <is>
          <t>Arm &amp; Hammer Toothpaste Fluoride Anticavity Advance, 2 x 6oz</t>
        </is>
      </c>
      <c r="I1091" s="9" t="n">
        <v>12</v>
      </c>
      <c r="J1091" s="9" t="inlineStr">
        <is>
          <t>fl oz</t>
        </is>
      </c>
      <c r="K1091" s="9" t="n">
        <v>10.49</v>
      </c>
    </row>
    <row r="1092" ht="15" customFormat="1" customHeight="1" s="5">
      <c r="A1092" s="81" t="n">
        <v>45936</v>
      </c>
      <c r="B1092" s="82" t="n">
        <v>0.4090277777777778</v>
      </c>
      <c r="C1092" s="5" t="inlineStr">
        <is>
          <t>Safeway</t>
        </is>
      </c>
      <c r="E1092" s="5" t="n">
        <v>1</v>
      </c>
      <c r="F1092" s="6" t="inlineStr">
        <is>
          <t>17 2 10 5554</t>
        </is>
      </c>
      <c r="G1092" s="10" t="inlineStr">
        <is>
          <t>ET</t>
        </is>
      </c>
      <c r="H1092" s="9" t="inlineStr">
        <is>
          <t>**DISCOUNT** Member Savings</t>
        </is>
      </c>
      <c r="I1092" s="9" t="n">
        <v>12</v>
      </c>
      <c r="J1092" s="9" t="inlineStr">
        <is>
          <t>fl oz</t>
        </is>
      </c>
      <c r="K1092" s="9" t="n">
        <v>-4.8</v>
      </c>
    </row>
    <row r="1093" ht="15" customFormat="1" customHeight="1" s="5">
      <c r="A1093" s="81" t="n">
        <v>45936</v>
      </c>
      <c r="B1093" s="82" t="n">
        <v>0.4090277777777778</v>
      </c>
      <c r="C1093" s="5" t="inlineStr">
        <is>
          <t>Safeway</t>
        </is>
      </c>
      <c r="E1093" s="5" t="n">
        <v>1</v>
      </c>
      <c r="F1093" s="6" t="inlineStr">
        <is>
          <t>17 2 10 5554</t>
        </is>
      </c>
      <c r="G1093" s="10" t="inlineStr">
        <is>
          <t>FX</t>
        </is>
      </c>
      <c r="H1093" s="9" t="inlineStr">
        <is>
          <t>TN Dickinsons Witch Hazel for Face &amp; Body - 16 Fl. Oz. 3 x 16 oz bottles</t>
        </is>
      </c>
      <c r="I1093" s="9" t="n">
        <v>48</v>
      </c>
      <c r="J1093" s="9" t="inlineStr">
        <is>
          <t>oz</t>
        </is>
      </c>
      <c r="K1093" s="9" t="n">
        <v>16.47</v>
      </c>
    </row>
    <row r="1094" ht="15" customFormat="1" customHeight="1" s="5">
      <c r="A1094" s="81" t="n">
        <v>45936</v>
      </c>
      <c r="B1094" s="82" t="n">
        <v>0.4090277777777778</v>
      </c>
      <c r="C1094" s="5" t="inlineStr">
        <is>
          <t>Safeway</t>
        </is>
      </c>
      <c r="E1094" s="5" t="n">
        <v>1</v>
      </c>
      <c r="F1094" s="6" t="inlineStr">
        <is>
          <t>17 2 10 5554</t>
        </is>
      </c>
      <c r="G1094" s="10" t="inlineStr">
        <is>
          <t>FX</t>
        </is>
      </c>
      <c r="H1094" s="9" t="inlineStr">
        <is>
          <t>**DISCOUNT** Member Savings</t>
        </is>
      </c>
      <c r="I1094" s="9" t="n">
        <v>48</v>
      </c>
      <c r="J1094" s="9" t="inlineStr">
        <is>
          <t>oz</t>
        </is>
      </c>
      <c r="K1094" s="9" t="n">
        <v>-9.300000000000001</v>
      </c>
    </row>
    <row r="1095" ht="15" customFormat="1" customHeight="1" s="5">
      <c r="A1095" s="81" t="n">
        <v>45936</v>
      </c>
      <c r="B1095" s="82" t="n">
        <v>0.4090277777777778</v>
      </c>
      <c r="C1095" s="5" t="inlineStr">
        <is>
          <t>Safeway</t>
        </is>
      </c>
      <c r="E1095" s="5" t="n">
        <v>1</v>
      </c>
      <c r="F1095" s="6" t="inlineStr">
        <is>
          <t>17 2 10 5554</t>
        </is>
      </c>
      <c r="G1095" s="10" t="inlineStr">
        <is>
          <t>GX</t>
        </is>
      </c>
      <c r="H1095" s="9" t="inlineStr">
        <is>
          <t>Advil Liqui-Gels Easy Open Arthritis Cap Pain Reliever Fever Reducer 200mg Ibuprofen - 160 Count</t>
        </is>
      </c>
      <c r="I1095" s="9" t="n">
        <v>160</v>
      </c>
      <c r="J1095" s="9" t="inlineStr">
        <is>
          <t>cnt</t>
        </is>
      </c>
      <c r="K1095" s="9" t="n">
        <v>23.99</v>
      </c>
    </row>
    <row r="1096" ht="15" customFormat="1" customHeight="1" s="5">
      <c r="A1096" s="81" t="n">
        <v>45936</v>
      </c>
      <c r="B1096" s="82" t="n">
        <v>0.4090277777777778</v>
      </c>
      <c r="C1096" s="5" t="inlineStr">
        <is>
          <t>Safeway</t>
        </is>
      </c>
      <c r="E1096" s="5" t="n">
        <v>1</v>
      </c>
      <c r="F1096" s="6" t="inlineStr">
        <is>
          <t>17 2 10 5554</t>
        </is>
      </c>
      <c r="G1096" s="10" t="inlineStr">
        <is>
          <t>GX</t>
        </is>
      </c>
      <c r="H1096" s="9" t="inlineStr">
        <is>
          <t>**DISCOUNT** Member Savings</t>
        </is>
      </c>
      <c r="I1096" s="9" t="n">
        <v>160</v>
      </c>
      <c r="J1096" s="9" t="inlineStr">
        <is>
          <t>cnt</t>
        </is>
      </c>
      <c r="K1096" s="9" t="n">
        <v>-9.6</v>
      </c>
    </row>
    <row r="1097" ht="15" customFormat="1" customHeight="1" s="5">
      <c r="A1097" s="81" t="n">
        <v>45936</v>
      </c>
      <c r="B1097" s="82" t="n">
        <v>0.4090277777777778</v>
      </c>
      <c r="C1097" s="5" t="inlineStr">
        <is>
          <t>Safeway</t>
        </is>
      </c>
      <c r="E1097" s="5" t="n">
        <v>1</v>
      </c>
      <c r="F1097" s="6" t="inlineStr">
        <is>
          <t>17 2 10 5554</t>
        </is>
      </c>
      <c r="G1097" s="10" t="inlineStr">
        <is>
          <t>HT</t>
        </is>
      </c>
      <c r="H1097" s="9" t="inlineStr">
        <is>
          <t>Cleancult Lemon Verbena Hand Soap Refill 32fz x 8 cartons</t>
        </is>
      </c>
      <c r="I1097" s="9" t="n">
        <v>256</v>
      </c>
      <c r="J1097" s="9" t="inlineStr">
        <is>
          <t>fl oz</t>
        </is>
      </c>
      <c r="K1097" s="9" t="n">
        <v>63.92</v>
      </c>
    </row>
    <row r="1098" ht="15" customFormat="1" customHeight="1" s="5">
      <c r="A1098" s="81" t="n">
        <v>45936</v>
      </c>
      <c r="B1098" s="82" t="n">
        <v>0.4090277777777778</v>
      </c>
      <c r="C1098" s="5" t="inlineStr">
        <is>
          <t>Safeway</t>
        </is>
      </c>
      <c r="E1098" s="5" t="n">
        <v>1</v>
      </c>
      <c r="F1098" s="6" t="inlineStr">
        <is>
          <t>17 2 10 5554</t>
        </is>
      </c>
      <c r="G1098" s="10" t="inlineStr">
        <is>
          <t>HT</t>
        </is>
      </c>
      <c r="H1098" s="9" t="inlineStr">
        <is>
          <t>**DISCOUNT** Member Savings</t>
        </is>
      </c>
      <c r="I1098" s="9" t="n">
        <v>256</v>
      </c>
      <c r="J1098" s="9" t="inlineStr">
        <is>
          <t>fl oz</t>
        </is>
      </c>
      <c r="K1098" s="9" t="n">
        <v>-35.2</v>
      </c>
    </row>
    <row r="1099" ht="15" customFormat="1" customHeight="1" s="5">
      <c r="A1099" s="81" t="n">
        <v>45936</v>
      </c>
      <c r="B1099" s="82" t="n">
        <v>0.4090277777777778</v>
      </c>
      <c r="C1099" s="5" t="inlineStr">
        <is>
          <t>Safeway</t>
        </is>
      </c>
      <c r="E1099" s="5" t="n">
        <v>1</v>
      </c>
      <c r="F1099" s="6" t="inlineStr">
        <is>
          <t>17 2 10 5554</t>
        </is>
      </c>
      <c r="G1099" s="10" t="inlineStr">
        <is>
          <t>IT</t>
        </is>
      </c>
      <c r="H1099" s="9" t="inlineStr">
        <is>
          <t>Native Cucumber &amp; Mint Deodorant - 2.65 Oz x 2 sticks</t>
        </is>
      </c>
      <c r="I1099" s="9" t="n">
        <v>5.3</v>
      </c>
      <c r="J1099" s="9" t="inlineStr">
        <is>
          <t>oz</t>
        </is>
      </c>
      <c r="K1099" s="9" t="n">
        <v>31.98</v>
      </c>
    </row>
    <row r="1100" ht="15" customFormat="1" customHeight="1" s="5">
      <c r="A1100" s="81" t="n">
        <v>45936</v>
      </c>
      <c r="B1100" s="82" t="n">
        <v>0.4090277777777778</v>
      </c>
      <c r="C1100" s="5" t="inlineStr">
        <is>
          <t>Safeway</t>
        </is>
      </c>
      <c r="E1100" s="5" t="n">
        <v>1</v>
      </c>
      <c r="F1100" s="6" t="inlineStr">
        <is>
          <t>17 2 10 5554</t>
        </is>
      </c>
      <c r="G1100" s="10" t="inlineStr">
        <is>
          <t>IT</t>
        </is>
      </c>
      <c r="H1100" s="9" t="inlineStr">
        <is>
          <t>**DISCOUNT** Member Savings</t>
        </is>
      </c>
      <c r="I1100" s="9" t="n">
        <v>5.3</v>
      </c>
      <c r="J1100" s="9" t="inlineStr">
        <is>
          <t>oz</t>
        </is>
      </c>
      <c r="K1100" s="9" t="n">
        <v>-12.8</v>
      </c>
    </row>
    <row r="1101" ht="15" customFormat="1" customHeight="1" s="5">
      <c r="A1101" s="81" t="n">
        <v>45936</v>
      </c>
      <c r="B1101" s="82" t="n">
        <v>0.4090277777777778</v>
      </c>
      <c r="C1101" s="5" t="inlineStr">
        <is>
          <t>Safeway</t>
        </is>
      </c>
      <c r="E1101" s="5" t="n">
        <v>1</v>
      </c>
      <c r="F1101" s="6" t="inlineStr">
        <is>
          <t>17 2 10 5554</t>
        </is>
      </c>
      <c r="G1101" s="10" t="inlineStr">
        <is>
          <t>JT</t>
        </is>
      </c>
      <c r="H1101" s="9" t="inlineStr">
        <is>
          <t>Native Charcoal Deodorant - 2.65 Oz x 2 sticks</t>
        </is>
      </c>
      <c r="I1101" s="9" t="n">
        <v>5.3</v>
      </c>
      <c r="J1101" s="9" t="inlineStr">
        <is>
          <t>oz</t>
        </is>
      </c>
      <c r="K1101" s="9" t="n">
        <v>31.98</v>
      </c>
    </row>
    <row r="1102" ht="15" customFormat="1" customHeight="1" s="5">
      <c r="A1102" s="81" t="n">
        <v>45936</v>
      </c>
      <c r="B1102" s="82" t="n">
        <v>0.4090277777777778</v>
      </c>
      <c r="C1102" s="5" t="inlineStr">
        <is>
          <t>Safeway</t>
        </is>
      </c>
      <c r="E1102" s="5" t="n">
        <v>1</v>
      </c>
      <c r="F1102" s="6" t="inlineStr">
        <is>
          <t>17 2 10 5554</t>
        </is>
      </c>
      <c r="G1102" s="10" t="inlineStr">
        <is>
          <t>JT</t>
        </is>
      </c>
      <c r="H1102" s="9" t="inlineStr">
        <is>
          <t>**DISCOUNT** Member Savings</t>
        </is>
      </c>
      <c r="I1102" s="9" t="n">
        <v>5.3</v>
      </c>
      <c r="J1102" s="9" t="inlineStr">
        <is>
          <t>oz</t>
        </is>
      </c>
      <c r="K1102" s="9" t="n">
        <v>-12.8</v>
      </c>
    </row>
    <row r="1103" ht="15" customFormat="1" customHeight="1" s="5">
      <c r="A1103" s="81" t="n">
        <v>45936</v>
      </c>
      <c r="B1103" s="82" t="n">
        <v>0.4090277777777778</v>
      </c>
      <c r="C1103" s="5" t="inlineStr">
        <is>
          <t>Safeway</t>
        </is>
      </c>
      <c r="E1103" s="5" t="n">
        <v>1</v>
      </c>
      <c r="F1103" s="6" t="inlineStr">
        <is>
          <t>17 2 10 5554</t>
        </is>
      </c>
      <c r="G1103" s="10" t="inlineStr">
        <is>
          <t>KT</t>
        </is>
      </c>
      <c r="H1103" s="9" t="inlineStr">
        <is>
          <t>Native Deodorant Apdo Sticks Sweet Peach And Necter</t>
        </is>
      </c>
      <c r="I1103" s="9" t="n">
        <v>2.65</v>
      </c>
      <c r="J1103" s="9" t="inlineStr">
        <is>
          <t>oz</t>
        </is>
      </c>
      <c r="K1103" s="9" t="n">
        <v>15.99</v>
      </c>
    </row>
    <row r="1104" ht="15" customFormat="1" customHeight="1" s="5">
      <c r="A1104" s="81" t="n">
        <v>45936</v>
      </c>
      <c r="B1104" s="82" t="n">
        <v>0.4090277777777778</v>
      </c>
      <c r="C1104" s="5" t="inlineStr">
        <is>
          <t>Safeway</t>
        </is>
      </c>
      <c r="E1104" s="5" t="n">
        <v>1</v>
      </c>
      <c r="F1104" s="6" t="inlineStr">
        <is>
          <t>17 2 10 5554</t>
        </is>
      </c>
      <c r="G1104" s="10" t="inlineStr">
        <is>
          <t>KT</t>
        </is>
      </c>
      <c r="H1104" s="9" t="inlineStr">
        <is>
          <t>**DISCOUNT** Member Savings</t>
        </is>
      </c>
      <c r="I1104" s="9" t="n">
        <v>2.65</v>
      </c>
      <c r="J1104" s="9" t="inlineStr">
        <is>
          <t>oz</t>
        </is>
      </c>
      <c r="K1104" s="9" t="n">
        <v>-6.4</v>
      </c>
    </row>
    <row r="1105" ht="15" customFormat="1" customHeight="1" s="5">
      <c r="A1105" s="81" t="n">
        <v>45936</v>
      </c>
      <c r="B1105" s="82" t="n">
        <v>0.4090277777777778</v>
      </c>
      <c r="C1105" s="5" t="inlineStr">
        <is>
          <t>Safeway</t>
        </is>
      </c>
      <c r="E1105" s="5" t="n">
        <v>1</v>
      </c>
      <c r="F1105" s="6" t="inlineStr">
        <is>
          <t>17 2 10 5554</t>
        </is>
      </c>
      <c r="G1105" s="10" t="inlineStr">
        <is>
          <t>L</t>
        </is>
      </c>
      <c r="H1105" s="9" t="inlineStr">
        <is>
          <t>Signature Select Diced Tomatoes With Peppers Celery &amp; Onions 14.5 Ounce, 3 Cans</t>
        </is>
      </c>
      <c r="I1105" s="9" t="n">
        <v>43.5</v>
      </c>
      <c r="J1105" s="9" t="inlineStr">
        <is>
          <t>oz</t>
        </is>
      </c>
      <c r="K1105" s="9" t="n">
        <v>4.17</v>
      </c>
    </row>
    <row r="1106" ht="15" customFormat="1" customHeight="1" s="5">
      <c r="A1106" s="81" t="n">
        <v>45936</v>
      </c>
      <c r="B1106" s="82" t="n">
        <v>0.4090277777777778</v>
      </c>
      <c r="C1106" s="5" t="inlineStr">
        <is>
          <t>Safeway</t>
        </is>
      </c>
      <c r="E1106" s="5" t="n">
        <v>1</v>
      </c>
      <c r="F1106" s="6" t="inlineStr">
        <is>
          <t>17 2 10 5554</t>
        </is>
      </c>
      <c r="G1106" s="10" t="inlineStr">
        <is>
          <t>L</t>
        </is>
      </c>
      <c r="H1106" s="9" t="inlineStr">
        <is>
          <t>**DISCOUNT** Member Savings</t>
        </is>
      </c>
      <c r="I1106" s="9" t="n">
        <v>43.5</v>
      </c>
      <c r="J1106" s="9" t="inlineStr">
        <is>
          <t>oz</t>
        </is>
      </c>
      <c r="K1106" s="9" t="n">
        <v>-1.17</v>
      </c>
    </row>
    <row r="1107" ht="15" customFormat="1" customHeight="1" s="5">
      <c r="A1107" s="81" t="n">
        <v>45936</v>
      </c>
      <c r="B1107" s="82" t="n">
        <v>0.4090277777777778</v>
      </c>
      <c r="C1107" s="5" t="inlineStr">
        <is>
          <t>Safeway</t>
        </is>
      </c>
      <c r="E1107" s="5" t="n">
        <v>1</v>
      </c>
      <c r="F1107" s="6" t="inlineStr">
        <is>
          <t>17 2 10 5554</t>
        </is>
      </c>
      <c r="G1107" s="10" t="inlineStr">
        <is>
          <t>M</t>
        </is>
      </c>
      <c r="H1107" s="9" t="inlineStr">
        <is>
          <t>Signature Select Petite Diced Tomatoes 28 Ounce</t>
        </is>
      </c>
      <c r="I1107" s="9" t="n">
        <v>28</v>
      </c>
      <c r="J1107" s="9" t="inlineStr">
        <is>
          <t>oz</t>
        </is>
      </c>
      <c r="K1107" s="9" t="n">
        <v>1.99</v>
      </c>
    </row>
    <row r="1108" ht="15" customFormat="1" customHeight="1" s="5">
      <c r="A1108" s="81" t="n">
        <v>45936</v>
      </c>
      <c r="B1108" s="82" t="n">
        <v>0.4090277777777778</v>
      </c>
      <c r="C1108" s="5" t="inlineStr">
        <is>
          <t>Safeway</t>
        </is>
      </c>
      <c r="E1108" s="5" t="n">
        <v>1</v>
      </c>
      <c r="F1108" s="6" t="inlineStr">
        <is>
          <t>17 2 10 5554</t>
        </is>
      </c>
      <c r="G1108" s="10" t="inlineStr">
        <is>
          <t>M</t>
        </is>
      </c>
      <c r="H1108" s="9" t="inlineStr">
        <is>
          <t>**DISCOUNT** Member Savings</t>
        </is>
      </c>
      <c r="I1108" s="9" t="n">
        <v>28</v>
      </c>
      <c r="J1108" s="9" t="inlineStr">
        <is>
          <t>oz</t>
        </is>
      </c>
      <c r="K1108" s="9" t="n">
        <v>-0.4</v>
      </c>
    </row>
    <row r="1109" ht="15" customFormat="1" customHeight="1" s="5">
      <c r="A1109" s="81" t="n">
        <v>45936</v>
      </c>
      <c r="B1109" s="82" t="n">
        <v>0.4090277777777778</v>
      </c>
      <c r="C1109" s="5" t="inlineStr">
        <is>
          <t>Safeway</t>
        </is>
      </c>
      <c r="E1109" s="5" t="n">
        <v>1</v>
      </c>
      <c r="F1109" s="6" t="inlineStr">
        <is>
          <t>17 2 10 5554</t>
        </is>
      </c>
      <c r="G1109" s="10" t="inlineStr">
        <is>
          <t>N</t>
        </is>
      </c>
      <c r="H1109" s="9" t="inlineStr">
        <is>
          <t>Signature Select Baby Peeled Carrots 2lb</t>
        </is>
      </c>
      <c r="I1109" s="9" t="n">
        <v>2</v>
      </c>
      <c r="J1109" s="9" t="inlineStr">
        <is>
          <t>lb</t>
        </is>
      </c>
      <c r="K1109" s="9" t="n">
        <v>2.69</v>
      </c>
    </row>
    <row r="1110" ht="15" customFormat="1" customHeight="1" s="5">
      <c r="A1110" s="81" t="n">
        <v>45936</v>
      </c>
      <c r="B1110" s="82" t="n">
        <v>0.4090277777777778</v>
      </c>
      <c r="C1110" s="5" t="inlineStr">
        <is>
          <t>Safeway</t>
        </is>
      </c>
      <c r="E1110" s="5" t="n">
        <v>1</v>
      </c>
      <c r="F1110" s="6" t="inlineStr">
        <is>
          <t>17 2 10 5554</t>
        </is>
      </c>
      <c r="G1110" s="10" t="inlineStr">
        <is>
          <t>N</t>
        </is>
      </c>
      <c r="H1110" s="9" t="inlineStr">
        <is>
          <t>**DISCOUNT** Member Savings</t>
        </is>
      </c>
      <c r="I1110" s="9" t="n">
        <v>2</v>
      </c>
      <c r="J1110" s="9" t="inlineStr">
        <is>
          <t>lb</t>
        </is>
      </c>
      <c r="K1110" s="9" t="n">
        <v>-0.26</v>
      </c>
    </row>
    <row r="1111" ht="15" customFormat="1" customHeight="1" s="5">
      <c r="A1111" s="81" t="n">
        <v>45936</v>
      </c>
      <c r="B1111" s="82" t="n">
        <v>0.4090277777777778</v>
      </c>
      <c r="C1111" s="5" t="inlineStr">
        <is>
          <t>Safeway</t>
        </is>
      </c>
      <c r="E1111" s="5" t="n">
        <v>1</v>
      </c>
      <c r="F1111" s="6" t="inlineStr">
        <is>
          <t>17 2 10 5554</t>
        </is>
      </c>
      <c r="G1111" s="10" t="inlineStr">
        <is>
          <t>O</t>
        </is>
      </c>
      <c r="H1111" s="9" t="inlineStr">
        <is>
          <t>Onions White, 3 count, @$1.29/lb</t>
        </is>
      </c>
      <c r="I1111" s="9" t="n">
        <v>2.25</v>
      </c>
      <c r="J1111" s="9" t="inlineStr">
        <is>
          <t>lb</t>
        </is>
      </c>
      <c r="K1111" s="9" t="n">
        <v>2.9</v>
      </c>
    </row>
    <row r="1112" ht="15" customFormat="1" customHeight="1" s="5">
      <c r="A1112" s="81" t="n">
        <v>45936</v>
      </c>
      <c r="B1112" s="82" t="n">
        <v>0.4090277777777778</v>
      </c>
      <c r="C1112" s="5" t="inlineStr">
        <is>
          <t>Safeway</t>
        </is>
      </c>
      <c r="E1112" s="5" t="n">
        <v>1</v>
      </c>
      <c r="F1112" s="6" t="inlineStr">
        <is>
          <t>17 2 10 5554</t>
        </is>
      </c>
      <c r="G1112" s="10" t="inlineStr">
        <is>
          <t>O</t>
        </is>
      </c>
      <c r="H1112" s="9" t="inlineStr">
        <is>
          <t>**DISCOUNT** Member Savings</t>
        </is>
      </c>
      <c r="I1112" s="9" t="n">
        <v>2.25</v>
      </c>
      <c r="J1112" s="9" t="inlineStr">
        <is>
          <t>lb</t>
        </is>
      </c>
      <c r="K1112" s="9">
        <f>-0.3</f>
        <v/>
      </c>
    </row>
    <row r="1113" ht="15" customFormat="1" customHeight="1" s="5">
      <c r="A1113" s="81" t="n">
        <v>45936</v>
      </c>
      <c r="B1113" s="82" t="n">
        <v>0.4090277777777778</v>
      </c>
      <c r="C1113" s="5" t="inlineStr">
        <is>
          <t>Safeway</t>
        </is>
      </c>
      <c r="E1113" s="5" t="n">
        <v>1</v>
      </c>
      <c r="F1113" s="6" t="inlineStr">
        <is>
          <t>17 2 10 5554</t>
        </is>
      </c>
      <c r="G1113" s="10" t="inlineStr">
        <is>
          <t>T</t>
        </is>
      </c>
      <c r="H1113" s="9" t="inlineStr">
        <is>
          <t>Taxes and Fees</t>
        </is>
      </c>
      <c r="I1113" s="9" t="n">
        <v>28</v>
      </c>
      <c r="J1113" s="9" t="inlineStr">
        <is>
          <t>cnt</t>
        </is>
      </c>
      <c r="K1113" s="9" t="n">
        <v>11.79</v>
      </c>
    </row>
    <row r="1114" ht="15" customFormat="1" customHeight="1" s="5">
      <c r="A1114" s="81" t="n">
        <v>45935</v>
      </c>
      <c r="B1114" s="82" t="n">
        <v>0.6895833333333333</v>
      </c>
      <c r="C1114" s="5" t="inlineStr">
        <is>
          <t>Safeway</t>
        </is>
      </c>
      <c r="E1114" s="5" t="n">
        <v>1</v>
      </c>
      <c r="F1114" s="6" t="inlineStr">
        <is>
          <t>2612 51 131 8851</t>
        </is>
      </c>
      <c r="G1114" s="15" t="inlineStr">
        <is>
          <t>7989340337</t>
        </is>
      </c>
      <c r="H1114" s="9" t="inlineStr">
        <is>
          <t>Open Nature Pecan Halves</t>
        </is>
      </c>
      <c r="I1114" s="9" t="n">
        <v>16</v>
      </c>
      <c r="J1114" s="9" t="inlineStr">
        <is>
          <t>oz</t>
        </is>
      </c>
      <c r="K1114" s="9" t="n">
        <v>14.49</v>
      </c>
    </row>
    <row r="1115" ht="15" customFormat="1" customHeight="1" s="5">
      <c r="A1115" s="81" t="n">
        <v>45935</v>
      </c>
      <c r="B1115" s="82" t="n">
        <v>0.6895833333333333</v>
      </c>
      <c r="C1115" s="5" t="inlineStr">
        <is>
          <t>Safeway</t>
        </is>
      </c>
      <c r="E1115" s="5" t="n">
        <v>1</v>
      </c>
      <c r="F1115" s="6" t="inlineStr">
        <is>
          <t>2612 51 131 8851</t>
        </is>
      </c>
      <c r="G1115" s="15" t="inlineStr">
        <is>
          <t>7989340337</t>
        </is>
      </c>
      <c r="H1115" s="9" t="inlineStr">
        <is>
          <t>**DISCOUNT** Member Savings</t>
        </is>
      </c>
      <c r="I1115" s="9" t="n">
        <v>16</v>
      </c>
      <c r="J1115" s="9" t="inlineStr">
        <is>
          <t>oz</t>
        </is>
      </c>
      <c r="K1115" s="9" t="n">
        <v>-0.5</v>
      </c>
    </row>
    <row r="1116" ht="15" customFormat="1" customHeight="1" s="5">
      <c r="A1116" s="81" t="n">
        <v>45935</v>
      </c>
      <c r="B1116" s="82" t="n">
        <v>0.6895833333333333</v>
      </c>
      <c r="C1116" s="5" t="inlineStr">
        <is>
          <t>Safeway</t>
        </is>
      </c>
      <c r="E1116" s="5" t="n">
        <v>1</v>
      </c>
      <c r="F1116" s="6" t="inlineStr">
        <is>
          <t>2612 51 131 8851</t>
        </is>
      </c>
      <c r="G1116" s="15" t="inlineStr">
        <is>
          <t>2113007211</t>
        </is>
      </c>
      <c r="H1116" s="9" t="inlineStr">
        <is>
          <t>Lucerne Whipping Cream Heavy Ultra Pasteurized</t>
        </is>
      </c>
      <c r="I1116" s="9" t="n">
        <v>32</v>
      </c>
      <c r="J1116" s="9" t="inlineStr">
        <is>
          <t>fl oz</t>
        </is>
      </c>
      <c r="K1116" s="9" t="n">
        <v>5.99</v>
      </c>
    </row>
    <row r="1117" ht="15" customFormat="1" customHeight="1" s="5">
      <c r="A1117" s="81" t="n">
        <v>45935</v>
      </c>
      <c r="B1117" s="82" t="n">
        <v>0.6895833333333333</v>
      </c>
      <c r="C1117" s="5" t="inlineStr">
        <is>
          <t>Safeway</t>
        </is>
      </c>
      <c r="E1117" s="5" t="n">
        <v>1</v>
      </c>
      <c r="F1117" s="6" t="inlineStr">
        <is>
          <t>2612 51 131 8851</t>
        </is>
      </c>
      <c r="G1117" s="15" t="inlineStr">
        <is>
          <t>7989215000</t>
        </is>
      </c>
      <c r="H1117" s="9" t="inlineStr">
        <is>
          <t>2 V CRNR Whole Milk</t>
        </is>
      </c>
      <c r="I1117" s="9" t="n">
        <v>2</v>
      </c>
      <c r="J1117" s="9" t="inlineStr">
        <is>
          <t>gal</t>
        </is>
      </c>
      <c r="K1117" s="9" t="n">
        <v>6.78</v>
      </c>
    </row>
    <row r="1118" ht="15" customFormat="1" customHeight="1" s="5">
      <c r="A1118" s="81" t="n">
        <v>45935</v>
      </c>
      <c r="B1118" s="82" t="n">
        <v>0.6895833333333333</v>
      </c>
      <c r="C1118" s="5" t="inlineStr">
        <is>
          <t>Safeway</t>
        </is>
      </c>
      <c r="E1118" s="5" t="n">
        <v>1</v>
      </c>
      <c r="F1118" s="6" t="inlineStr">
        <is>
          <t>2612 51 131 8851</t>
        </is>
      </c>
      <c r="G1118" s="15" t="inlineStr">
        <is>
          <t>7989215000</t>
        </is>
      </c>
      <c r="H1118" s="9" t="inlineStr">
        <is>
          <t>**DISCOUNT** Member Savings</t>
        </is>
      </c>
      <c r="I1118" s="9" t="n">
        <v>2</v>
      </c>
      <c r="J1118" s="9" t="inlineStr">
        <is>
          <t>gal</t>
        </is>
      </c>
      <c r="K1118" s="9" t="n">
        <v>-1.24</v>
      </c>
    </row>
    <row r="1119" ht="15" customFormat="1" customHeight="1" s="5">
      <c r="A1119" s="81" t="n">
        <v>45935</v>
      </c>
      <c r="B1119" s="82" t="n">
        <v>0.6895833333333333</v>
      </c>
      <c r="C1119" s="5" t="inlineStr">
        <is>
          <t>Safeway</t>
        </is>
      </c>
      <c r="E1119" s="5" t="n">
        <v>1</v>
      </c>
      <c r="F1119" s="6" t="inlineStr">
        <is>
          <t>2612 51 131 8851</t>
        </is>
      </c>
      <c r="G1119" s="15" t="inlineStr">
        <is>
          <t>4222213028</t>
        </is>
      </c>
      <c r="H1119" s="9" t="inlineStr">
        <is>
          <t>Jennie-o Ground Turkey 85% Lean 15% Fat</t>
        </is>
      </c>
      <c r="I1119" s="9" t="n">
        <v>32</v>
      </c>
      <c r="J1119" s="9" t="inlineStr">
        <is>
          <t>oz</t>
        </is>
      </c>
      <c r="K1119" s="9" t="n">
        <v>8.99</v>
      </c>
    </row>
    <row r="1120" ht="15" customFormat="1" customHeight="1" s="5">
      <c r="A1120" s="81" t="n">
        <v>45935</v>
      </c>
      <c r="B1120" s="82" t="n">
        <v>0.6895833333333333</v>
      </c>
      <c r="C1120" s="5" t="inlineStr">
        <is>
          <t>Safeway</t>
        </is>
      </c>
      <c r="E1120" s="5" t="n">
        <v>1</v>
      </c>
      <c r="F1120" s="6" t="inlineStr">
        <is>
          <t>2612 51 131 8851</t>
        </is>
      </c>
      <c r="G1120" s="15" t="inlineStr">
        <is>
          <t>5783603121</t>
        </is>
      </c>
      <c r="H1120" s="9" t="inlineStr">
        <is>
          <t>2 ORANGE BELL PEPPERS</t>
        </is>
      </c>
      <c r="I1120" s="9" t="n">
        <v>2</v>
      </c>
      <c r="J1120" s="9" t="inlineStr">
        <is>
          <t>cnt</t>
        </is>
      </c>
      <c r="K1120" s="9" t="n">
        <v>3.38</v>
      </c>
    </row>
    <row r="1121" ht="15" customFormat="1" customHeight="1" s="5">
      <c r="A1121" s="81" t="n">
        <v>45935</v>
      </c>
      <c r="B1121" s="82" t="n">
        <v>0.6895833333333333</v>
      </c>
      <c r="C1121" s="5" t="inlineStr">
        <is>
          <t>Safeway</t>
        </is>
      </c>
      <c r="E1121" s="5" t="n">
        <v>1</v>
      </c>
      <c r="F1121" s="6" t="inlineStr">
        <is>
          <t>2612 51 131 8851</t>
        </is>
      </c>
      <c r="G1121" s="15" t="inlineStr">
        <is>
          <t>81854402107</t>
        </is>
      </c>
      <c r="H1121" s="9" t="inlineStr">
        <is>
          <t>Apples Cosmic Crisp, 1 apple @$1.69/lb</t>
        </is>
      </c>
      <c r="I1121" s="9" t="n">
        <v>0.52</v>
      </c>
      <c r="J1121" s="9" t="inlineStr">
        <is>
          <t>lb</t>
        </is>
      </c>
      <c r="K1121" s="9" t="n">
        <v>0.93</v>
      </c>
    </row>
    <row r="1122" ht="15" customFormat="1" customHeight="1" s="5">
      <c r="A1122" s="81" t="n">
        <v>45935</v>
      </c>
      <c r="B1122" s="82" t="n">
        <v>0.6895833333333333</v>
      </c>
      <c r="C1122" s="5" t="inlineStr">
        <is>
          <t>Safeway</t>
        </is>
      </c>
      <c r="E1122" s="5" t="n">
        <v>1</v>
      </c>
      <c r="F1122" s="6" t="inlineStr">
        <is>
          <t>2612 51 131 8851</t>
        </is>
      </c>
      <c r="G1122" s="15" t="inlineStr">
        <is>
          <t>81854402107</t>
        </is>
      </c>
      <c r="H1122" s="9" t="inlineStr">
        <is>
          <t>**DISCOUNT** Member Savings</t>
        </is>
      </c>
      <c r="I1122" s="9" t="n">
        <v>0.52</v>
      </c>
      <c r="J1122" s="9" t="inlineStr">
        <is>
          <t>lb</t>
        </is>
      </c>
      <c r="K1122" s="9" t="n">
        <v>-0.43</v>
      </c>
    </row>
    <row r="1123" ht="15" customFormat="1" customHeight="1" s="5">
      <c r="A1123" s="81" t="n">
        <v>45935</v>
      </c>
      <c r="B1123" s="82" t="n">
        <v>0.6895833333333333</v>
      </c>
      <c r="C1123" s="5" t="inlineStr">
        <is>
          <t>Safeway</t>
        </is>
      </c>
      <c r="E1123" s="5" t="n">
        <v>1</v>
      </c>
      <c r="F1123" s="6" t="inlineStr">
        <is>
          <t>2612 51 131 8851</t>
        </is>
      </c>
      <c r="G1123" s="15" t="inlineStr">
        <is>
          <t>85290800216</t>
        </is>
      </c>
      <c r="H1123" s="9" t="inlineStr">
        <is>
          <t>Apples Granny Smith, 1 apple @ $1.99/lb</t>
        </is>
      </c>
      <c r="I1123" s="9" t="n">
        <v>0.53</v>
      </c>
      <c r="J1123" s="9" t="inlineStr">
        <is>
          <t>lb</t>
        </is>
      </c>
      <c r="K1123" s="9" t="n">
        <v>1.05</v>
      </c>
    </row>
    <row r="1124" ht="15" customFormat="1" customHeight="1" s="5">
      <c r="A1124" s="81" t="n">
        <v>45935</v>
      </c>
      <c r="B1124" s="82" t="n">
        <v>0.6895833333333333</v>
      </c>
      <c r="C1124" s="5" t="inlineStr">
        <is>
          <t>Safeway</t>
        </is>
      </c>
      <c r="E1124" s="5" t="n">
        <v>1</v>
      </c>
      <c r="F1124" s="6" t="inlineStr">
        <is>
          <t>2612 51 131 8851</t>
        </is>
      </c>
      <c r="G1124" s="15" t="inlineStr">
        <is>
          <t>85290800216</t>
        </is>
      </c>
      <c r="H1124" s="9" t="inlineStr">
        <is>
          <t>**DISCOUNT** Member Savings</t>
        </is>
      </c>
      <c r="I1124" s="9" t="n">
        <v>0.53</v>
      </c>
      <c r="J1124" s="9" t="inlineStr">
        <is>
          <t>lb</t>
        </is>
      </c>
      <c r="K1124" s="9" t="n">
        <v>-0.54</v>
      </c>
    </row>
    <row r="1125" ht="15" customFormat="1" customHeight="1" s="5">
      <c r="A1125" s="81" t="n">
        <v>45935</v>
      </c>
      <c r="B1125" s="82" t="n">
        <v>0.6895833333333333</v>
      </c>
      <c r="C1125" s="5" t="inlineStr">
        <is>
          <t>Safeway</t>
        </is>
      </c>
      <c r="E1125" s="5" t="n">
        <v>1</v>
      </c>
      <c r="F1125" s="6" t="inlineStr">
        <is>
          <t>2612 51 131 8851</t>
        </is>
      </c>
      <c r="G1125" s="15" t="inlineStr">
        <is>
          <t>89165800135</t>
        </is>
      </c>
      <c r="H1125" s="9" t="inlineStr">
        <is>
          <t>Apples Gala Large, 1 apple @ $1.99/lb</t>
        </is>
      </c>
      <c r="I1125" s="9" t="n">
        <v>0.48</v>
      </c>
      <c r="J1125" s="9" t="inlineStr">
        <is>
          <t>lb</t>
        </is>
      </c>
      <c r="K1125" s="9" t="n">
        <v>0.96</v>
      </c>
    </row>
    <row r="1126" ht="15" customFormat="1" customHeight="1" s="5">
      <c r="A1126" s="81" t="n">
        <v>45935</v>
      </c>
      <c r="B1126" s="82" t="n">
        <v>0.6895833333333333</v>
      </c>
      <c r="C1126" s="5" t="inlineStr">
        <is>
          <t>Safeway</t>
        </is>
      </c>
      <c r="E1126" s="5" t="n">
        <v>1</v>
      </c>
      <c r="F1126" s="6" t="inlineStr">
        <is>
          <t>2612 51 131 8851</t>
        </is>
      </c>
      <c r="G1126" s="15" t="inlineStr">
        <is>
          <t>89165800135</t>
        </is>
      </c>
      <c r="H1126" s="9" t="inlineStr">
        <is>
          <t>**DISCOUNT** Member Savings</t>
        </is>
      </c>
      <c r="I1126" s="9" t="n">
        <v>0.48</v>
      </c>
      <c r="J1126" s="9" t="inlineStr">
        <is>
          <t>lb</t>
        </is>
      </c>
      <c r="K1126" s="9" t="n">
        <v>-0.49</v>
      </c>
    </row>
    <row r="1127" ht="15" customFormat="1" customHeight="1" s="5">
      <c r="A1127" s="81" t="n">
        <v>45935</v>
      </c>
      <c r="B1127" s="82" t="n">
        <v>0.6895833333333333</v>
      </c>
      <c r="C1127" s="5" t="inlineStr">
        <is>
          <t>Safeway</t>
        </is>
      </c>
      <c r="E1127" s="5" t="n">
        <v>1</v>
      </c>
      <c r="F1127" s="6" t="inlineStr">
        <is>
          <t>2612 51 131 8851</t>
        </is>
      </c>
      <c r="G1127" s="10" t="n"/>
      <c r="H1127" s="9" t="inlineStr">
        <is>
          <t>Tax</t>
        </is>
      </c>
      <c r="I1127" s="9" t="n">
        <v>8</v>
      </c>
      <c r="J1127" s="9" t="inlineStr">
        <is>
          <t>cnt</t>
        </is>
      </c>
      <c r="K1127" s="9" t="n">
        <v>0</v>
      </c>
    </row>
    <row r="1128" ht="15" customFormat="1" customHeight="1" s="5">
      <c r="A1128" s="81" t="n">
        <v>45935</v>
      </c>
      <c r="B1128" s="82" t="n">
        <v>0.3527777777777778</v>
      </c>
      <c r="C1128" s="5" t="inlineStr">
        <is>
          <t>Xfinity</t>
        </is>
      </c>
      <c r="D1128" s="5" t="n">
        <v>1</v>
      </c>
      <c r="F1128" s="6" t="n"/>
      <c r="G1128" s="7" t="n"/>
      <c r="H1128" s="9" t="inlineStr">
        <is>
          <t>Internet Sep 14 - Oct 13</t>
        </is>
      </c>
      <c r="I1128" s="9" t="n"/>
      <c r="J1128" s="9" t="n"/>
      <c r="K1128" s="9" t="n">
        <v>110</v>
      </c>
    </row>
    <row r="1129" ht="15" customFormat="1" customHeight="1" s="5">
      <c r="A1129" s="81" t="n">
        <v>45935</v>
      </c>
      <c r="B1129" s="82" t="n">
        <v>0.3527777777777778</v>
      </c>
      <c r="C1129" s="5" t="inlineStr">
        <is>
          <t>Xfinity</t>
        </is>
      </c>
      <c r="D1129" s="5" t="n">
        <v>1</v>
      </c>
      <c r="F1129" s="6" t="n"/>
      <c r="G1129" s="7" t="n"/>
      <c r="H1129" s="9" t="inlineStr">
        <is>
          <t>**DISCOUNT** 1 year (expires Sep 13 2026) Discount</t>
        </is>
      </c>
      <c r="I1129" s="9" t="n"/>
      <c r="J1129" s="9" t="n"/>
      <c r="K1129" s="9" t="n">
        <v>-50</v>
      </c>
    </row>
    <row r="1130" ht="15" customFormat="1" customHeight="1" s="5">
      <c r="A1130" s="81" t="n">
        <v>45935</v>
      </c>
      <c r="B1130" s="82" t="n">
        <v>0.3527777777777778</v>
      </c>
      <c r="C1130" s="5" t="inlineStr">
        <is>
          <t>Xfinity</t>
        </is>
      </c>
      <c r="D1130" s="5" t="n">
        <v>1</v>
      </c>
      <c r="F1130" s="6" t="n"/>
      <c r="G1130" s="7" t="n"/>
      <c r="H1130" s="9" t="inlineStr">
        <is>
          <t>**DISCOUNT** Autopay from Bank + Paperless Billing</t>
        </is>
      </c>
      <c r="I1130" s="9" t="n"/>
      <c r="J1130" s="9" t="n"/>
      <c r="K1130" s="9" t="n">
        <v>-10</v>
      </c>
    </row>
    <row r="1131" ht="15" customFormat="1" customHeight="1" s="5">
      <c r="A1131" s="81" t="n">
        <v>45935</v>
      </c>
      <c r="B1131" s="82" t="n">
        <v>0.3527777777777778</v>
      </c>
      <c r="C1131" s="5" t="inlineStr">
        <is>
          <t>Xfinity</t>
        </is>
      </c>
      <c r="D1131" s="5" t="n">
        <v>1</v>
      </c>
      <c r="F1131" s="6" t="n"/>
      <c r="G1131" s="7" t="n"/>
      <c r="H1131" s="9" t="inlineStr">
        <is>
          <t>"Services added"</t>
        </is>
      </c>
      <c r="I1131" s="9" t="n"/>
      <c r="J1131" s="9" t="n"/>
      <c r="K1131" s="9" t="n">
        <v>31.6</v>
      </c>
    </row>
    <row r="1132" ht="15" customFormat="1" customHeight="1" s="5">
      <c r="A1132" s="81" t="n">
        <v>45935</v>
      </c>
      <c r="B1132" s="82" t="n">
        <v>0.3527777777777778</v>
      </c>
      <c r="C1132" s="5" t="inlineStr">
        <is>
          <t>Xfinity</t>
        </is>
      </c>
      <c r="D1132" s="5" t="n">
        <v>1</v>
      </c>
      <c r="F1132" s="6" t="n"/>
      <c r="G1132" s="7" t="n"/>
      <c r="H1132" s="9" t="inlineStr">
        <is>
          <t>"Services Removed"</t>
        </is>
      </c>
      <c r="I1132" s="9" t="n"/>
      <c r="J1132" s="9" t="n"/>
      <c r="K1132" s="9" t="n">
        <v>-36.12</v>
      </c>
    </row>
    <row r="1133" ht="15" customFormat="1" customHeight="1" s="5">
      <c r="A1133" s="81" t="n">
        <v>45935</v>
      </c>
      <c r="B1133" s="82" t="n">
        <v>0.3527777777777778</v>
      </c>
      <c r="C1133" s="5" t="inlineStr">
        <is>
          <t>Xfinity</t>
        </is>
      </c>
      <c r="D1133" s="5" t="n">
        <v>1</v>
      </c>
      <c r="F1133" s="6" t="n"/>
      <c r="G1133" s="7" t="n"/>
      <c r="H1133" s="9" t="inlineStr">
        <is>
          <t>Taxs, fees, and other charges</t>
        </is>
      </c>
      <c r="I1133" s="9" t="n"/>
      <c r="J1133" s="9" t="n"/>
      <c r="K1133" s="9" t="n">
        <v>1.75</v>
      </c>
    </row>
    <row r="1134" ht="15" customFormat="1" customHeight="1" s="5">
      <c r="A1134" s="81" t="n">
        <v>45934</v>
      </c>
      <c r="B1134" s="82" t="n">
        <v>0.6666666666666666</v>
      </c>
      <c r="C1134" s="5" t="inlineStr">
        <is>
          <t>Em's Ice Cream</t>
        </is>
      </c>
      <c r="E1134" s="5" t="n">
        <v>1</v>
      </c>
      <c r="F1134" s="6" t="inlineStr">
        <is>
          <t>#JSRf</t>
        </is>
      </c>
      <c r="G1134" s="7" t="n"/>
      <c r="H1134" s="9" t="inlineStr">
        <is>
          <t>Double Scoop: Apple Pie Ice Cream + Burnt Brown Sugar</t>
        </is>
      </c>
      <c r="I1134" s="9" t="n">
        <v>1</v>
      </c>
      <c r="J1134" s="9" t="inlineStr">
        <is>
          <t>cnt</t>
        </is>
      </c>
      <c r="K1134" s="9" t="n">
        <v>8</v>
      </c>
    </row>
    <row r="1135" ht="15" customFormat="1" customHeight="1" s="5">
      <c r="A1135" s="81" t="n">
        <v>45934</v>
      </c>
      <c r="B1135" s="82" t="n">
        <v>0.6666666666666666</v>
      </c>
      <c r="C1135" s="5" t="inlineStr">
        <is>
          <t>Em's Ice Cream</t>
        </is>
      </c>
      <c r="E1135" s="5" t="n">
        <v>1</v>
      </c>
      <c r="F1135" s="6" t="inlineStr">
        <is>
          <t>#JSRf</t>
        </is>
      </c>
      <c r="G1135" s="7" t="n"/>
      <c r="H1135" s="9" t="inlineStr">
        <is>
          <t>**DISCOUNT** rung me up for a single scoop</t>
        </is>
      </c>
      <c r="I1135" s="9" t="n">
        <v>1</v>
      </c>
      <c r="J1135" s="9" t="inlineStr">
        <is>
          <t>cnt</t>
        </is>
      </c>
      <c r="K1135" s="9" t="n">
        <v>-2</v>
      </c>
    </row>
    <row r="1136" ht="15" customFormat="1" customHeight="1" s="5">
      <c r="A1136" s="81" t="n">
        <v>45934</v>
      </c>
      <c r="B1136" s="78" t="n">
        <v>0.6569444444444444</v>
      </c>
      <c r="C1136" s="5" t="inlineStr">
        <is>
          <t>Amazon</t>
        </is>
      </c>
      <c r="D1136" s="5" t="n">
        <v>1</v>
      </c>
      <c r="F1136" s="6" t="inlineStr">
        <is>
          <t xml:space="preserve">111-8150840-3403401 </t>
        </is>
      </c>
      <c r="G1136" s="15" t="n"/>
      <c r="H1136" s="9" t="inlineStr">
        <is>
          <t>**RETURNED** Comfytemp Heating Pad for Back Pain Relief, Extra Large Heating Pad XXL, Birthday Gifts for Women Mom Her Wife, 17''x 33'' King Size Electric Heating Pads for Period Cramps (Blue)</t>
        </is>
      </c>
      <c r="I1136" s="9" t="n"/>
      <c r="J1136" s="9" t="n"/>
      <c r="K1136" s="9" t="n">
        <v>-32.39</v>
      </c>
    </row>
    <row r="1137" ht="15" customFormat="1" customHeight="1" s="5">
      <c r="A1137" s="81" t="n">
        <v>45934</v>
      </c>
      <c r="B1137" s="82" t="n">
        <v>0.6506944444444445</v>
      </c>
      <c r="C1137" s="5" t="inlineStr">
        <is>
          <t>Amazon</t>
        </is>
      </c>
      <c r="D1137" s="5" t="n">
        <v>1</v>
      </c>
      <c r="F1137" s="6" t="inlineStr">
        <is>
          <t>111-4525889-3221841</t>
        </is>
      </c>
      <c r="G1137" s="10" t="inlineStr">
        <is>
          <t>PENDING</t>
        </is>
      </c>
      <c r="H1137" s="9" t="inlineStr">
        <is>
          <t>**RETURNED** rejected set of glasses for E</t>
        </is>
      </c>
      <c r="I1137" s="9" t="n">
        <v>3</v>
      </c>
      <c r="J1137" s="9" t="inlineStr">
        <is>
          <t>cnt</t>
        </is>
      </c>
      <c r="K1137" s="85" t="n">
        <v>-20.74</v>
      </c>
    </row>
    <row r="1138" ht="15" customFormat="1" customHeight="1" s="5">
      <c r="A1138" s="81" t="n">
        <v>45934</v>
      </c>
      <c r="B1138" s="82" t="n">
        <v>0.6263888888888889</v>
      </c>
      <c r="C1138" s="5" t="inlineStr">
        <is>
          <t>New Saigon Bakery and Deli Lakewood</t>
        </is>
      </c>
      <c r="E1138" s="5" t="n">
        <v>1</v>
      </c>
      <c r="F1138" s="6" t="inlineStr">
        <is>
          <t>#H9VA</t>
        </is>
      </c>
      <c r="G1138" s="7" t="n"/>
      <c r="H1138" s="9" t="inlineStr">
        <is>
          <t>Banh Gio (like sticky rice)</t>
        </is>
      </c>
      <c r="I1138" s="9" t="n">
        <v>1</v>
      </c>
      <c r="J1138" s="9" t="inlineStr">
        <is>
          <t>cnt</t>
        </is>
      </c>
      <c r="K1138" s="9" t="n">
        <v>4.5</v>
      </c>
    </row>
    <row r="1139" ht="15" customFormat="1" customHeight="1" s="5">
      <c r="A1139" s="81" t="n">
        <v>45934</v>
      </c>
      <c r="B1139" s="82" t="n">
        <v>0.6263888888888889</v>
      </c>
      <c r="C1139" s="5" t="inlineStr">
        <is>
          <t>New Saigon Bakery and Deli Lakewood</t>
        </is>
      </c>
      <c r="E1139" s="5" t="n">
        <v>1</v>
      </c>
      <c r="F1139" s="6" t="inlineStr">
        <is>
          <t>NA_forgotToHitReceipt</t>
        </is>
      </c>
      <c r="G1139" s="7" t="n"/>
      <c r="H1139" s="9" t="inlineStr">
        <is>
          <t>#1 Dac Biet "Pork Combination" (basically cold cuts)</t>
        </is>
      </c>
      <c r="I1139" s="9" t="n">
        <v>1</v>
      </c>
      <c r="J1139" s="9" t="inlineStr">
        <is>
          <t>cnt</t>
        </is>
      </c>
      <c r="K1139" s="9" t="n">
        <v>9</v>
      </c>
    </row>
    <row r="1140" ht="15" customFormat="1" customHeight="1" s="5">
      <c r="A1140" s="81" t="n">
        <v>45934</v>
      </c>
      <c r="B1140" s="82" t="n">
        <v>0.6263888888888889</v>
      </c>
      <c r="C1140" s="5" t="inlineStr">
        <is>
          <t>New Saigon Bakery and Deli Lakewood</t>
        </is>
      </c>
      <c r="E1140" s="5" t="n">
        <v>1</v>
      </c>
      <c r="F1140" s="6" t="inlineStr">
        <is>
          <t>NA_forgotToHitReceipt</t>
        </is>
      </c>
      <c r="G1140" s="7" t="n"/>
      <c r="H1140" s="9" t="inlineStr">
        <is>
          <t>#13 Thit Nurong "Grilled Pork"</t>
        </is>
      </c>
      <c r="I1140" s="9" t="n">
        <v>1</v>
      </c>
      <c r="J1140" s="9" t="inlineStr">
        <is>
          <t>cnt</t>
        </is>
      </c>
      <c r="K1140" s="9" t="n">
        <v>9</v>
      </c>
    </row>
    <row r="1141" ht="15" customFormat="1" customHeight="1" s="5">
      <c r="A1141" s="81" t="n">
        <v>45934</v>
      </c>
      <c r="B1141" s="82" t="n">
        <v>0.6201388888888889</v>
      </c>
      <c r="C1141" s="5" t="inlineStr">
        <is>
          <t>Westfax Brewing Company</t>
        </is>
      </c>
      <c r="E1141" s="5" t="n">
        <v>1</v>
      </c>
      <c r="F1141" s="6" t="inlineStr">
        <is>
          <t>Round02</t>
        </is>
      </c>
      <c r="G1141" s="7" t="n"/>
      <c r="H1141" s="9" t="inlineStr">
        <is>
          <t>Honeycrisp Apple Cider hard cider {Snow Capped Cider} | ABV 6.9%</t>
        </is>
      </c>
      <c r="I1141" s="9" t="n">
        <v>16</v>
      </c>
      <c r="J1141" s="9" t="inlineStr">
        <is>
          <t>oz</t>
        </is>
      </c>
      <c r="K1141" s="9" t="n">
        <v>8</v>
      </c>
    </row>
    <row r="1142" ht="15" customFormat="1" customHeight="1" s="5">
      <c r="A1142" s="81" t="n">
        <v>45934</v>
      </c>
      <c r="B1142" s="82" t="n">
        <v>0.6201388888888889</v>
      </c>
      <c r="C1142" s="5" t="inlineStr">
        <is>
          <t>Westfax Brewing Company</t>
        </is>
      </c>
      <c r="E1142" s="5" t="n">
        <v>1</v>
      </c>
      <c r="F1142" s="6" t="inlineStr">
        <is>
          <t>Round02</t>
        </is>
      </c>
      <c r="G1142" s="7" t="n"/>
      <c r="H1142" s="9" t="inlineStr">
        <is>
          <t>Tax</t>
        </is>
      </c>
      <c r="I1142" s="9" t="n">
        <v>16</v>
      </c>
      <c r="J1142" s="9" t="inlineStr">
        <is>
          <t>oz</t>
        </is>
      </c>
      <c r="K1142" s="9" t="n">
        <v>0.68</v>
      </c>
    </row>
    <row r="1143" ht="15" customFormat="1" customHeight="1" s="5">
      <c r="A1143" s="81" t="n">
        <v>45934</v>
      </c>
      <c r="B1143" s="82" t="n">
        <v>0.5409722222222222</v>
      </c>
      <c r="C1143" s="5" t="inlineStr">
        <is>
          <t>Westfax Brewing Company</t>
        </is>
      </c>
      <c r="E1143" s="5" t="n">
        <v>1</v>
      </c>
      <c r="F1143" s="6" t="inlineStr">
        <is>
          <t>round01</t>
        </is>
      </c>
      <c r="G1143" s="7" t="n"/>
      <c r="H1143" s="9" t="inlineStr">
        <is>
          <t>Lavender Lemonade hard cider (Snow Capped Cider} | ABV: 6.9%</t>
        </is>
      </c>
      <c r="I1143" s="9" t="n">
        <v>16</v>
      </c>
      <c r="J1143" s="9" t="inlineStr">
        <is>
          <t>oz</t>
        </is>
      </c>
      <c r="K1143" s="9" t="n">
        <v>8</v>
      </c>
    </row>
    <row r="1144" ht="15" customFormat="1" customHeight="1" s="5">
      <c r="A1144" s="81" t="n">
        <v>45934</v>
      </c>
      <c r="B1144" s="82" t="n">
        <v>0.5409722222222222</v>
      </c>
      <c r="C1144" s="5" t="inlineStr">
        <is>
          <t>Westfax Brewing Company</t>
        </is>
      </c>
      <c r="E1144" s="5" t="n">
        <v>1</v>
      </c>
      <c r="F1144" s="6" t="inlineStr">
        <is>
          <t>round01</t>
        </is>
      </c>
      <c r="G1144" s="7" t="n"/>
      <c r="H1144" s="9" t="inlineStr">
        <is>
          <t>Tax</t>
        </is>
      </c>
      <c r="I1144" s="9" t="n">
        <v>16</v>
      </c>
      <c r="J1144" s="9" t="inlineStr">
        <is>
          <t>oz</t>
        </is>
      </c>
      <c r="K1144" s="9" t="n">
        <v>0.68</v>
      </c>
    </row>
    <row r="1145" ht="15" customFormat="1" customHeight="1" s="5">
      <c r="A1145" s="81" t="n">
        <v>45934</v>
      </c>
      <c r="B1145" s="82" t="n">
        <v>0.4868055555555555</v>
      </c>
      <c r="C1145" s="5" t="inlineStr">
        <is>
          <t>SQ Ela Family Farms</t>
        </is>
      </c>
      <c r="E1145" s="5" t="n">
        <v>1</v>
      </c>
      <c r="F1145" s="6" t="inlineStr">
        <is>
          <t>#X1Va</t>
        </is>
      </c>
      <c r="G1145" s="7" t="n"/>
      <c r="H1145" s="9" t="inlineStr">
        <is>
          <t>Cox's Orange Pippin Heirloom Apple @$5.00/lb</t>
        </is>
      </c>
      <c r="I1145" s="9" t="n">
        <v>3.35</v>
      </c>
      <c r="J1145" s="9" t="inlineStr">
        <is>
          <t>lb</t>
        </is>
      </c>
      <c r="K1145" s="9" t="n">
        <v>16.95</v>
      </c>
    </row>
    <row r="1146" ht="15" customFormat="1" customHeight="1" s="5">
      <c r="A1146" s="81" t="n">
        <v>45934</v>
      </c>
      <c r="B1146" s="82" t="n">
        <v>0.4868055555555555</v>
      </c>
      <c r="C1146" s="5" t="inlineStr">
        <is>
          <t>SQ Ela Family Farms</t>
        </is>
      </c>
      <c r="E1146" s="5" t="n">
        <v>1</v>
      </c>
      <c r="F1146" s="6" t="inlineStr">
        <is>
          <t>#X1Va</t>
        </is>
      </c>
      <c r="G1146" s="7" t="n"/>
      <c r="H1146" s="9" t="inlineStr">
        <is>
          <t>Ela Family Farms Pressed Apple Cider</t>
        </is>
      </c>
      <c r="I1146" s="9" t="n">
        <v>0.5</v>
      </c>
      <c r="J1146" s="9" t="inlineStr">
        <is>
          <t>gal</t>
        </is>
      </c>
      <c r="K1146" s="9" t="n">
        <v>10</v>
      </c>
    </row>
    <row r="1147" ht="15" customFormat="1" customHeight="1" s="5">
      <c r="A1147" s="81" t="n">
        <v>45934</v>
      </c>
      <c r="B1147" s="82" t="n">
        <v>0.4868055555555555</v>
      </c>
      <c r="C1147" s="5" t="inlineStr">
        <is>
          <t>SQ Ela Family Farms</t>
        </is>
      </c>
      <c r="E1147" s="5" t="n">
        <v>1</v>
      </c>
      <c r="F1147" s="6" t="inlineStr">
        <is>
          <t>#X1Va</t>
        </is>
      </c>
      <c r="G1147" s="7" t="n"/>
      <c r="H1147" s="9" t="inlineStr">
        <is>
          <t>Cashier decided to round us up….</t>
        </is>
      </c>
      <c r="I1147" s="9" t="n">
        <v>2</v>
      </c>
      <c r="J1147" s="9" t="inlineStr">
        <is>
          <t>cnt</t>
        </is>
      </c>
      <c r="K1147" s="9" t="n">
        <v>0.05</v>
      </c>
    </row>
    <row r="1148" ht="15" customFormat="1" customHeight="1" s="5">
      <c r="A1148" s="81" t="n">
        <v>45933</v>
      </c>
      <c r="B1148" s="82" t="n">
        <v>0.6777777777777778</v>
      </c>
      <c r="C1148" s="5" t="inlineStr">
        <is>
          <t>Parents Gift Account</t>
        </is>
      </c>
      <c r="D1148" s="5" t="n">
        <v>1</v>
      </c>
      <c r="F1148" s="6" t="inlineStr">
        <is>
          <t>transferRequestPendingInFidelity</t>
        </is>
      </c>
      <c r="G1148" s="10" t="inlineStr">
        <is>
          <t>8LJ7EPAYM01FKHW</t>
        </is>
      </c>
      <c r="H1148" s="9" t="inlineStr">
        <is>
          <t>Lydia ATT Phone Jul 08 - Aug 07 -- Joseph Wu paid 8/15</t>
        </is>
      </c>
      <c r="I1148" s="9" t="n"/>
      <c r="J1148" s="9" t="n"/>
      <c r="K1148" s="9" t="n">
        <v>52.27</v>
      </c>
    </row>
    <row r="1149" ht="15" customFormat="1" customHeight="1" s="5">
      <c r="A1149" s="81" t="n">
        <v>45933</v>
      </c>
      <c r="B1149" s="82" t="n">
        <v>0.6777777777777778</v>
      </c>
      <c r="C1149" s="5" t="inlineStr">
        <is>
          <t>Parents Gift Account</t>
        </is>
      </c>
      <c r="D1149" s="5" t="n">
        <v>1</v>
      </c>
      <c r="F1149" s="6" t="inlineStr">
        <is>
          <t>transferRequestPendingInFidelity</t>
        </is>
      </c>
      <c r="G1149" s="10" t="inlineStr">
        <is>
          <t>8KJ7EPAYH01G6N1</t>
        </is>
      </c>
      <c r="H1149" s="9" t="inlineStr">
        <is>
          <t>Lydia ATT Phone Jun 08 - Jul 07 -- Joseph Wu paid 7/15</t>
        </is>
      </c>
      <c r="I1149" s="9" t="n"/>
      <c r="J1149" s="9" t="n"/>
      <c r="K1149" s="9" t="n">
        <v>52.27</v>
      </c>
    </row>
    <row r="1150" ht="15" customFormat="1" customHeight="1" s="5">
      <c r="A1150" s="81" t="n">
        <v>45933</v>
      </c>
      <c r="B1150" s="82" t="n">
        <v>0.6777777777777778</v>
      </c>
      <c r="C1150" s="5" t="inlineStr">
        <is>
          <t>Parents Gift Account</t>
        </is>
      </c>
      <c r="D1150" s="5" t="n">
        <v>1</v>
      </c>
      <c r="F1150" s="6" t="inlineStr">
        <is>
          <t>transferRequestPendingInFidelity</t>
        </is>
      </c>
      <c r="G1150" s="10" t="inlineStr">
        <is>
          <t>8JK7EPAYJ0CN9ZG</t>
        </is>
      </c>
      <c r="H1150" s="9" t="inlineStr">
        <is>
          <t>Lydia ATT Phone May 08 - Jun 07 -- Joseph Wu paid 6/15</t>
        </is>
      </c>
      <c r="I1150" s="9" t="n"/>
      <c r="J1150" s="9" t="n"/>
      <c r="K1150" s="9" t="n">
        <v>85.28</v>
      </c>
    </row>
    <row r="1151" ht="15" customFormat="1" customHeight="1" s="5">
      <c r="A1151" s="81" t="n">
        <v>45933</v>
      </c>
      <c r="B1151" s="78" t="n">
        <v>0.6652777777777777</v>
      </c>
      <c r="C1151" s="5" t="inlineStr">
        <is>
          <t>Accelerate Health</t>
        </is>
      </c>
      <c r="E1151" s="5" t="n">
        <v>1</v>
      </c>
      <c r="F1151" s="6" t="inlineStr">
        <is>
          <t>1003215824</t>
        </is>
      </c>
      <c r="G1151" s="15" t="inlineStr">
        <is>
          <t>2025266BC3477</t>
        </is>
      </c>
      <c r="H1151" s="9" t="inlineStr">
        <is>
          <t>9/19 Eli Chiro 20 minute follow up Dr. Matt</t>
        </is>
      </c>
      <c r="I1151" s="9" t="n"/>
      <c r="J1151" s="9" t="n"/>
      <c r="K1151" s="9" t="n">
        <v>118.4</v>
      </c>
    </row>
    <row r="1152" ht="15" customFormat="1" customHeight="1" s="5">
      <c r="A1152" s="81" t="n">
        <v>45933</v>
      </c>
      <c r="B1152" s="82" t="n">
        <v>0.65</v>
      </c>
      <c r="C1152" s="5" t="inlineStr">
        <is>
          <t>Amazon</t>
        </is>
      </c>
      <c r="D1152" s="5" t="n">
        <v>1</v>
      </c>
      <c r="F1152" s="6" t="inlineStr">
        <is>
          <t>112-8613094-0737003</t>
        </is>
      </c>
      <c r="G1152" s="10" t="n"/>
      <c r="H1152" s="9" t="inlineStr">
        <is>
          <t>HXS 2-Pack Polarized Toddler Sunglasses with Strap for 1-2 Years,Black &amp; Blue Sold by: HXS Official US Supplied by: Other</t>
        </is>
      </c>
      <c r="I1152" s="9" t="n">
        <v>2</v>
      </c>
      <c r="J1152" s="9" t="inlineStr">
        <is>
          <t>cnt</t>
        </is>
      </c>
      <c r="K1152" s="9" t="n">
        <v>14.99</v>
      </c>
    </row>
    <row r="1153" ht="15" customFormat="1" customHeight="1" s="5">
      <c r="A1153" s="81" t="n">
        <v>45933</v>
      </c>
      <c r="B1153" s="82" t="n">
        <v>0.65</v>
      </c>
      <c r="C1153" s="5" t="inlineStr">
        <is>
          <t>Amazon</t>
        </is>
      </c>
      <c r="D1153" s="5" t="n">
        <v>1</v>
      </c>
      <c r="F1153" s="6" t="inlineStr">
        <is>
          <t>112-8613094-0737003</t>
        </is>
      </c>
      <c r="G1153" s="10" t="n"/>
      <c r="H1153" s="9" t="inlineStr">
        <is>
          <t>**DISCOUNT** Amazon Registry 15% discount</t>
        </is>
      </c>
      <c r="I1153" s="9" t="n">
        <v>1</v>
      </c>
      <c r="J1153" s="9" t="inlineStr">
        <is>
          <t>cnt</t>
        </is>
      </c>
      <c r="K1153" s="9" t="n">
        <v>-2.89</v>
      </c>
    </row>
    <row r="1154" ht="15" customFormat="1" customHeight="1" s="5">
      <c r="A1154" s="81" t="n">
        <v>45933</v>
      </c>
      <c r="B1154" s="82" t="n">
        <v>0.65</v>
      </c>
      <c r="C1154" s="5" t="inlineStr">
        <is>
          <t>Amazon</t>
        </is>
      </c>
      <c r="D1154" s="5" t="n">
        <v>1</v>
      </c>
      <c r="F1154" s="6" t="inlineStr">
        <is>
          <t>112-8613094-0737003</t>
        </is>
      </c>
      <c r="G1154" s="10" t="n"/>
      <c r="H1154" s="9" t="inlineStr">
        <is>
          <t>Tax</t>
        </is>
      </c>
      <c r="I1154" s="9" t="n">
        <v>1</v>
      </c>
      <c r="J1154" s="9" t="inlineStr">
        <is>
          <t>cnt</t>
        </is>
      </c>
      <c r="K1154" s="9" t="n">
        <v>1.14</v>
      </c>
    </row>
    <row r="1155" ht="15" customFormat="1" customHeight="1" s="5">
      <c r="A1155" s="81" t="n">
        <v>45932</v>
      </c>
      <c r="B1155" s="82" t="n">
        <v>0.8055555555555556</v>
      </c>
      <c r="C1155" s="5" t="inlineStr">
        <is>
          <t>CO DMV</t>
        </is>
      </c>
      <c r="D1155" s="5" t="n">
        <v>1</v>
      </c>
      <c r="F1155" s="6" t="inlineStr">
        <is>
          <t>0-038-649-603</t>
        </is>
      </c>
      <c r="G1155" s="15" t="n"/>
      <c r="H1155" s="9" t="inlineStr">
        <is>
          <t>Service Fee</t>
        </is>
      </c>
      <c r="I1155" s="9" t="n"/>
      <c r="J1155" s="9" t="n"/>
      <c r="K1155" s="5" t="n">
        <v>2.21</v>
      </c>
    </row>
    <row r="1156" ht="15" customFormat="1" customHeight="1" s="5">
      <c r="A1156" s="81" t="n">
        <v>45932</v>
      </c>
      <c r="B1156" s="82" t="n">
        <v>0.8055555555555556</v>
      </c>
      <c r="C1156" s="5" t="inlineStr">
        <is>
          <t>CO DMV</t>
        </is>
      </c>
      <c r="D1156" s="5" t="n">
        <v>1</v>
      </c>
      <c r="F1156" s="6" t="inlineStr">
        <is>
          <t>0-038-649-603</t>
        </is>
      </c>
      <c r="G1156" s="10" t="inlineStr">
        <is>
          <t>Fiesta Registration Nov '25 to Oct '26</t>
        </is>
      </c>
      <c r="H1156" s="9" t="inlineStr">
        <is>
          <t>Specific Ownership Tax</t>
        </is>
      </c>
      <c r="I1156" s="9" t="n"/>
      <c r="J1156" s="9" t="n"/>
      <c r="K1156" s="85" t="n">
        <v>3</v>
      </c>
    </row>
    <row r="1157" ht="15" customFormat="1" customHeight="1" s="5">
      <c r="A1157" s="81" t="n">
        <v>45932</v>
      </c>
      <c r="B1157" s="82" t="n">
        <v>0.8055555555555556</v>
      </c>
      <c r="C1157" s="5" t="inlineStr">
        <is>
          <t>CO DMV</t>
        </is>
      </c>
      <c r="D1157" s="5" t="n">
        <v>1</v>
      </c>
      <c r="F1157" s="6" t="inlineStr">
        <is>
          <t>0-038-649-603</t>
        </is>
      </c>
      <c r="G1157" s="10" t="inlineStr">
        <is>
          <t>Fiesta Registration Nov '25 to Oct '26</t>
        </is>
      </c>
      <c r="H1157" s="9" t="inlineStr">
        <is>
          <t>Material Fee (Year Tab)</t>
        </is>
      </c>
      <c r="I1157" s="9" t="n"/>
      <c r="J1157" s="9" t="n"/>
      <c r="K1157" s="85" t="n">
        <v>0.48</v>
      </c>
    </row>
    <row r="1158" ht="15" customFormat="1" customHeight="1" s="5">
      <c r="A1158" s="81" t="n">
        <v>45932</v>
      </c>
      <c r="B1158" s="82" t="n">
        <v>0.8055555555555556</v>
      </c>
      <c r="C1158" s="5" t="inlineStr">
        <is>
          <t>CO DMV</t>
        </is>
      </c>
      <c r="D1158" s="5" t="n">
        <v>1</v>
      </c>
      <c r="F1158" s="6" t="inlineStr">
        <is>
          <t>0-038-649-603</t>
        </is>
      </c>
      <c r="G1158" s="10" t="inlineStr">
        <is>
          <t>Fiesta Registration Nov '25 to Oct '26</t>
        </is>
      </c>
      <c r="H1158" s="9" t="inlineStr">
        <is>
          <t>Road Safety Surcharge</t>
        </is>
      </c>
      <c r="I1158" s="9" t="n"/>
      <c r="J1158" s="9" t="n"/>
      <c r="K1158" s="85" t="n">
        <v>19.3</v>
      </c>
    </row>
    <row r="1159" ht="15" customFormat="1" customHeight="1" s="5">
      <c r="A1159" s="81" t="n">
        <v>45932</v>
      </c>
      <c r="B1159" s="82" t="n">
        <v>0.8055555555555556</v>
      </c>
      <c r="C1159" s="5" t="inlineStr">
        <is>
          <t>CO DMV</t>
        </is>
      </c>
      <c r="D1159" s="5" t="n">
        <v>1</v>
      </c>
      <c r="F1159" s="6" t="inlineStr">
        <is>
          <t>0-038-649-603</t>
        </is>
      </c>
      <c r="G1159" s="10" t="inlineStr">
        <is>
          <t>Fiesta Registration Nov '25 to Oct '26</t>
        </is>
      </c>
      <c r="H1159" s="9" t="inlineStr">
        <is>
          <t>Bridge Safety Surcharge</t>
        </is>
      </c>
      <c r="I1159" s="9" t="n"/>
      <c r="J1159" s="9" t="n"/>
      <c r="K1159" s="85" t="n">
        <v>18</v>
      </c>
    </row>
    <row r="1160" ht="15" customFormat="1" customHeight="1" s="5">
      <c r="A1160" s="81" t="n">
        <v>45932</v>
      </c>
      <c r="B1160" s="82" t="n">
        <v>0.8055555555555556</v>
      </c>
      <c r="C1160" s="5" t="inlineStr">
        <is>
          <t>CO DMV</t>
        </is>
      </c>
      <c r="D1160" s="5" t="n">
        <v>1</v>
      </c>
      <c r="F1160" s="6" t="inlineStr">
        <is>
          <t>0-038-649-603</t>
        </is>
      </c>
      <c r="G1160" s="10" t="inlineStr">
        <is>
          <t>Fiesta Registration Nov '25 to Oct '26</t>
        </is>
      </c>
      <c r="H1160" s="9" t="inlineStr">
        <is>
          <t>Age of Vehicle Add-on (LSCF)</t>
        </is>
      </c>
      <c r="I1160" s="9" t="n"/>
      <c r="J1160" s="9" t="n"/>
      <c r="K1160" s="85" t="n">
        <v>5</v>
      </c>
    </row>
    <row r="1161" ht="15" customFormat="1" customHeight="1" s="5">
      <c r="A1161" s="81" t="n">
        <v>45932</v>
      </c>
      <c r="B1161" s="82" t="n">
        <v>0.8055555555555556</v>
      </c>
      <c r="C1161" s="5" t="inlineStr">
        <is>
          <t>CO DMV</t>
        </is>
      </c>
      <c r="D1161" s="5" t="n">
        <v>1</v>
      </c>
      <c r="F1161" s="6" t="inlineStr">
        <is>
          <t>0-038-649-603</t>
        </is>
      </c>
      <c r="G1161" s="10" t="inlineStr">
        <is>
          <t>Fiesta Registration Nov '25 to Oct '26</t>
        </is>
      </c>
      <c r="H1161" s="9" t="inlineStr">
        <is>
          <t>Registration Base Fee County</t>
        </is>
      </c>
      <c r="I1161" s="9" t="n"/>
      <c r="J1161" s="9" t="n"/>
      <c r="K1161" s="85" t="n">
        <v>7</v>
      </c>
    </row>
    <row r="1162" ht="15" customFormat="1" customHeight="1" s="5">
      <c r="A1162" s="81" t="n">
        <v>45932</v>
      </c>
      <c r="B1162" s="82" t="n">
        <v>0.8055555555555556</v>
      </c>
      <c r="C1162" s="5" t="inlineStr">
        <is>
          <t>CO DMV</t>
        </is>
      </c>
      <c r="D1162" s="5" t="n">
        <v>1</v>
      </c>
      <c r="F1162" s="6" t="inlineStr">
        <is>
          <t>0-038-649-603</t>
        </is>
      </c>
      <c r="G1162" s="10" t="inlineStr">
        <is>
          <t>Fiesta Registration Nov '25 to Oct '26</t>
        </is>
      </c>
      <c r="H1162" s="9" t="inlineStr">
        <is>
          <t>Clerk Hire Fee</t>
        </is>
      </c>
      <c r="I1162" s="9" t="n"/>
      <c r="J1162" s="9" t="n"/>
      <c r="K1162" s="85" t="n">
        <v>4</v>
      </c>
    </row>
    <row r="1163" ht="15" customFormat="1" customHeight="1" s="5">
      <c r="A1163" s="81" t="n">
        <v>45932</v>
      </c>
      <c r="B1163" s="82" t="n">
        <v>0.8055555555555556</v>
      </c>
      <c r="C1163" s="5" t="inlineStr">
        <is>
          <t>CO DMV</t>
        </is>
      </c>
      <c r="D1163" s="5" t="n">
        <v>1</v>
      </c>
      <c r="F1163" s="6" t="inlineStr">
        <is>
          <t>0-038-649-603</t>
        </is>
      </c>
      <c r="G1163" s="10" t="inlineStr">
        <is>
          <t>Fiesta Registration Nov '25 to Oct '26</t>
        </is>
      </c>
      <c r="H1163" s="9" t="inlineStr">
        <is>
          <t>Emergency Medical Services</t>
        </is>
      </c>
      <c r="I1163" s="9" t="n"/>
      <c r="J1163" s="9" t="n"/>
      <c r="K1163" s="85" t="n">
        <v>2</v>
      </c>
    </row>
    <row r="1164" ht="15" customFormat="1" customHeight="1" s="5">
      <c r="A1164" s="81" t="n">
        <v>45932</v>
      </c>
      <c r="B1164" s="82" t="n">
        <v>0.8055555555555556</v>
      </c>
      <c r="C1164" s="5" t="inlineStr">
        <is>
          <t>CO DMV</t>
        </is>
      </c>
      <c r="D1164" s="5" t="n">
        <v>1</v>
      </c>
      <c r="F1164" s="6" t="inlineStr">
        <is>
          <t>0-038-649-603</t>
        </is>
      </c>
      <c r="G1164" s="10" t="inlineStr">
        <is>
          <t>Fiesta Registration Nov '25 to Oct '26</t>
        </is>
      </c>
      <c r="H1164" s="9" t="inlineStr">
        <is>
          <t>Emissions - Area Air Account</t>
        </is>
      </c>
      <c r="I1164" s="9" t="n"/>
      <c r="J1164" s="9" t="n"/>
      <c r="K1164" s="85" t="n">
        <v>1.5</v>
      </c>
    </row>
    <row r="1165" ht="15" customFormat="1" customHeight="1" s="5">
      <c r="A1165" s="81" t="n">
        <v>45932</v>
      </c>
      <c r="B1165" s="82" t="n">
        <v>0.8055555555555556</v>
      </c>
      <c r="C1165" s="5" t="inlineStr">
        <is>
          <t>CO DMV</t>
        </is>
      </c>
      <c r="D1165" s="5" t="n">
        <v>1</v>
      </c>
      <c r="F1165" s="6" t="inlineStr">
        <is>
          <t>0-038-649-603</t>
        </is>
      </c>
      <c r="G1165" s="10" t="inlineStr">
        <is>
          <t>Fiesta Registration Nov '25 to Oct '26</t>
        </is>
      </c>
      <c r="H1165" s="9" t="inlineStr">
        <is>
          <t>Peace Officer Standardized Training Fee</t>
        </is>
      </c>
      <c r="I1165" s="9" t="n"/>
      <c r="J1165" s="9" t="n"/>
      <c r="K1165" s="85" t="n">
        <v>1</v>
      </c>
    </row>
    <row r="1166" ht="15" customFormat="1" customHeight="1" s="5">
      <c r="A1166" s="81" t="n">
        <v>45932</v>
      </c>
      <c r="B1166" s="82" t="n">
        <v>0.8055555555555556</v>
      </c>
      <c r="C1166" s="5" t="inlineStr">
        <is>
          <t>CO DMV</t>
        </is>
      </c>
      <c r="D1166" s="5" t="n">
        <v>1</v>
      </c>
      <c r="F1166" s="6" t="inlineStr">
        <is>
          <t>0-038-649-603</t>
        </is>
      </c>
      <c r="G1166" s="10" t="inlineStr">
        <is>
          <t>Fiesta Registration Nov '25 to Oct '26</t>
        </is>
      </c>
      <c r="H1166" s="9" t="inlineStr">
        <is>
          <t>County Road and Bridge</t>
        </is>
      </c>
      <c r="I1166" s="9" t="n"/>
      <c r="J1166" s="9" t="n"/>
      <c r="K1166" s="85" t="n">
        <v>0.9399999999999999</v>
      </c>
    </row>
    <row r="1167" ht="15" customFormat="1" customHeight="1" s="5">
      <c r="A1167" s="81" t="n">
        <v>45932</v>
      </c>
      <c r="B1167" s="82" t="n">
        <v>0.8055555555555556</v>
      </c>
      <c r="C1167" s="5" t="inlineStr">
        <is>
          <t>CO DMV</t>
        </is>
      </c>
      <c r="D1167" s="5" t="n">
        <v>1</v>
      </c>
      <c r="F1167" s="6" t="inlineStr">
        <is>
          <t>0-038-649-603</t>
        </is>
      </c>
      <c r="G1167" s="10" t="inlineStr">
        <is>
          <t>Fiesta Registration Nov '25 to Oct '26</t>
        </is>
      </c>
      <c r="H1167" s="9" t="inlineStr">
        <is>
          <t>Emissions - Program Area County</t>
        </is>
      </c>
      <c r="I1167" s="9" t="n"/>
      <c r="J1167" s="9" t="n"/>
      <c r="K1167" s="85" t="n">
        <v>0.7</v>
      </c>
    </row>
    <row r="1168" ht="15" customFormat="1" customHeight="1" s="5">
      <c r="A1168" s="81" t="n">
        <v>45932</v>
      </c>
      <c r="B1168" s="82" t="n">
        <v>0.8055555555555556</v>
      </c>
      <c r="C1168" s="5" t="inlineStr">
        <is>
          <t>CO DMV</t>
        </is>
      </c>
      <c r="D1168" s="5" t="n">
        <v>1</v>
      </c>
      <c r="F1168" s="6" t="inlineStr">
        <is>
          <t>0-038-649-603</t>
        </is>
      </c>
      <c r="G1168" s="10" t="inlineStr">
        <is>
          <t>Fiesta Registration Nov '25 to Oct '26</t>
        </is>
      </c>
      <c r="H1168" s="9" t="inlineStr">
        <is>
          <t>Emissions - Statewide Air Account</t>
        </is>
      </c>
      <c r="I1168" s="9" t="n"/>
      <c r="J1168" s="9" t="n"/>
      <c r="K1168" s="85" t="n">
        <v>0.5</v>
      </c>
    </row>
    <row r="1169" ht="15" customFormat="1" customHeight="1" s="5">
      <c r="A1169" s="81" t="n">
        <v>45932</v>
      </c>
      <c r="B1169" s="82" t="n">
        <v>0.8055555555555556</v>
      </c>
      <c r="C1169" s="5" t="inlineStr">
        <is>
          <t>CO DMV</t>
        </is>
      </c>
      <c r="D1169" s="5" t="n">
        <v>1</v>
      </c>
      <c r="F1169" s="6" t="inlineStr">
        <is>
          <t>0-038-649-603</t>
        </is>
      </c>
      <c r="G1169" s="10" t="inlineStr">
        <is>
          <t>Fiesta Registration Nov '25 to Oct '26</t>
        </is>
      </c>
      <c r="H1169" s="9" t="inlineStr">
        <is>
          <t>Insurance Fee</t>
        </is>
      </c>
      <c r="I1169" s="9" t="n"/>
      <c r="J1169" s="9" t="n"/>
      <c r="K1169" s="85" t="n">
        <v>0.5</v>
      </c>
    </row>
    <row r="1170" ht="15" customFormat="1" customHeight="1" s="5">
      <c r="A1170" s="81" t="n">
        <v>45932</v>
      </c>
      <c r="B1170" s="82" t="n">
        <v>0.8055555555555556</v>
      </c>
      <c r="C1170" s="5" t="inlineStr">
        <is>
          <t>CO DMV</t>
        </is>
      </c>
      <c r="D1170" s="5" t="n">
        <v>1</v>
      </c>
      <c r="F1170" s="6" t="inlineStr">
        <is>
          <t>0-038-649-603</t>
        </is>
      </c>
      <c r="G1170" s="10" t="inlineStr">
        <is>
          <t>Fiesta Registration Nov '25 to Oct '26</t>
        </is>
      </c>
      <c r="H1170" s="9" t="inlineStr">
        <is>
          <t>Motorist Insurance Database Fee</t>
        </is>
      </c>
      <c r="I1170" s="9" t="n"/>
      <c r="J1170" s="9" t="n"/>
      <c r="K1170" s="85" t="n">
        <v>0.1</v>
      </c>
    </row>
    <row r="1171" ht="15" customFormat="1" customHeight="1" s="5">
      <c r="A1171" s="81" t="n">
        <v>45932</v>
      </c>
      <c r="B1171" s="82" t="n">
        <v>0.8055555555555556</v>
      </c>
      <c r="C1171" s="5" t="inlineStr">
        <is>
          <t>CO DMV</t>
        </is>
      </c>
      <c r="D1171" s="5" t="n">
        <v>1</v>
      </c>
      <c r="F1171" s="6" t="inlineStr">
        <is>
          <t>0-038-649-603</t>
        </is>
      </c>
      <c r="G1171" s="10" t="inlineStr">
        <is>
          <t>Fiesta Registration Nov '25 to Oct '26</t>
        </is>
      </c>
      <c r="H1171" s="9" t="inlineStr">
        <is>
          <t>Parks Pass Fee</t>
        </is>
      </c>
      <c r="I1171" s="9" t="n"/>
      <c r="J1171" s="9" t="n"/>
      <c r="K1171" s="85" t="n">
        <v>0</v>
      </c>
    </row>
    <row r="1172" ht="15" customFormat="1" customHeight="1" s="5">
      <c r="A1172" s="81" t="n">
        <v>45932</v>
      </c>
      <c r="B1172" s="82" t="n">
        <v>0.6701388888888888</v>
      </c>
      <c r="C1172" s="5" t="inlineStr">
        <is>
          <t>Venmo</t>
        </is>
      </c>
      <c r="D1172" s="5" t="n">
        <v>1</v>
      </c>
      <c r="F1172" s="6" t="inlineStr">
        <is>
          <t>4434844832272261295</t>
        </is>
      </c>
      <c r="G1172" s="10" t="n"/>
      <c r="H1172" s="9" t="inlineStr">
        <is>
          <t>Dolsot Sale Facebook Marketplace (Natalie Nguyen)</t>
        </is>
      </c>
      <c r="I1172" s="9" t="n">
        <v>1</v>
      </c>
      <c r="J1172" s="9" t="inlineStr">
        <is>
          <t>cnt</t>
        </is>
      </c>
      <c r="K1172" s="9" t="n">
        <v>-30</v>
      </c>
    </row>
    <row r="1173" ht="15" customFormat="1" customHeight="1" s="5">
      <c r="A1173" s="81" t="n">
        <v>45932</v>
      </c>
      <c r="B1173" s="82" t="n">
        <v>0.3861111111111111</v>
      </c>
      <c r="C1173" s="5" t="inlineStr">
        <is>
          <t>Tous Les Jours</t>
        </is>
      </c>
      <c r="E1173" s="5" t="n">
        <v>1</v>
      </c>
      <c r="F1173" s="6" t="inlineStr">
        <is>
          <t>01-01061032</t>
        </is>
      </c>
      <c r="G1173" s="10" t="n"/>
      <c r="H1173" s="9" t="inlineStr">
        <is>
          <t>Yuzu Pie</t>
        </is>
      </c>
      <c r="I1173" s="9" t="n">
        <v>1</v>
      </c>
      <c r="J1173" s="9" t="inlineStr">
        <is>
          <t>cnt</t>
        </is>
      </c>
      <c r="K1173" s="9" t="n">
        <v>3.35</v>
      </c>
    </row>
    <row r="1174" ht="15" customFormat="1" customHeight="1" s="5">
      <c r="A1174" s="81" t="n">
        <v>45932</v>
      </c>
      <c r="B1174" s="82" t="n">
        <v>0.3861111111111111</v>
      </c>
      <c r="C1174" s="5" t="inlineStr">
        <is>
          <t>Tous Les Jours</t>
        </is>
      </c>
      <c r="E1174" s="5" t="n">
        <v>1</v>
      </c>
      <c r="F1174" s="6" t="inlineStr">
        <is>
          <t>01-01061032</t>
        </is>
      </c>
      <c r="G1174" s="10" t="n"/>
      <c r="H1174" s="9" t="inlineStr">
        <is>
          <t>Spinach Feta Danish</t>
        </is>
      </c>
      <c r="I1174" s="9" t="n">
        <v>1</v>
      </c>
      <c r="J1174" s="9" t="inlineStr">
        <is>
          <t>cnt</t>
        </is>
      </c>
      <c r="K1174" s="9" t="n">
        <v>3.9</v>
      </c>
    </row>
    <row r="1175" ht="15" customFormat="1" customHeight="1" s="5">
      <c r="A1175" s="81" t="n">
        <v>45932</v>
      </c>
      <c r="B1175" s="82" t="n">
        <v>0.3861111111111111</v>
      </c>
      <c r="C1175" s="5" t="inlineStr">
        <is>
          <t>Tous Les Jours</t>
        </is>
      </c>
      <c r="E1175" s="5" t="n">
        <v>1</v>
      </c>
      <c r="F1175" s="6" t="inlineStr">
        <is>
          <t>01-01061032</t>
        </is>
      </c>
      <c r="G1175" s="10" t="n"/>
      <c r="H1175" s="9" t="inlineStr">
        <is>
          <t>Sweet Frank Roll</t>
        </is>
      </c>
      <c r="I1175" s="9" t="n">
        <v>1</v>
      </c>
      <c r="J1175" s="9" t="inlineStr">
        <is>
          <t>cnt</t>
        </is>
      </c>
      <c r="K1175" s="9" t="n">
        <v>3.8</v>
      </c>
    </row>
    <row r="1176" ht="15" customFormat="1" customHeight="1" s="5">
      <c r="A1176" s="81" t="n">
        <v>45932</v>
      </c>
      <c r="B1176" s="82" t="n">
        <v>0.3861111111111111</v>
      </c>
      <c r="C1176" s="5" t="inlineStr">
        <is>
          <t>Tous Les Jours</t>
        </is>
      </c>
      <c r="E1176" s="5" t="n">
        <v>1</v>
      </c>
      <c r="F1176" s="6" t="inlineStr">
        <is>
          <t>01-01061032</t>
        </is>
      </c>
      <c r="G1176" s="10" t="n"/>
      <c r="H1176" s="9" t="inlineStr">
        <is>
          <t>Guava Danish</t>
        </is>
      </c>
      <c r="I1176" s="9" t="n">
        <v>1</v>
      </c>
      <c r="J1176" s="9" t="inlineStr">
        <is>
          <t>cnt</t>
        </is>
      </c>
      <c r="K1176" s="9" t="n">
        <v>3.45</v>
      </c>
    </row>
    <row r="1177" ht="15" customFormat="1" customHeight="1" s="5">
      <c r="A1177" s="81" t="n">
        <v>45932</v>
      </c>
      <c r="B1177" s="82" t="n">
        <v>0.3861111111111111</v>
      </c>
      <c r="C1177" s="5" t="inlineStr">
        <is>
          <t>Tous Les Jours</t>
        </is>
      </c>
      <c r="E1177" s="5" t="n">
        <v>1</v>
      </c>
      <c r="F1177" s="6" t="inlineStr">
        <is>
          <t>01-01061032</t>
        </is>
      </c>
      <c r="G1177" s="10" t="n"/>
      <c r="H1177" s="9" t="inlineStr">
        <is>
          <t>Cream Cheese Walnut (pre-packaged}</t>
        </is>
      </c>
      <c r="I1177" s="9" t="n">
        <v>1</v>
      </c>
      <c r="J1177" s="9" t="inlineStr">
        <is>
          <t>cnt</t>
        </is>
      </c>
      <c r="K1177" s="9" t="n">
        <v>3.25</v>
      </c>
    </row>
    <row r="1178" ht="15" customFormat="1" customHeight="1" s="5">
      <c r="A1178" s="81" t="n">
        <v>45932</v>
      </c>
      <c r="B1178" s="82" t="n">
        <v>0.3861111111111111</v>
      </c>
      <c r="C1178" s="5" t="inlineStr">
        <is>
          <t>Tous Les Jours</t>
        </is>
      </c>
      <c r="E1178" s="5" t="n">
        <v>1</v>
      </c>
      <c r="F1178" s="6" t="inlineStr">
        <is>
          <t>01-01061032</t>
        </is>
      </c>
      <c r="G1178" s="10" t="n"/>
      <c r="H1178" s="9" t="inlineStr">
        <is>
          <t>Ube Latte 12 oz</t>
        </is>
      </c>
      <c r="I1178" s="9" t="n">
        <v>12</v>
      </c>
      <c r="J1178" s="9" t="inlineStr">
        <is>
          <t>oz</t>
        </is>
      </c>
      <c r="K1178" s="9" t="n">
        <v>4.45</v>
      </c>
    </row>
    <row r="1179" ht="15" customFormat="1" customHeight="1" s="5">
      <c r="A1179" s="81" t="n">
        <v>45932</v>
      </c>
      <c r="B1179" s="82" t="n">
        <v>0.3861111111111111</v>
      </c>
      <c r="C1179" s="5" t="inlineStr">
        <is>
          <t>Tous Les Jours</t>
        </is>
      </c>
      <c r="E1179" s="5" t="n">
        <v>1</v>
      </c>
      <c r="F1179" s="6" t="inlineStr">
        <is>
          <t>01-01061032</t>
        </is>
      </c>
      <c r="G1179" s="10" t="n"/>
      <c r="H1179" s="9" t="inlineStr">
        <is>
          <t>Tax</t>
        </is>
      </c>
      <c r="I1179" s="9" t="n">
        <v>6</v>
      </c>
      <c r="J1179" s="9" t="inlineStr">
        <is>
          <t>cnt</t>
        </is>
      </c>
      <c r="K1179" s="9" t="n">
        <v>1.78</v>
      </c>
    </row>
    <row r="1180" ht="15" customFormat="1" customHeight="1" s="5">
      <c r="A1180" s="81" t="n">
        <v>45932</v>
      </c>
      <c r="B1180" s="82" t="n">
        <v>0.3861111111111111</v>
      </c>
      <c r="C1180" s="5" t="inlineStr">
        <is>
          <t>Tous Les Jours</t>
        </is>
      </c>
      <c r="E1180" s="5" t="n">
        <v>1</v>
      </c>
      <c r="F1180" s="6" t="inlineStr">
        <is>
          <t>01-01061032</t>
        </is>
      </c>
      <c r="G1180" s="10" t="n"/>
      <c r="H1180" s="9" t="inlineStr">
        <is>
          <t>Garlic Cream Cheese Bread</t>
        </is>
      </c>
      <c r="I1180" s="9" t="n">
        <v>1</v>
      </c>
      <c r="J1180" s="9" t="inlineStr">
        <is>
          <t>cnt</t>
        </is>
      </c>
      <c r="K1180" s="9" t="n">
        <v>5.75</v>
      </c>
    </row>
    <row r="1181" ht="15" customFormat="1" customHeight="1" s="5">
      <c r="A1181" s="81" t="n">
        <v>45932</v>
      </c>
      <c r="B1181" s="82" t="n">
        <v>0.3861111111111111</v>
      </c>
      <c r="C1181" s="5" t="inlineStr">
        <is>
          <t>Tous Les Jours</t>
        </is>
      </c>
      <c r="E1181" s="5" t="n">
        <v>1</v>
      </c>
      <c r="F1181" s="6" t="inlineStr">
        <is>
          <t>01-01061032</t>
        </is>
      </c>
      <c r="G1181" s="10" t="n"/>
      <c r="H1181" s="9" t="inlineStr">
        <is>
          <t>Tax</t>
        </is>
      </c>
      <c r="I1181" s="9" t="n">
        <v>1</v>
      </c>
      <c r="J1181" s="9" t="inlineStr">
        <is>
          <t>cnt</t>
        </is>
      </c>
      <c r="K1181" s="9" t="n">
        <v>0.46</v>
      </c>
    </row>
    <row r="1182" ht="15" customFormat="1" customHeight="1" s="5">
      <c r="A1182" s="81" t="n">
        <v>45932</v>
      </c>
      <c r="B1182" s="82" t="n">
        <v>0.3861111111111111</v>
      </c>
      <c r="C1182" s="5" t="inlineStr">
        <is>
          <t>Tous Les Jours</t>
        </is>
      </c>
      <c r="E1182" s="5" t="n">
        <v>1</v>
      </c>
      <c r="F1182" s="6" t="inlineStr">
        <is>
          <t>01-01061032</t>
        </is>
      </c>
      <c r="G1182" s="10" t="n"/>
      <c r="H1182" s="9" t="inlineStr">
        <is>
          <t>**GIFT** Lauren Bugbee Treat!</t>
        </is>
      </c>
      <c r="I1182" s="9" t="n">
        <v>1</v>
      </c>
      <c r="J1182" s="9" t="inlineStr">
        <is>
          <t>cnt</t>
        </is>
      </c>
      <c r="K1182" s="9" t="n">
        <v>-6.21</v>
      </c>
    </row>
    <row r="1183" ht="15" customFormat="1" customHeight="1" s="5">
      <c r="A1183" s="81" t="n">
        <v>45932</v>
      </c>
      <c r="B1183" s="82" t="n">
        <v>0.2916666666666667</v>
      </c>
      <c r="C1183" s="5" t="inlineStr">
        <is>
          <t>US Tax Witholding</t>
        </is>
      </c>
      <c r="D1183" s="5" t="n">
        <v>1</v>
      </c>
      <c r="F1183" s="6" t="inlineStr">
        <is>
          <t>RTX_Paycheck_25_46</t>
        </is>
      </c>
      <c r="G1183" s="7" t="n"/>
      <c r="H1183" s="9" t="inlineStr">
        <is>
          <t>Federal Income Tax</t>
        </is>
      </c>
      <c r="I1183" s="9" t="n"/>
      <c r="J1183" s="9" t="n"/>
      <c r="K1183" s="9" t="n">
        <v>333.69</v>
      </c>
    </row>
    <row r="1184" ht="15" customFormat="1" customHeight="1" s="5">
      <c r="A1184" s="81" t="n">
        <v>45932</v>
      </c>
      <c r="B1184" s="82" t="n">
        <v>0.2916666666666667</v>
      </c>
      <c r="C1184" s="5" t="inlineStr">
        <is>
          <t>US Tax Witholding</t>
        </is>
      </c>
      <c r="D1184" s="5" t="n">
        <v>1</v>
      </c>
      <c r="F1184" s="6" t="inlineStr">
        <is>
          <t>RTX_Paycheck_25_46</t>
        </is>
      </c>
      <c r="G1184" s="7" t="n"/>
      <c r="H1184" s="9" t="inlineStr">
        <is>
          <t>Social Security Tax</t>
        </is>
      </c>
      <c r="I1184" s="9" t="n"/>
      <c r="J1184" s="9" t="n"/>
      <c r="K1184" s="9" t="n">
        <v>277.96</v>
      </c>
    </row>
    <row r="1185" ht="15" customFormat="1" customHeight="1" s="5">
      <c r="A1185" s="81" t="n">
        <v>45932</v>
      </c>
      <c r="B1185" s="82" t="n">
        <v>0.2916666666666667</v>
      </c>
      <c r="C1185" s="5" t="inlineStr">
        <is>
          <t>US Tax Witholding</t>
        </is>
      </c>
      <c r="D1185" s="5" t="n">
        <v>1</v>
      </c>
      <c r="F1185" s="6" t="inlineStr">
        <is>
          <t>RTX_Paycheck_25_46</t>
        </is>
      </c>
      <c r="G1185" s="7" t="n"/>
      <c r="H1185" s="9" t="inlineStr">
        <is>
          <t>Medicare Tax</t>
        </is>
      </c>
      <c r="I1185" s="9" t="n"/>
      <c r="J1185" s="9" t="n"/>
      <c r="K1185" s="9" t="n">
        <v>65</v>
      </c>
    </row>
    <row r="1186" ht="15" customFormat="1" customHeight="1" s="5">
      <c r="A1186" s="81" t="n">
        <v>45932</v>
      </c>
      <c r="B1186" s="82" t="n">
        <v>0.2916666666666667</v>
      </c>
      <c r="C1186" s="5" t="inlineStr">
        <is>
          <t>Raytheon</t>
        </is>
      </c>
      <c r="D1186" s="5" t="n">
        <v>1</v>
      </c>
      <c r="F1186" s="6" t="inlineStr">
        <is>
          <t>RTX_Paycheck_25_46</t>
        </is>
      </c>
      <c r="G1186" s="17" t="inlineStr">
        <is>
          <t>XXXX3523</t>
        </is>
      </c>
      <c r="H1186" s="9" t="inlineStr">
        <is>
          <t>Net Paycheck [Sep 13 - Sep 26]</t>
        </is>
      </c>
      <c r="I1186" s="9" t="n"/>
      <c r="J1186" s="9" t="n"/>
      <c r="K1186" s="9" t="n">
        <v>2638.86</v>
      </c>
    </row>
    <row r="1187" ht="15" customFormat="1" customHeight="1" s="5">
      <c r="A1187" s="81" t="n">
        <v>45932</v>
      </c>
      <c r="B1187" s="82" t="n">
        <v>0.2916666666666667</v>
      </c>
      <c r="C1187" s="5" t="inlineStr">
        <is>
          <t>Raytheon</t>
        </is>
      </c>
      <c r="D1187" s="5" t="n">
        <v>1</v>
      </c>
      <c r="F1187" s="6" t="inlineStr">
        <is>
          <t>RTX_Paycheck_25_46</t>
        </is>
      </c>
      <c r="G1187" s="7" t="n"/>
      <c r="H1187" s="9" t="inlineStr">
        <is>
          <t>RTX Direct Deposit -- cancelling offset</t>
        </is>
      </c>
      <c r="I1187" s="9" t="n"/>
      <c r="J1187" s="9" t="n"/>
      <c r="K1187" s="9" t="n">
        <v>-2638.87</v>
      </c>
    </row>
    <row r="1188" ht="15" customFormat="1" customHeight="1" s="5">
      <c r="A1188" s="81" t="n">
        <v>45932</v>
      </c>
      <c r="B1188" s="82" t="n">
        <v>0.2916666666666667</v>
      </c>
      <c r="C1188" s="5" t="inlineStr">
        <is>
          <t>Raytheon</t>
        </is>
      </c>
      <c r="D1188" s="5" t="n">
        <v>1</v>
      </c>
      <c r="F1188" s="6" t="inlineStr">
        <is>
          <t>RTX_Paycheck_25_46</t>
        </is>
      </c>
      <c r="G1188" s="7" t="n"/>
      <c r="H1188" s="9" t="inlineStr">
        <is>
          <t>Gross Paycheck [Sep 13 - Sep 26] ($52.5121/hr)</t>
        </is>
      </c>
      <c r="I1188" s="9" t="n"/>
      <c r="J1188" s="9" t="n"/>
      <c r="K1188" s="9" t="n">
        <v>-4912.59</v>
      </c>
    </row>
    <row r="1189" ht="15" customFormat="1" customHeight="1" s="5">
      <c r="A1189" s="81" t="n">
        <v>45932</v>
      </c>
      <c r="B1189" s="82" t="n">
        <v>0.2916666666666667</v>
      </c>
      <c r="C1189" s="5" t="inlineStr">
        <is>
          <t>Raytheon</t>
        </is>
      </c>
      <c r="D1189" s="5" t="n">
        <v>1</v>
      </c>
      <c r="F1189" s="6" t="inlineStr">
        <is>
          <t>RTX_Paycheck_25_46</t>
        </is>
      </c>
      <c r="G1189" s="7" t="n"/>
      <c r="H1189" s="9" t="inlineStr">
        <is>
          <t>Ed(ucation) Assi(tance) Offset</t>
        </is>
      </c>
      <c r="I1189" s="9" t="n"/>
      <c r="J1189" s="9" t="n"/>
      <c r="K1189" s="9" t="n">
        <v>711.62</v>
      </c>
    </row>
    <row r="1190" ht="15" customFormat="1" customHeight="1" s="5">
      <c r="A1190" s="81" t="n">
        <v>45932</v>
      </c>
      <c r="B1190" s="82" t="n">
        <v>0.2916666666666667</v>
      </c>
      <c r="C1190" s="5" t="inlineStr">
        <is>
          <t>Parents Gift Account</t>
        </is>
      </c>
      <c r="D1190" s="5" t="n">
        <v>1</v>
      </c>
      <c r="F1190" s="6" t="inlineStr">
        <is>
          <t>RTX_Paycheck_25_46</t>
        </is>
      </c>
      <c r="G1190" s="17" t="inlineStr">
        <is>
          <t>XXXX7146</t>
        </is>
      </c>
      <c r="H1190" s="9" t="inlineStr">
        <is>
          <t>Contribution to Parents Gift Account</t>
        </is>
      </c>
      <c r="I1190" s="9" t="n"/>
      <c r="J1190" s="9" t="n"/>
      <c r="K1190" s="9" t="n">
        <v>0.01</v>
      </c>
      <c r="Q1190" s="86" t="n"/>
    </row>
    <row r="1191" ht="15" customFormat="1" customHeight="1" s="5">
      <c r="A1191" s="81" t="n">
        <v>45932</v>
      </c>
      <c r="B1191" s="82" t="n">
        <v>0.2916666666666667</v>
      </c>
      <c r="C1191" s="5" t="inlineStr">
        <is>
          <t>HSA</t>
        </is>
      </c>
      <c r="D1191" s="5" t="n">
        <v>1</v>
      </c>
      <c r="F1191" s="6" t="inlineStr">
        <is>
          <t>RTX_Paycheck_25_46</t>
        </is>
      </c>
      <c r="G1191" s="7" t="n"/>
      <c r="H1191" s="9" t="inlineStr">
        <is>
          <t>Personal contribution to HSA</t>
        </is>
      </c>
      <c r="I1191" s="9" t="n"/>
      <c r="J1191" s="9" t="n"/>
      <c r="K1191" s="9" t="n">
        <v>295.47</v>
      </c>
    </row>
    <row r="1192" ht="15" customFormat="1" customHeight="1" s="5">
      <c r="A1192" s="81" t="n">
        <v>45932</v>
      </c>
      <c r="B1192" s="82" t="n">
        <v>0.2916666666666667</v>
      </c>
      <c r="C1192" s="5" t="inlineStr">
        <is>
          <t>Delta Dental</t>
        </is>
      </c>
      <c r="D1192" s="5" t="n">
        <v>1</v>
      </c>
      <c r="F1192" s="6" t="inlineStr">
        <is>
          <t>RTX_Paycheck_25_46</t>
        </is>
      </c>
      <c r="G1192" s="10" t="n"/>
      <c r="H1192" s="9" t="inlineStr">
        <is>
          <t>Dental Insurance</t>
        </is>
      </c>
      <c r="I1192" s="9" t="n"/>
      <c r="J1192" s="9" t="n"/>
      <c r="K1192" s="9" t="n">
        <v>4.26</v>
      </c>
    </row>
    <row r="1193" ht="15" customFormat="1" customHeight="1" s="5">
      <c r="A1193" s="81" t="n">
        <v>45932</v>
      </c>
      <c r="B1193" s="82" t="n">
        <v>0.2916666666666667</v>
      </c>
      <c r="C1193" s="5" t="inlineStr">
        <is>
          <t>CO Tax Witholding</t>
        </is>
      </c>
      <c r="D1193" s="5" t="n">
        <v>1</v>
      </c>
      <c r="F1193" s="6" t="inlineStr">
        <is>
          <t>RTX_Paycheck_25_46</t>
        </is>
      </c>
      <c r="G1193" s="7" t="n"/>
      <c r="H1193" s="9" t="inlineStr">
        <is>
          <t>CO State Income Tax</t>
        </is>
      </c>
      <c r="I1193" s="9" t="n"/>
      <c r="J1193" s="9" t="n"/>
      <c r="K1193" s="9" t="n">
        <v>180.27</v>
      </c>
    </row>
    <row r="1194" ht="15" customFormat="1" customHeight="1" s="5">
      <c r="A1194" s="81" t="n">
        <v>45932</v>
      </c>
      <c r="B1194" s="82" t="n">
        <v>0.2916666666666667</v>
      </c>
      <c r="C1194" s="5" t="inlineStr">
        <is>
          <t>CO Tax Witholding</t>
        </is>
      </c>
      <c r="D1194" s="5" t="n">
        <v>1</v>
      </c>
      <c r="F1194" s="6" t="inlineStr">
        <is>
          <t>RTX_Paycheck_25_46</t>
        </is>
      </c>
      <c r="G1194" s="7" t="n"/>
      <c r="H1194" s="9" t="inlineStr">
        <is>
          <t>CO Paid Family Leave Insurance</t>
        </is>
      </c>
      <c r="I1194" s="9" t="n"/>
      <c r="J1194" s="9" t="n"/>
      <c r="K1194" s="9" t="n">
        <v>22.11</v>
      </c>
    </row>
    <row r="1195" ht="15" customFormat="1" customHeight="1" s="5">
      <c r="A1195" s="81" t="n">
        <v>45932</v>
      </c>
      <c r="B1195" s="82" t="n">
        <v>0.2916666666666667</v>
      </c>
      <c r="C1195" s="5" t="inlineStr">
        <is>
          <t>Anthem BcBs</t>
        </is>
      </c>
      <c r="D1195" s="5" t="n">
        <v>1</v>
      </c>
      <c r="F1195" s="6" t="inlineStr">
        <is>
          <t>RTX_Paycheck_25_46</t>
        </is>
      </c>
      <c r="G1195" s="7" t="n"/>
      <c r="H1195" s="9" t="inlineStr">
        <is>
          <t>Medical Insurance</t>
        </is>
      </c>
      <c r="I1195" s="9" t="n"/>
      <c r="J1195" s="9" t="n"/>
      <c r="K1195" s="9" t="n">
        <v>131.28</v>
      </c>
    </row>
    <row r="1196" ht="15" customFormat="1" customHeight="1" s="5">
      <c r="A1196" s="81" t="n">
        <v>45932</v>
      </c>
      <c r="B1196" s="82" t="n">
        <v>0.2916666666666667</v>
      </c>
      <c r="C1196" s="5" t="inlineStr">
        <is>
          <t>Alight</t>
        </is>
      </c>
      <c r="D1196" s="5" t="n">
        <v>1</v>
      </c>
      <c r="F1196" s="6" t="inlineStr">
        <is>
          <t>RTX_Paycheck_25_46</t>
        </is>
      </c>
      <c r="G1196" s="7" t="n"/>
      <c r="H1196" s="9" t="inlineStr">
        <is>
          <t>401k Basic -- Traditional</t>
        </is>
      </c>
      <c r="I1196" s="9" t="n"/>
      <c r="J1196" s="9" t="n"/>
      <c r="K1196" s="9" t="n">
        <v>0</v>
      </c>
    </row>
    <row r="1197" ht="15" customFormat="1" customHeight="1" s="5">
      <c r="A1197" s="81" t="n">
        <v>45932</v>
      </c>
      <c r="B1197" s="82" t="n">
        <v>0.2916666666666667</v>
      </c>
      <c r="C1197" s="5" t="inlineStr">
        <is>
          <t>Alight</t>
        </is>
      </c>
      <c r="D1197" s="5" t="n">
        <v>1</v>
      </c>
      <c r="F1197" s="6" t="inlineStr">
        <is>
          <t>RTX_Paycheck_25_46</t>
        </is>
      </c>
      <c r="G1197" s="7" t="n"/>
      <c r="H1197" s="9" t="inlineStr">
        <is>
          <t>Roth 401k Basic</t>
        </is>
      </c>
      <c r="I1197" s="9" t="n"/>
      <c r="J1197" s="9" t="n"/>
      <c r="K1197" s="9" t="n">
        <v>252.06</v>
      </c>
    </row>
    <row r="1198" ht="15" customFormat="1" customHeight="1" s="5">
      <c r="A1198" s="81" t="n">
        <v>45931</v>
      </c>
      <c r="B1198" s="82" t="n">
        <v>0.8319444444444445</v>
      </c>
      <c r="C1198" s="5" t="inlineStr">
        <is>
          <t>Walmart</t>
        </is>
      </c>
      <c r="D1198" s="5" t="n">
        <v>1</v>
      </c>
      <c r="F1198" s="6" t="inlineStr">
        <is>
          <t>4434237480813042976</t>
        </is>
      </c>
      <c r="G1198" s="10" t="n"/>
      <c r="H1198" s="9" t="inlineStr">
        <is>
          <t>"Walmart Weighted Goods Settlement Administrator paid you"</t>
        </is>
      </c>
      <c r="I1198" s="9" t="n">
        <v>1</v>
      </c>
      <c r="J1198" s="9" t="inlineStr">
        <is>
          <t>cnt</t>
        </is>
      </c>
      <c r="K1198" s="9" t="n">
        <v>-25.97</v>
      </c>
    </row>
    <row r="1199" ht="15" customFormat="1" customHeight="1" s="5">
      <c r="A1199" s="81" t="n">
        <v>45931</v>
      </c>
      <c r="B1199" s="82" t="n">
        <v>0.6402777777777777</v>
      </c>
      <c r="C1199" s="5" t="inlineStr">
        <is>
          <t>Tyndall Green</t>
        </is>
      </c>
      <c r="D1199" s="5" t="n">
        <v>1</v>
      </c>
      <c r="F1199" s="6" t="inlineStr">
        <is>
          <t>398235313</t>
        </is>
      </c>
      <c r="G1199" s="15" t="n"/>
      <c r="H1199" s="9" t="inlineStr">
        <is>
          <t>HOA Tyndall Green September Payment</t>
        </is>
      </c>
      <c r="I1199" s="9" t="n"/>
      <c r="J1199" s="9" t="n"/>
      <c r="K1199" s="9" t="n">
        <v>331.12</v>
      </c>
    </row>
    <row r="1200" ht="15" customFormat="1" customHeight="1" s="5">
      <c r="A1200" s="81" t="n">
        <v>45931</v>
      </c>
      <c r="B1200" s="82" t="n">
        <v>0.5125</v>
      </c>
      <c r="C1200" s="5" t="inlineStr">
        <is>
          <t>Accelerate Health</t>
        </is>
      </c>
      <c r="D1200" s="5" t="n">
        <v>1</v>
      </c>
      <c r="F1200" s="6" t="inlineStr">
        <is>
          <t>1001181754</t>
        </is>
      </c>
      <c r="G1200" s="15" t="inlineStr">
        <is>
          <t>2025268BC9419</t>
        </is>
      </c>
      <c r="H1200" s="9" t="inlineStr">
        <is>
          <t>9/23 Lydia Chiro 20 minute follow up Dr. Kelly</t>
        </is>
      </c>
      <c r="I1200" s="9" t="n"/>
      <c r="J1200" s="9" t="n"/>
      <c r="K1200" s="5" t="n">
        <v>103.88</v>
      </c>
    </row>
    <row r="1201" ht="15" customFormat="1" customHeight="1" s="5">
      <c r="A1201" s="81" t="n">
        <v>45931</v>
      </c>
      <c r="B1201" s="82" t="n">
        <v>0.5125</v>
      </c>
      <c r="C1201" s="5" t="inlineStr">
        <is>
          <t>Accelerate Health</t>
        </is>
      </c>
      <c r="D1201" s="5" t="n">
        <v>1</v>
      </c>
      <c r="F1201" s="6" t="inlineStr">
        <is>
          <t>1001181754</t>
        </is>
      </c>
      <c r="G1201" s="15" t="inlineStr">
        <is>
          <t>2025268BC9419</t>
        </is>
      </c>
      <c r="H1201" s="9" t="inlineStr">
        <is>
          <t>9/23 charged more but didn't get massage</t>
        </is>
      </c>
      <c r="I1201" s="9" t="n"/>
      <c r="J1201" s="9" t="n"/>
      <c r="K1201" s="5" t="n">
        <v>31.86</v>
      </c>
    </row>
    <row r="1202" ht="15" customFormat="1" customHeight="1" s="5">
      <c r="A1202" s="81" t="n">
        <v>45931</v>
      </c>
      <c r="B1202" s="82" t="n">
        <v>0.5125</v>
      </c>
      <c r="C1202" s="5" t="inlineStr">
        <is>
          <t>Accelerate Health</t>
        </is>
      </c>
      <c r="D1202" s="5" t="n">
        <v>1</v>
      </c>
      <c r="F1202" s="6" t="inlineStr">
        <is>
          <t>1001181754</t>
        </is>
      </c>
      <c r="G1202" s="15" t="inlineStr">
        <is>
          <t>2025263BD1651</t>
        </is>
      </c>
      <c r="H1202" s="9" t="inlineStr">
        <is>
          <t>9/19 Lydia Spot massage, Michelle</t>
        </is>
      </c>
      <c r="K1202" s="5" t="n">
        <v>31.86</v>
      </c>
    </row>
    <row r="1203" ht="15" customFormat="1" customHeight="1" s="5">
      <c r="A1203" s="81" t="n">
        <v>45931</v>
      </c>
      <c r="B1203" s="82" t="n">
        <v>0.5125</v>
      </c>
      <c r="C1203" s="5" t="inlineStr">
        <is>
          <t>Accelerate Health</t>
        </is>
      </c>
      <c r="D1203" s="5" t="n">
        <v>1</v>
      </c>
      <c r="F1203" s="6" t="inlineStr">
        <is>
          <t>1001181754</t>
        </is>
      </c>
      <c r="G1203" s="15" t="inlineStr">
        <is>
          <t>2025263BD1651</t>
        </is>
      </c>
      <c r="H1203" s="9" t="inlineStr">
        <is>
          <t>9/19 Lydia Chiro 20 minute follow up Dr. Kelly</t>
        </is>
      </c>
      <c r="K1203" s="5" t="n">
        <v>103.88</v>
      </c>
    </row>
    <row r="1204" ht="15" customFormat="1" customHeight="1" s="5">
      <c r="A1204" s="81" t="n">
        <v>45931</v>
      </c>
      <c r="B1204" s="82" t="n">
        <v>0.4819444444444445</v>
      </c>
      <c r="C1204" s="5" t="inlineStr">
        <is>
          <t>House Denver</t>
        </is>
      </c>
      <c r="D1204" s="5" t="n">
        <v>1</v>
      </c>
      <c r="F1204" s="6" t="n">
        <v>53852722946</v>
      </c>
      <c r="G1204" s="10" t="n"/>
      <c r="H1204" s="9" t="inlineStr">
        <is>
          <t>Monthly overflow chunk of 2025 tithe bunched into 2024. This transaction was actually made on 12/31/25, but it is logged against 2025 budget.</t>
        </is>
      </c>
      <c r="I1204" s="9" t="n"/>
      <c r="J1204" s="9" t="n"/>
      <c r="K1204" s="9">
        <f>(9500-8750.43)/12</f>
        <v/>
      </c>
    </row>
    <row r="1205" ht="15" customFormat="1" customHeight="1" s="5">
      <c r="A1205" s="81" t="n">
        <v>45931</v>
      </c>
      <c r="B1205" s="82" t="n">
        <v>0.4819444444444445</v>
      </c>
      <c r="C1205" s="5" t="inlineStr">
        <is>
          <t>House Denver</t>
        </is>
      </c>
      <c r="D1205" s="5" t="n">
        <v>1</v>
      </c>
      <c r="F1205" s="6" t="n">
        <v>53852722946</v>
      </c>
      <c r="G1205" s="10" t="n"/>
      <c r="H1205" s="9" t="inlineStr">
        <is>
          <t>Monthly chunk of 2025 tithe bunched into 2024. This transaction was actually made on 12/31/25, but it is logged against 2025 budget.</t>
        </is>
      </c>
      <c r="I1205" s="9" t="n"/>
      <c r="J1205" s="9" t="n"/>
      <c r="K1205" s="9" t="n">
        <v>972.8682582307765</v>
      </c>
    </row>
    <row r="1206" ht="15" customFormat="1" customHeight="1" s="5">
      <c r="A1206" s="81" t="n">
        <v>45931</v>
      </c>
      <c r="B1206" s="82" t="n">
        <v>0.4298611111111111</v>
      </c>
      <c r="C1206" s="5" t="inlineStr">
        <is>
          <t>Costco</t>
        </is>
      </c>
      <c r="E1206" s="5" t="n">
        <v>1</v>
      </c>
      <c r="F1206" s="6" t="inlineStr">
        <is>
          <t>650 2 51 29</t>
        </is>
      </c>
      <c r="G1206" s="10" t="inlineStr">
        <is>
          <t>E 27003</t>
        </is>
      </c>
      <c r="H1206" s="9" t="inlineStr">
        <is>
          <t>Fresh Strawberries</t>
        </is>
      </c>
      <c r="I1206" s="9" t="n">
        <v>32</v>
      </c>
      <c r="J1206" s="9" t="inlineStr">
        <is>
          <t>oz</t>
        </is>
      </c>
      <c r="K1206" s="9" t="n">
        <v>5.49</v>
      </c>
    </row>
    <row r="1207" ht="15" customFormat="1" customHeight="1" s="5">
      <c r="A1207" s="81" t="n">
        <v>45931</v>
      </c>
      <c r="B1207" s="82" t="n">
        <v>0.4298611111111111</v>
      </c>
      <c r="C1207" s="5" t="inlineStr">
        <is>
          <t>Costco</t>
        </is>
      </c>
      <c r="E1207" s="5" t="n">
        <v>1</v>
      </c>
      <c r="F1207" s="6" t="inlineStr">
        <is>
          <t>650 2 51 29</t>
        </is>
      </c>
      <c r="G1207" s="10" t="inlineStr">
        <is>
          <t>E 898175</t>
        </is>
      </c>
      <c r="H1207" s="9" t="inlineStr">
        <is>
          <t>Wholly Guacamole Cups Classic -- 20 x 2 oz</t>
        </is>
      </c>
      <c r="I1207" s="9" t="n">
        <v>40</v>
      </c>
      <c r="J1207" s="9" t="inlineStr">
        <is>
          <t>oz</t>
        </is>
      </c>
      <c r="K1207" s="9" t="n">
        <v>11.99</v>
      </c>
    </row>
    <row r="1208" ht="15" customFormat="1" customHeight="1" s="5">
      <c r="A1208" s="81" t="n">
        <v>45931</v>
      </c>
      <c r="B1208" s="82" t="n">
        <v>0.4298611111111111</v>
      </c>
      <c r="C1208" s="5" t="inlineStr">
        <is>
          <t>Costco</t>
        </is>
      </c>
      <c r="E1208" s="5" t="n">
        <v>1</v>
      </c>
      <c r="F1208" s="6" t="inlineStr">
        <is>
          <t>650 2 51 29</t>
        </is>
      </c>
      <c r="G1208" s="15" t="inlineStr">
        <is>
          <t>800110</t>
        </is>
      </c>
      <c r="H1208" s="9" t="inlineStr">
        <is>
          <t>36 cnt soup spoons</t>
        </is>
      </c>
      <c r="I1208" s="9" t="n">
        <v>36</v>
      </c>
      <c r="J1208" s="9" t="inlineStr">
        <is>
          <t>cnt</t>
        </is>
      </c>
      <c r="K1208" s="9" t="inlineStr">
        <is>
          <t>10.99 A</t>
        </is>
      </c>
    </row>
    <row r="1209" ht="15" customFormat="1" customHeight="1" s="5">
      <c r="A1209" s="81" t="n">
        <v>45931</v>
      </c>
      <c r="B1209" s="82" t="n">
        <v>0.4298611111111111</v>
      </c>
      <c r="C1209" s="5" t="inlineStr">
        <is>
          <t>Costco</t>
        </is>
      </c>
      <c r="E1209" s="5" t="n">
        <v>1</v>
      </c>
      <c r="F1209" s="6" t="inlineStr">
        <is>
          <t>650 2 51 29</t>
        </is>
      </c>
      <c r="G1209" s="10" t="inlineStr">
        <is>
          <t>E 47825</t>
        </is>
      </c>
      <c r="H1209" s="9" t="inlineStr">
        <is>
          <t>Green Seedless Grapes</t>
        </is>
      </c>
      <c r="I1209" s="9" t="n">
        <v>3</v>
      </c>
      <c r="J1209" s="9" t="inlineStr">
        <is>
          <t>lb</t>
        </is>
      </c>
      <c r="K1209" s="9" t="n">
        <v>5.99</v>
      </c>
    </row>
    <row r="1210" ht="15" customFormat="1" customHeight="1" s="5">
      <c r="A1210" s="81" t="n">
        <v>45931</v>
      </c>
      <c r="B1210" s="82" t="n">
        <v>0.4298611111111111</v>
      </c>
      <c r="C1210" s="5" t="inlineStr">
        <is>
          <t>Costco</t>
        </is>
      </c>
      <c r="E1210" s="5" t="n">
        <v>1</v>
      </c>
      <c r="F1210" s="6" t="inlineStr">
        <is>
          <t>650 2 51 29</t>
        </is>
      </c>
      <c r="G1210" s="10" t="inlineStr">
        <is>
          <t>E 1597590</t>
        </is>
      </c>
      <c r="H1210" s="9" t="inlineStr">
        <is>
          <t>Swift Beef Marrow Bones, 4 lbs</t>
        </is>
      </c>
      <c r="I1210" s="9" t="n">
        <v>4</v>
      </c>
      <c r="J1210" s="9" t="inlineStr">
        <is>
          <t>lb</t>
        </is>
      </c>
      <c r="K1210" s="9" t="n">
        <v>12.99</v>
      </c>
    </row>
    <row r="1211" ht="15" customFormat="1" customHeight="1" s="5">
      <c r="A1211" s="81" t="n">
        <v>45931</v>
      </c>
      <c r="B1211" s="82" t="n">
        <v>0.4298611111111111</v>
      </c>
      <c r="C1211" s="5" t="inlineStr">
        <is>
          <t>Costco</t>
        </is>
      </c>
      <c r="E1211" s="5" t="n">
        <v>1</v>
      </c>
      <c r="F1211" s="6" t="inlineStr">
        <is>
          <t>650 2 51 29</t>
        </is>
      </c>
      <c r="G1211" s="10" t="inlineStr">
        <is>
          <t>E 1266615</t>
        </is>
      </c>
      <c r="H1211" s="9" t="inlineStr">
        <is>
          <t>Olde Thompson, Saigon Cinnamon Sticks, 6.6 oz</t>
        </is>
      </c>
      <c r="I1211" s="9" t="n">
        <v>6.6</v>
      </c>
      <c r="J1211" s="9" t="inlineStr">
        <is>
          <t>oz</t>
        </is>
      </c>
      <c r="K1211" s="9" t="n">
        <v>5.99</v>
      </c>
    </row>
    <row r="1212" ht="15" customFormat="1" customHeight="1" s="5">
      <c r="A1212" s="83" t="n">
        <v>45931</v>
      </c>
      <c r="B1212" s="82" t="n">
        <v>0.4298611111111111</v>
      </c>
      <c r="C1212" s="5" t="inlineStr">
        <is>
          <t>Costco</t>
        </is>
      </c>
      <c r="E1212" s="5" t="n">
        <v>1</v>
      </c>
      <c r="F1212" s="6" t="inlineStr">
        <is>
          <t>650 2 51 29</t>
        </is>
      </c>
      <c r="G1212" s="10" t="inlineStr">
        <is>
          <t>E 607237</t>
        </is>
      </c>
      <c r="H1212" s="9" t="inlineStr">
        <is>
          <t>Kirkland Signature Pepperoni Pizza, 19.05 oz, 4-count</t>
        </is>
      </c>
      <c r="I1212" s="9" t="n">
        <v>76.2</v>
      </c>
      <c r="J1212" s="9" t="inlineStr">
        <is>
          <t>oz</t>
        </is>
      </c>
      <c r="K1212" s="9" t="n">
        <v>14.39</v>
      </c>
    </row>
    <row r="1213" ht="15" customFormat="1" customHeight="1" s="5">
      <c r="A1213" s="83" t="n">
        <v>45931</v>
      </c>
      <c r="B1213" s="82" t="n">
        <v>0.4298611111111111</v>
      </c>
      <c r="C1213" s="5" t="inlineStr">
        <is>
          <t>Costco</t>
        </is>
      </c>
      <c r="E1213" s="5" t="n">
        <v>1</v>
      </c>
      <c r="F1213" s="6" t="inlineStr">
        <is>
          <t>650 2 51 29</t>
        </is>
      </c>
      <c r="G1213" s="10" t="inlineStr">
        <is>
          <t>E 96716</t>
        </is>
      </c>
      <c r="H1213" s="9" t="inlineStr">
        <is>
          <t>Organic Spinach Box</t>
        </is>
      </c>
      <c r="I1213" s="9" t="n">
        <v>1</v>
      </c>
      <c r="J1213" s="9" t="inlineStr">
        <is>
          <t>lb</t>
        </is>
      </c>
      <c r="K1213" s="9" t="n">
        <v>3.89</v>
      </c>
    </row>
    <row r="1214" ht="15" customFormat="1" customHeight="1" s="5">
      <c r="A1214" s="83" t="n">
        <v>45931</v>
      </c>
      <c r="B1214" s="82" t="n">
        <v>0.4298611111111111</v>
      </c>
      <c r="C1214" s="5" t="inlineStr">
        <is>
          <t>Costco</t>
        </is>
      </c>
      <c r="E1214" s="5" t="n">
        <v>1</v>
      </c>
      <c r="F1214" s="6" t="inlineStr">
        <is>
          <t>650 2 51 29</t>
        </is>
      </c>
      <c r="G1214" s="10" t="inlineStr">
        <is>
          <t>E 647465</t>
        </is>
      </c>
      <c r="H1214" s="9" t="inlineStr">
        <is>
          <t>Avocados 6 cnt Hass Variety</t>
        </is>
      </c>
      <c r="I1214" s="9" t="n">
        <v>6</v>
      </c>
      <c r="J1214" s="9" t="inlineStr">
        <is>
          <t>cnt</t>
        </is>
      </c>
      <c r="K1214" s="9" t="n">
        <v>5.69</v>
      </c>
    </row>
    <row r="1215" ht="15" customFormat="1" customHeight="1" s="5">
      <c r="A1215" s="83" t="n">
        <v>45931</v>
      </c>
      <c r="B1215" s="82" t="n">
        <v>0.4298611111111111</v>
      </c>
      <c r="C1215" s="5" t="inlineStr">
        <is>
          <t>Costco</t>
        </is>
      </c>
      <c r="E1215" s="5" t="n">
        <v>1</v>
      </c>
      <c r="F1215" s="6" t="inlineStr">
        <is>
          <t>650 2 51 29</t>
        </is>
      </c>
      <c r="G1215" s="10" t="inlineStr">
        <is>
          <t>E 16790</t>
        </is>
      </c>
      <c r="H1215" s="9" t="inlineStr">
        <is>
          <t>Shrimp, Frozen, head-on, shell-on, 9/14 ct farmed white shrimp</t>
        </is>
      </c>
      <c r="I1215" s="9" t="n">
        <v>4</v>
      </c>
      <c r="J1215" s="9" t="inlineStr">
        <is>
          <t>lb</t>
        </is>
      </c>
      <c r="K1215" s="9" t="n">
        <v>23.99</v>
      </c>
    </row>
    <row r="1216" ht="15" customFormat="1" customHeight="1" s="5">
      <c r="A1216" s="83" t="n">
        <v>45931</v>
      </c>
      <c r="B1216" s="82" t="n">
        <v>0.4298611111111111</v>
      </c>
      <c r="C1216" s="5" t="inlineStr">
        <is>
          <t>Costco</t>
        </is>
      </c>
      <c r="E1216" s="5" t="n">
        <v>1</v>
      </c>
      <c r="F1216" s="6" t="inlineStr">
        <is>
          <t>650 2 51 29</t>
        </is>
      </c>
      <c r="G1216" s="10" t="inlineStr">
        <is>
          <t>E 0000363958</t>
        </is>
      </c>
      <c r="H1216" s="9" t="inlineStr">
        <is>
          <t>**DISCOUNT** /16790 Shrimp</t>
        </is>
      </c>
      <c r="I1216" s="9" t="n">
        <v>4</v>
      </c>
      <c r="J1216" s="9" t="inlineStr">
        <is>
          <t>lb</t>
        </is>
      </c>
      <c r="K1216" s="9" t="inlineStr">
        <is>
          <t>5.00-</t>
        </is>
      </c>
    </row>
    <row r="1217" ht="15" customFormat="1" customHeight="1" s="5">
      <c r="A1217" s="83" t="n">
        <v>45931</v>
      </c>
      <c r="B1217" s="82" t="n">
        <v>0.4298611111111111</v>
      </c>
      <c r="C1217" s="5" t="inlineStr">
        <is>
          <t>Costco</t>
        </is>
      </c>
      <c r="E1217" s="5" t="n">
        <v>1</v>
      </c>
      <c r="F1217" s="6" t="inlineStr">
        <is>
          <t>650 2 51 29</t>
        </is>
      </c>
      <c r="G1217" s="10" t="n"/>
      <c r="H1217" s="9" t="inlineStr">
        <is>
          <t>Tax A 9.15% TAX</t>
        </is>
      </c>
      <c r="I1217" s="9" t="n">
        <v>1</v>
      </c>
      <c r="J1217" s="9" t="inlineStr">
        <is>
          <t>cnt</t>
        </is>
      </c>
      <c r="K1217" s="9" t="n">
        <v>1.01</v>
      </c>
    </row>
    <row r="1218" ht="15" customFormat="1" customHeight="1" s="5">
      <c r="A1218" s="81" t="n">
        <v>45931</v>
      </c>
      <c r="B1218" s="82" t="n">
        <v>0.2916666666666667</v>
      </c>
      <c r="C1218" s="5" t="inlineStr">
        <is>
          <t>Lakeview Mortgage (??)</t>
        </is>
      </c>
      <c r="D1218" s="5" t="n">
        <v>1</v>
      </c>
      <c r="F1218" s="6" t="inlineStr">
        <is>
          <t>0068721927_07</t>
        </is>
      </c>
      <c r="G1218" s="10" t="n"/>
      <c r="H1218" s="9" t="inlineStr">
        <is>
          <t>Interest</t>
        </is>
      </c>
      <c r="I1218" s="9" t="n"/>
      <c r="J1218" s="9" t="n"/>
      <c r="K1218" s="9" t="n">
        <v>1160.1</v>
      </c>
    </row>
    <row r="1219" ht="15" customFormat="1" customHeight="1" s="5">
      <c r="A1219" s="81" t="n">
        <v>45931</v>
      </c>
      <c r="B1219" s="82" t="n">
        <v>0.2916666666666667</v>
      </c>
      <c r="C1219" s="5" t="inlineStr">
        <is>
          <t>Lakeview Mortgage (??)</t>
        </is>
      </c>
      <c r="D1219" s="5" t="n">
        <v>1</v>
      </c>
      <c r="F1219" s="6" t="inlineStr">
        <is>
          <t>0068721927_07</t>
        </is>
      </c>
      <c r="G1219" s="10" t="n"/>
      <c r="H1219" s="9" t="inlineStr">
        <is>
          <t>Principal</t>
        </is>
      </c>
      <c r="I1219" s="9" t="n"/>
      <c r="J1219" s="9" t="n"/>
      <c r="K1219" s="9" t="n">
        <v>254.38</v>
      </c>
    </row>
    <row r="1220" ht="15" customFormat="1" customHeight="1" s="5">
      <c r="A1220" s="81" t="n">
        <v>45931</v>
      </c>
      <c r="B1220" s="82" t="n">
        <v>0.2916666666666667</v>
      </c>
      <c r="C1220" s="5" t="inlineStr">
        <is>
          <t>Lakeview Mortgage (??)</t>
        </is>
      </c>
      <c r="D1220" s="5" t="n">
        <v>1</v>
      </c>
      <c r="F1220" s="6" t="inlineStr">
        <is>
          <t>0068721927_07</t>
        </is>
      </c>
      <c r="G1220" s="10" t="n"/>
      <c r="H1220" s="9" t="inlineStr">
        <is>
          <t>Taxes and Insurance ESCROW</t>
        </is>
      </c>
      <c r="I1220" s="9" t="n"/>
      <c r="J1220" s="9" t="n"/>
      <c r="K1220" s="9" t="n">
        <v>219.78</v>
      </c>
    </row>
    <row r="1221" ht="15" customFormat="1" customHeight="1" s="5">
      <c r="A1221" s="81" t="n">
        <v>45930</v>
      </c>
      <c r="B1221" s="82" t="n">
        <v>0.79375</v>
      </c>
      <c r="C1221" s="5" t="inlineStr">
        <is>
          <t>Taco Bell</t>
        </is>
      </c>
      <c r="D1221" s="5" t="n">
        <v>1</v>
      </c>
      <c r="F1221" s="6" t="inlineStr">
        <is>
          <t>79J1719711763250X</t>
        </is>
      </c>
      <c r="G1221" s="15" t="n"/>
      <c r="H1221" s="9" t="inlineStr">
        <is>
          <t>Buffs Box (cheesy gordita crunch, beefy 5-layer burrito, nacho cheese doritos locos tacos, cinnamon twists) + 3 fire + 3 mild</t>
        </is>
      </c>
      <c r="I1221" s="9" t="n">
        <v>4</v>
      </c>
      <c r="J1221" s="9" t="inlineStr">
        <is>
          <t>cnt</t>
        </is>
      </c>
      <c r="K1221" s="5" t="n">
        <v>7</v>
      </c>
    </row>
    <row r="1222" ht="15" customFormat="1" customHeight="1" s="5">
      <c r="A1222" s="81" t="n">
        <v>45930</v>
      </c>
      <c r="B1222" s="82" t="n">
        <v>0.79375</v>
      </c>
      <c r="C1222" s="5" t="inlineStr">
        <is>
          <t>Taco Bell</t>
        </is>
      </c>
      <c r="D1222" s="5" t="n">
        <v>1</v>
      </c>
      <c r="F1222" s="6" t="inlineStr">
        <is>
          <t>79J1719711763250X</t>
        </is>
      </c>
      <c r="G1222" s="15" t="n"/>
      <c r="H1222" s="9" t="inlineStr">
        <is>
          <t>Luxe Cravings box: cheesy fiesta potatos, cheesy bean and rice burrito, black bean crunchwrap supreme</t>
        </is>
      </c>
      <c r="I1222" s="9" t="n">
        <v>3</v>
      </c>
      <c r="J1222" s="9" t="inlineStr">
        <is>
          <t>cnt</t>
        </is>
      </c>
      <c r="K1222" s="5" t="n">
        <v>6.99</v>
      </c>
    </row>
    <row r="1223" ht="15" customFormat="1" customHeight="1" s="5">
      <c r="A1223" s="81" t="n">
        <v>45930</v>
      </c>
      <c r="B1223" s="82" t="n">
        <v>0.79375</v>
      </c>
      <c r="C1223" s="5" t="inlineStr">
        <is>
          <t>Taco Bell</t>
        </is>
      </c>
      <c r="D1223" s="5" t="n">
        <v>1</v>
      </c>
      <c r="F1223" s="6" t="inlineStr">
        <is>
          <t>79J1719711763250X</t>
        </is>
      </c>
      <c r="G1223" s="15" t="n"/>
      <c r="H1223" s="9" t="inlineStr">
        <is>
          <t>Tax</t>
        </is>
      </c>
      <c r="I1223" s="9" t="n">
        <v>2</v>
      </c>
      <c r="J1223" s="9" t="inlineStr">
        <is>
          <t>cnt</t>
        </is>
      </c>
      <c r="K1223" s="5" t="n">
        <v>1.12</v>
      </c>
    </row>
    <row r="1224" ht="15" customFormat="1" customHeight="1" s="5">
      <c r="A1224" s="81" t="n">
        <v>45929</v>
      </c>
      <c r="B1224" s="78" t="n">
        <v>0.9340277777777778</v>
      </c>
      <c r="C1224" s="5" t="inlineStr">
        <is>
          <t>Amazon</t>
        </is>
      </c>
      <c r="D1224" s="5" t="n">
        <v>1</v>
      </c>
      <c r="F1224" s="6" t="inlineStr">
        <is>
          <t>112-9468381-5035469</t>
        </is>
      </c>
      <c r="G1224" s="15" t="n"/>
      <c r="H1224" s="9" t="inlineStr">
        <is>
          <t>**RETURNED** Earth Mama Herbal Perineal Spray | Safe for Pregnancy and Postpartum Recovery, Witch Hazel Natural Cooling Spray For After Birth Feminine Care Essentials, No Benzocaine or Butane, 4-Fluid Ounce</t>
        </is>
      </c>
      <c r="I1224" s="9" t="n">
        <v>4</v>
      </c>
      <c r="J1224" s="9" t="inlineStr">
        <is>
          <t>oz</t>
        </is>
      </c>
      <c r="K1224" s="9" t="n">
        <v>-11.92</v>
      </c>
    </row>
    <row r="1225" ht="15" customFormat="1" customHeight="1" s="5">
      <c r="A1225" s="81" t="n">
        <v>45929</v>
      </c>
      <c r="B1225" s="82" t="n">
        <v>0.8479166666666667</v>
      </c>
      <c r="C1225" s="5" t="inlineStr">
        <is>
          <t>Whole Foods</t>
        </is>
      </c>
      <c r="E1225" s="5" t="n">
        <v>1</v>
      </c>
      <c r="F1225" s="6" t="inlineStr">
        <is>
          <t>113-1355616-2456244</t>
        </is>
      </c>
      <c r="G1225" s="15" t="n"/>
      <c r="H1225" s="9" t="inlineStr">
        <is>
          <t>St. Louis Style Pork Spare Ribs @$6.99/lb</t>
        </is>
      </c>
      <c r="I1225" s="9" t="n">
        <v>3</v>
      </c>
      <c r="J1225" s="9" t="inlineStr">
        <is>
          <t>lb</t>
        </is>
      </c>
      <c r="K1225" s="5" t="n">
        <v>20.97</v>
      </c>
    </row>
    <row r="1226" ht="15" customFormat="1" customHeight="1" s="5">
      <c r="A1226" s="81" t="n">
        <v>45929</v>
      </c>
      <c r="B1226" s="82" t="n">
        <v>0.8479166666666667</v>
      </c>
      <c r="C1226" s="5" t="inlineStr">
        <is>
          <t>Whole Foods</t>
        </is>
      </c>
      <c r="E1226" s="5" t="n">
        <v>1</v>
      </c>
      <c r="F1226" s="6" t="inlineStr">
        <is>
          <t>113-1355616-2456244</t>
        </is>
      </c>
      <c r="G1226" s="15" t="n"/>
      <c r="H1226" s="9" t="inlineStr">
        <is>
          <t>**DISCOUNT** PRIME savings + $4.8965/lb</t>
        </is>
      </c>
      <c r="I1226" s="9" t="n">
        <v>3</v>
      </c>
      <c r="J1226" s="9" t="inlineStr">
        <is>
          <t>lb</t>
        </is>
      </c>
      <c r="K1226" s="5" t="n">
        <v>-6.28</v>
      </c>
    </row>
    <row r="1227" ht="15" customFormat="1" customHeight="1" s="5">
      <c r="A1227" s="81" t="n">
        <v>45929</v>
      </c>
      <c r="B1227" s="82" t="n">
        <v>0.3784722222222222</v>
      </c>
      <c r="C1227" s="5" t="inlineStr">
        <is>
          <t>Steam Coffee Shop</t>
        </is>
      </c>
      <c r="E1227" s="5" t="n">
        <v>1</v>
      </c>
      <c r="F1227" s="6" t="inlineStr">
        <is>
          <t>#rnBe</t>
        </is>
      </c>
      <c r="G1227" s="15" t="n"/>
      <c r="H1227" s="9" t="inlineStr">
        <is>
          <t>12 oz latte</t>
        </is>
      </c>
      <c r="I1227" s="9" t="n">
        <v>12</v>
      </c>
      <c r="J1227" s="9" t="inlineStr">
        <is>
          <t>oz</t>
        </is>
      </c>
      <c r="K1227" s="5" t="n">
        <v>5.25</v>
      </c>
    </row>
    <row r="1228" ht="15" customFormat="1" customHeight="1" s="5">
      <c r="A1228" s="81" t="n">
        <v>45929</v>
      </c>
      <c r="B1228" s="82" t="n">
        <v>0.3784722222222222</v>
      </c>
      <c r="C1228" s="5" t="inlineStr">
        <is>
          <t>Steam Coffee Shop</t>
        </is>
      </c>
      <c r="E1228" s="5" t="n">
        <v>1</v>
      </c>
      <c r="F1228" s="6" t="inlineStr">
        <is>
          <t>#rnBe</t>
        </is>
      </c>
      <c r="G1228" s="15" t="n"/>
      <c r="H1228" s="9" t="inlineStr">
        <is>
          <t>Coconut Milk</t>
        </is>
      </c>
      <c r="I1228" s="9" t="n">
        <v>12</v>
      </c>
      <c r="J1228" s="9" t="inlineStr">
        <is>
          <t>oz</t>
        </is>
      </c>
      <c r="K1228" s="5" t="n">
        <v>1</v>
      </c>
    </row>
    <row r="1229" ht="15" customFormat="1" customHeight="1" s="5">
      <c r="A1229" s="81" t="n">
        <v>45929</v>
      </c>
      <c r="B1229" s="82" t="n">
        <v>0.3784722222222222</v>
      </c>
      <c r="C1229" s="5" t="inlineStr">
        <is>
          <t>Steam Coffee Shop</t>
        </is>
      </c>
      <c r="E1229" s="5" t="n">
        <v>1</v>
      </c>
      <c r="F1229" s="6" t="inlineStr">
        <is>
          <t>#rnBe</t>
        </is>
      </c>
      <c r="G1229" s="15" t="n"/>
      <c r="H1229" s="9" t="inlineStr">
        <is>
          <t>Sales Tax 8%</t>
        </is>
      </c>
      <c r="I1229" s="9" t="n">
        <v>12</v>
      </c>
      <c r="J1229" s="9" t="inlineStr">
        <is>
          <t>oz</t>
        </is>
      </c>
      <c r="K1229" s="5" t="n">
        <v>0.5</v>
      </c>
    </row>
    <row r="1230" ht="15" customFormat="1" customHeight="1" s="5">
      <c r="A1230" s="81" t="n">
        <v>45928</v>
      </c>
      <c r="B1230" s="82" t="n">
        <v>0.6463078703703704</v>
      </c>
      <c r="C1230" s="5" t="inlineStr">
        <is>
          <t>IKEA</t>
        </is>
      </c>
      <c r="E1230" s="5" t="n">
        <v>1</v>
      </c>
      <c r="F1230" s="6" t="inlineStr">
        <is>
          <t>64 79 074456</t>
        </is>
      </c>
      <c r="G1230" s="15" t="inlineStr">
        <is>
          <t>502.485.41</t>
        </is>
      </c>
      <c r="H1230" s="9" t="inlineStr">
        <is>
          <t>Sniglar 70x132 cm (27.5x52") -- 40 lb CRIB; 25-05-29; Made in Romania; Wooden</t>
        </is>
      </c>
      <c r="I1230" s="9" t="n"/>
      <c r="J1230" s="9" t="n"/>
      <c r="K1230" s="9" t="n">
        <v>129</v>
      </c>
    </row>
    <row r="1231" ht="15" customFormat="1" customHeight="1" s="5">
      <c r="A1231" s="81" t="n">
        <v>45928</v>
      </c>
      <c r="B1231" s="82" t="n">
        <v>0.6463078703703704</v>
      </c>
      <c r="C1231" s="5" t="inlineStr">
        <is>
          <t>IKEA</t>
        </is>
      </c>
      <c r="E1231" s="5" t="n">
        <v>1</v>
      </c>
      <c r="F1231" s="6" t="inlineStr">
        <is>
          <t>64 79 074456</t>
        </is>
      </c>
      <c r="G1231" s="15" t="inlineStr">
        <is>
          <t>503.953.82</t>
        </is>
      </c>
      <c r="H1231" s="9" t="inlineStr">
        <is>
          <t>Parkla storage bag, plastic; 21.25x19.25x7.5"; Made in Vietnam</t>
        </is>
      </c>
      <c r="I1231" s="9" t="n"/>
      <c r="J1231" s="9" t="n"/>
      <c r="K1231" s="9" t="n">
        <v>1.99</v>
      </c>
    </row>
    <row r="1232" ht="15" customFormat="1" customHeight="1" s="5">
      <c r="A1232" s="81" t="n">
        <v>45928</v>
      </c>
      <c r="B1232" s="82" t="n">
        <v>0.6463078703703704</v>
      </c>
      <c r="C1232" s="5" t="inlineStr">
        <is>
          <t>IKEA</t>
        </is>
      </c>
      <c r="E1232" s="5" t="n">
        <v>1</v>
      </c>
      <c r="F1232" s="6" t="inlineStr">
        <is>
          <t>64 79 074456</t>
        </is>
      </c>
      <c r="G1232" s="15" t="inlineStr">
        <is>
          <t>503.953.82</t>
        </is>
      </c>
      <c r="H1232" s="9" t="inlineStr">
        <is>
          <t>Parkla storage bag, plastic; 21.25x19.25x7.5"; Made in Vietnam</t>
        </is>
      </c>
      <c r="I1232" s="9" t="n"/>
      <c r="J1232" s="9" t="n"/>
      <c r="K1232" s="9" t="n">
        <v>1.99</v>
      </c>
    </row>
    <row r="1233" ht="15" customFormat="1" customHeight="1" s="5">
      <c r="A1233" s="81" t="n">
        <v>45928</v>
      </c>
      <c r="B1233" s="82" t="n">
        <v>0.6463078703703704</v>
      </c>
      <c r="C1233" s="5" t="inlineStr">
        <is>
          <t>IKEA</t>
        </is>
      </c>
      <c r="E1233" s="5" t="n">
        <v>1</v>
      </c>
      <c r="F1233" s="6" t="inlineStr">
        <is>
          <t>64 79 074456</t>
        </is>
      </c>
      <c r="G1233" s="15" t="inlineStr">
        <is>
          <t>503.953.82</t>
        </is>
      </c>
      <c r="H1233" s="9" t="inlineStr">
        <is>
          <t>Parkla storage bag, plastic; 21.25x19.25x7.5"; Made in Vietnam</t>
        </is>
      </c>
      <c r="I1233" s="9" t="n"/>
      <c r="J1233" s="9" t="n"/>
      <c r="K1233" s="9" t="n">
        <v>1.99</v>
      </c>
    </row>
    <row r="1234" ht="15" customFormat="1" customHeight="1" s="5">
      <c r="A1234" s="81" t="n">
        <v>45928</v>
      </c>
      <c r="B1234" s="82" t="n">
        <v>0.6463078703703704</v>
      </c>
      <c r="C1234" s="5" t="inlineStr">
        <is>
          <t>IKEA</t>
        </is>
      </c>
      <c r="E1234" s="5" t="n">
        <v>1</v>
      </c>
      <c r="F1234" s="6" t="inlineStr">
        <is>
          <t>64 79 074456</t>
        </is>
      </c>
      <c r="G1234" s="15" t="inlineStr">
        <is>
          <t>503.953.82</t>
        </is>
      </c>
      <c r="H1234" s="9" t="inlineStr">
        <is>
          <t>Parkla storage bag, plastic; 21.25x19.25x7.5"; Made in Vietnam</t>
        </is>
      </c>
      <c r="I1234" s="9" t="n"/>
      <c r="J1234" s="9" t="n"/>
      <c r="K1234" s="9" t="n">
        <v>1.99</v>
      </c>
    </row>
    <row r="1235" ht="15" customFormat="1" customHeight="1" s="5">
      <c r="A1235" s="81" t="n">
        <v>45928</v>
      </c>
      <c r="B1235" s="82" t="n">
        <v>0.6463078703703704</v>
      </c>
      <c r="C1235" s="5" t="inlineStr">
        <is>
          <t>IKEA</t>
        </is>
      </c>
      <c r="E1235" s="5" t="n">
        <v>1</v>
      </c>
      <c r="F1235" s="6" t="inlineStr">
        <is>
          <t>64 79 074456</t>
        </is>
      </c>
      <c r="G1235" s="15" t="n"/>
      <c r="H1235" s="9" t="inlineStr">
        <is>
          <t>TAX</t>
        </is>
      </c>
      <c r="I1235" s="9" t="n"/>
      <c r="J1235" s="9" t="n"/>
      <c r="K1235" s="9" t="n">
        <v>9.24</v>
      </c>
    </row>
    <row r="1236" ht="15" customFormat="1" customHeight="1" s="5">
      <c r="A1236" s="81" t="n">
        <v>45927</v>
      </c>
      <c r="B1236" s="78" t="n">
        <v>0.9138888888888889</v>
      </c>
      <c r="C1236" s="5" t="inlineStr">
        <is>
          <t>Amazon</t>
        </is>
      </c>
      <c r="D1236" s="5" t="n">
        <v>1</v>
      </c>
      <c r="F1236" s="6" t="inlineStr">
        <is>
          <t>112-6673243-4975405</t>
        </is>
      </c>
      <c r="G1236" s="15" t="n"/>
      <c r="H1236" s="9" t="inlineStr">
        <is>
          <t>Sitz Bath for Hemorrhoids, Sitz Bath for Postpartum Care - Suitable for Pregnant Women and Perineal Care, Sits Bath Kit for Women - Collapsible Storage, Wide Seat Visit the msiori Store</t>
        </is>
      </c>
      <c r="I1236" s="9" t="n">
        <v>1</v>
      </c>
      <c r="J1236" s="9" t="inlineStr">
        <is>
          <t>cnt</t>
        </is>
      </c>
      <c r="K1236" s="9" t="n">
        <v>9.99</v>
      </c>
    </row>
    <row r="1237" ht="15" customFormat="1" customHeight="1" s="5">
      <c r="A1237" s="81" t="n">
        <v>45927</v>
      </c>
      <c r="B1237" s="78" t="n">
        <v>0.9138888888888889</v>
      </c>
      <c r="C1237" s="5" t="inlineStr">
        <is>
          <t>Amazon</t>
        </is>
      </c>
      <c r="D1237" s="5" t="n">
        <v>1</v>
      </c>
      <c r="F1237" s="6" t="inlineStr">
        <is>
          <t>112-6673243-4975405</t>
        </is>
      </c>
      <c r="G1237" s="15" t="n"/>
      <c r="H1237" s="9" t="inlineStr">
        <is>
          <t>**DISCOUNT** Amazon Registry 15% discount</t>
        </is>
      </c>
      <c r="I1237" s="9" t="n">
        <v>1</v>
      </c>
      <c r="J1237" s="9" t="inlineStr">
        <is>
          <t>cnt</t>
        </is>
      </c>
      <c r="K1237" s="9" t="n">
        <v>-1.5</v>
      </c>
    </row>
    <row r="1238" ht="15" customFormat="1" customHeight="1" s="5">
      <c r="A1238" s="81" t="n">
        <v>45927</v>
      </c>
      <c r="B1238" s="78" t="n">
        <v>0.9138888888888889</v>
      </c>
      <c r="C1238" s="5" t="inlineStr">
        <is>
          <t>Amazon</t>
        </is>
      </c>
      <c r="D1238" s="5" t="n">
        <v>1</v>
      </c>
      <c r="F1238" s="6" t="inlineStr">
        <is>
          <t>112-6673243-4975405</t>
        </is>
      </c>
      <c r="G1238" s="15" t="n"/>
      <c r="H1238" s="9" t="inlineStr">
        <is>
          <t>Earth Mama Herbal Sitz Bath | Pregnancy &amp; Postpartum Essentials, Soothing Sitz Bath for Hemorrhoids with Witch Hazel, &amp; Calendula, 6-Count (2-Pack)</t>
        </is>
      </c>
      <c r="I1238" s="9">
        <f>6.6</f>
        <v/>
      </c>
      <c r="J1238" s="9" t="inlineStr">
        <is>
          <t>oz</t>
        </is>
      </c>
      <c r="K1238" s="9" t="n">
        <v>24.69</v>
      </c>
    </row>
    <row r="1239" ht="15" customFormat="1" customHeight="1" s="5">
      <c r="A1239" s="81" t="n">
        <v>45927</v>
      </c>
      <c r="B1239" s="78" t="n">
        <v>0.9138888888888889</v>
      </c>
      <c r="C1239" s="5" t="inlineStr">
        <is>
          <t>Amazon</t>
        </is>
      </c>
      <c r="D1239" s="5" t="n">
        <v>1</v>
      </c>
      <c r="F1239" s="6" t="inlineStr">
        <is>
          <t>112-6673243-4975405</t>
        </is>
      </c>
      <c r="G1239" s="15" t="n"/>
      <c r="H1239" s="9" t="inlineStr">
        <is>
          <t>**DISCOUNT** Amazon Registry 15% discount</t>
        </is>
      </c>
      <c r="I1239" s="9">
        <f>6.6</f>
        <v/>
      </c>
      <c r="J1239" s="9" t="inlineStr">
        <is>
          <t>oz</t>
        </is>
      </c>
      <c r="K1239" s="9" t="n">
        <v>-4.42</v>
      </c>
    </row>
    <row r="1240" ht="15" customFormat="1" customHeight="1" s="5">
      <c r="A1240" s="81" t="n">
        <v>45927</v>
      </c>
      <c r="B1240" s="78" t="n">
        <v>0.9138888888888889</v>
      </c>
      <c r="C1240" s="5" t="inlineStr">
        <is>
          <t>Amazon</t>
        </is>
      </c>
      <c r="D1240" s="5" t="n">
        <v>1</v>
      </c>
      <c r="F1240" s="6" t="inlineStr">
        <is>
          <t>112-6673243-4975405</t>
        </is>
      </c>
      <c r="G1240" s="15" t="n"/>
      <c r="H1240" s="9" t="inlineStr">
        <is>
          <t>Co retail delivery fees</t>
        </is>
      </c>
      <c r="I1240" s="9" t="n">
        <v>1</v>
      </c>
      <c r="J1240" s="9" t="n"/>
      <c r="K1240" s="9" t="n">
        <v>0.28</v>
      </c>
    </row>
    <row r="1241" ht="15" customFormat="1" customHeight="1" s="5">
      <c r="A1241" s="81" t="n">
        <v>45927</v>
      </c>
      <c r="B1241" s="78" t="n">
        <v>0.9138888888888889</v>
      </c>
      <c r="C1241" s="5" t="inlineStr">
        <is>
          <t>Amazon</t>
        </is>
      </c>
      <c r="D1241" s="5" t="n">
        <v>1</v>
      </c>
      <c r="F1241" s="6" t="inlineStr">
        <is>
          <t>112-6673243-4975405</t>
        </is>
      </c>
      <c r="G1241" s="15" t="n"/>
      <c r="H1241" s="9" t="inlineStr">
        <is>
          <t>Tax</t>
        </is>
      </c>
      <c r="I1241" s="9" t="n">
        <v>1</v>
      </c>
      <c r="J1241" s="9" t="n"/>
      <c r="K1241" s="9" t="n">
        <v>2.71</v>
      </c>
    </row>
    <row r="1242" ht="15" customFormat="1" customHeight="1" s="5">
      <c r="A1242" s="81" t="n">
        <v>45927</v>
      </c>
      <c r="B1242" s="78" t="n">
        <v>0.9138888888888889</v>
      </c>
      <c r="C1242" s="5" t="inlineStr">
        <is>
          <t>Amazon</t>
        </is>
      </c>
      <c r="D1242" s="5" t="n">
        <v>1</v>
      </c>
      <c r="F1242" s="6" t="inlineStr">
        <is>
          <t>112-9468381-5035469</t>
        </is>
      </c>
      <c r="G1242" s="15" t="n"/>
      <c r="H1242" s="9" t="inlineStr">
        <is>
          <t>Earth Mama Herbal Perineal Spray | Safe for Pregnancy and Postpartum Recovery, Witch Hazel Natural Cooling Spray For After Birth Feminine Care Essentials, No Benzocaine or Butane, 4-Fluid Ounce</t>
        </is>
      </c>
      <c r="I1242" s="9" t="n">
        <v>4</v>
      </c>
      <c r="J1242" s="9" t="inlineStr">
        <is>
          <t>oz</t>
        </is>
      </c>
      <c r="K1242" s="9" t="n">
        <v>13.29</v>
      </c>
    </row>
    <row r="1243" ht="15" customFormat="1" customHeight="1" s="5">
      <c r="A1243" s="81" t="n">
        <v>45927</v>
      </c>
      <c r="B1243" s="78" t="n">
        <v>0.9138888888888889</v>
      </c>
      <c r="C1243" s="5" t="inlineStr">
        <is>
          <t>Amazon</t>
        </is>
      </c>
      <c r="D1243" s="5" t="n">
        <v>1</v>
      </c>
      <c r="F1243" s="6" t="inlineStr">
        <is>
          <t>112-9468381-5035469</t>
        </is>
      </c>
      <c r="G1243" s="15" t="n"/>
      <c r="H1243" s="9" t="inlineStr">
        <is>
          <t>**DISCOUNT** Amazon Registry 15% discount</t>
        </is>
      </c>
      <c r="I1243" s="9" t="n">
        <v>4</v>
      </c>
      <c r="J1243" s="9" t="inlineStr">
        <is>
          <t>oz</t>
        </is>
      </c>
      <c r="K1243" s="9" t="n">
        <v>-2.4</v>
      </c>
    </row>
    <row r="1244" ht="15" customFormat="1" customHeight="1" s="5">
      <c r="A1244" s="81" t="n">
        <v>45927</v>
      </c>
      <c r="B1244" s="78" t="n">
        <v>0.9138888888888889</v>
      </c>
      <c r="C1244" s="5" t="inlineStr">
        <is>
          <t>Amazon</t>
        </is>
      </c>
      <c r="D1244" s="5" t="n">
        <v>1</v>
      </c>
      <c r="F1244" s="6" t="inlineStr">
        <is>
          <t>112-9468381-5035469</t>
        </is>
      </c>
      <c r="G1244" s="15" t="n"/>
      <c r="H1244" s="9" t="inlineStr">
        <is>
          <t>Co retail delivery fees</t>
        </is>
      </c>
      <c r="I1244" s="9" t="n">
        <v>2</v>
      </c>
      <c r="J1244" s="9" t="inlineStr">
        <is>
          <t>cnt</t>
        </is>
      </c>
      <c r="K1244" s="9" t="n">
        <v>0.28</v>
      </c>
    </row>
    <row r="1245" ht="15" customFormat="1" customHeight="1" s="5">
      <c r="A1245" s="81" t="n">
        <v>45927</v>
      </c>
      <c r="B1245" s="78" t="n">
        <v>0.9138888888888889</v>
      </c>
      <c r="C1245" s="5" t="inlineStr">
        <is>
          <t>Amazon</t>
        </is>
      </c>
      <c r="D1245" s="5" t="n">
        <v>1</v>
      </c>
      <c r="F1245" s="6" t="inlineStr">
        <is>
          <t>112-9468381-5035469</t>
        </is>
      </c>
      <c r="G1245" s="15" t="n"/>
      <c r="H1245" s="9" t="inlineStr">
        <is>
          <t>Tax</t>
        </is>
      </c>
      <c r="I1245" s="9" t="n">
        <v>2</v>
      </c>
      <c r="J1245" s="9" t="inlineStr">
        <is>
          <t>cnt</t>
        </is>
      </c>
      <c r="K1245" s="9" t="n">
        <v>1.03</v>
      </c>
    </row>
    <row r="1246" ht="15" customFormat="1" customHeight="1" s="5">
      <c r="A1246" s="81" t="n">
        <v>45927</v>
      </c>
      <c r="B1246" s="78" t="n">
        <v>0.8861111111111111</v>
      </c>
      <c r="C1246" s="5" t="inlineStr">
        <is>
          <t>Amazon</t>
        </is>
      </c>
      <c r="D1246" s="5" t="n">
        <v>1</v>
      </c>
      <c r="F1246" s="6" t="inlineStr">
        <is>
          <t>112-5499441-9407424</t>
        </is>
      </c>
      <c r="G1246" s="15" t="inlineStr">
        <is>
          <t>K</t>
        </is>
      </c>
      <c r="H1246" s="9" t="inlineStr">
        <is>
          <t>Legendairy Milk Brewer's Yeast Powder for Lactation Cookies (16oz) - Increase Breast Milk Supply - Debittered, Unflavored, Non-GMO &amp; Gluten Free Lactation Supplement for Breastfeeding Support</t>
        </is>
      </c>
      <c r="I1246" s="9" t="n">
        <v>16</v>
      </c>
      <c r="J1246" s="9" t="inlineStr">
        <is>
          <t>oz</t>
        </is>
      </c>
      <c r="K1246" s="9" t="n">
        <v>15.29</v>
      </c>
    </row>
    <row r="1247" ht="15" customFormat="1" customHeight="1" s="5">
      <c r="A1247" s="81" t="n">
        <v>45927</v>
      </c>
      <c r="B1247" s="78" t="n">
        <v>0.8861111111111111</v>
      </c>
      <c r="C1247" s="5" t="inlineStr">
        <is>
          <t>Amazon</t>
        </is>
      </c>
      <c r="D1247" s="5" t="n">
        <v>1</v>
      </c>
      <c r="F1247" s="6" t="inlineStr">
        <is>
          <t>112-5499441-9407424</t>
        </is>
      </c>
      <c r="G1247" s="15" t="inlineStr">
        <is>
          <t>K</t>
        </is>
      </c>
      <c r="H1247" s="9" t="inlineStr">
        <is>
          <t>**DISCOUNT** Amazon Subscribe and Save 10% off</t>
        </is>
      </c>
      <c r="I1247" s="9" t="n">
        <v>16</v>
      </c>
      <c r="J1247" s="9" t="inlineStr">
        <is>
          <t>oz</t>
        </is>
      </c>
      <c r="K1247" s="9" t="n">
        <v>-1.53</v>
      </c>
    </row>
    <row r="1248" ht="15" customFormat="1" customHeight="1" s="5">
      <c r="A1248" s="81" t="n">
        <v>45927</v>
      </c>
      <c r="B1248" s="78" t="n">
        <v>0.8861111111111111</v>
      </c>
      <c r="C1248" s="5" t="inlineStr">
        <is>
          <t>Amazon</t>
        </is>
      </c>
      <c r="D1248" s="5" t="n">
        <v>1</v>
      </c>
      <c r="F1248" s="6" t="inlineStr">
        <is>
          <t>112-5499441-9407424</t>
        </is>
      </c>
      <c r="G1248" s="15" t="inlineStr">
        <is>
          <t>C</t>
        </is>
      </c>
      <c r="H1248" s="9" t="inlineStr">
        <is>
          <t>Car Window Shades, 2 PCS Magnetic Double Layer Auto Sun Shade for Side Windows Privacy Full Covers/Half Shade Options Back Car Window Curtains for Baby Protection Brand: DIZA100</t>
        </is>
      </c>
      <c r="I1248" s="9" t="n">
        <v>2</v>
      </c>
      <c r="J1248" s="9" t="inlineStr">
        <is>
          <t>cnt</t>
        </is>
      </c>
      <c r="K1248" s="9" t="n">
        <v>16.99</v>
      </c>
    </row>
    <row r="1249" ht="15" customFormat="1" customHeight="1" s="5">
      <c r="A1249" s="81" t="n">
        <v>45927</v>
      </c>
      <c r="B1249" s="78" t="n">
        <v>0.8861111111111111</v>
      </c>
      <c r="C1249" s="5" t="inlineStr">
        <is>
          <t>Amazon</t>
        </is>
      </c>
      <c r="D1249" s="5" t="n">
        <v>1</v>
      </c>
      <c r="F1249" s="6" t="inlineStr">
        <is>
          <t>112-5499441-9407424</t>
        </is>
      </c>
      <c r="G1249" s="15" t="n"/>
      <c r="H1249" s="9" t="inlineStr">
        <is>
          <t>Co retail delivery fees</t>
        </is>
      </c>
      <c r="I1249" s="9" t="n">
        <v>2</v>
      </c>
      <c r="J1249" s="9" t="inlineStr">
        <is>
          <t>cnt</t>
        </is>
      </c>
      <c r="K1249" s="9" t="n">
        <v>0.28</v>
      </c>
    </row>
    <row r="1250" ht="15" customFormat="1" customHeight="1" s="5">
      <c r="A1250" s="81" t="n">
        <v>45927</v>
      </c>
      <c r="B1250" s="78" t="n">
        <v>0.8861111111111111</v>
      </c>
      <c r="C1250" s="5" t="inlineStr">
        <is>
          <t>Amazon</t>
        </is>
      </c>
      <c r="D1250" s="5" t="n">
        <v>1</v>
      </c>
      <c r="F1250" s="6" t="inlineStr">
        <is>
          <t>112-5499441-9407424</t>
        </is>
      </c>
      <c r="G1250" s="15" t="n"/>
      <c r="H1250" s="9" t="inlineStr">
        <is>
          <t>Tax</t>
        </is>
      </c>
      <c r="I1250" s="9" t="n">
        <v>2</v>
      </c>
      <c r="J1250" s="9" t="inlineStr">
        <is>
          <t>cnt</t>
        </is>
      </c>
      <c r="K1250" s="9" t="n">
        <v>1.36</v>
      </c>
    </row>
    <row r="1251" ht="15" customFormat="1" customHeight="1" s="5">
      <c r="A1251" s="81" t="n">
        <v>45927</v>
      </c>
      <c r="B1251" s="78" t="n">
        <v>0.8861111111111111</v>
      </c>
      <c r="C1251" s="5" t="inlineStr">
        <is>
          <t>Amazon</t>
        </is>
      </c>
      <c r="D1251" s="5" t="n">
        <v>1</v>
      </c>
      <c r="F1251" s="6" t="inlineStr">
        <is>
          <t>112-6962999-7838667</t>
        </is>
      </c>
      <c r="G1251" s="15" t="inlineStr">
        <is>
          <t>A</t>
        </is>
      </c>
      <c r="H1251" s="9" t="inlineStr">
        <is>
          <t>4oz Postpartum Sitz Bath Soak &amp; Yoni Steaming Herbs For After Birth Recovery | 4-6 Steams | Natural Remedy For Healing Perineal Tissues, Hemorrhoids, Episiotomies | 100% Organic Vaginal Steam Herbs -- sold by Wildflower Wellness Store</t>
        </is>
      </c>
      <c r="I1251" s="9" t="n">
        <v>4</v>
      </c>
      <c r="J1251" s="9" t="inlineStr">
        <is>
          <t>oz</t>
        </is>
      </c>
      <c r="K1251" s="9" t="n">
        <v>20.99</v>
      </c>
    </row>
    <row r="1252" ht="15" customFormat="1" customHeight="1" s="5">
      <c r="A1252" s="81" t="n">
        <v>45927</v>
      </c>
      <c r="B1252" s="78" t="n">
        <v>0.8861111111111111</v>
      </c>
      <c r="C1252" s="5" t="inlineStr">
        <is>
          <t>Amazon</t>
        </is>
      </c>
      <c r="D1252" s="5" t="n">
        <v>1</v>
      </c>
      <c r="F1252" s="6" t="inlineStr">
        <is>
          <t>112-6962999-7838667</t>
        </is>
      </c>
      <c r="G1252" s="15" t="inlineStr">
        <is>
          <t>A</t>
        </is>
      </c>
      <c r="H1252" s="9" t="inlineStr">
        <is>
          <t>4oz Postpartum Sitz Bath Soak &amp; Yoni Steaming Herbs For After Birth Recovery | 4-6 Steams | Natural Remedy For Healing Perineal Tissues, Hemorrhoids, Episiotomies | 100% Organic Vaginal Steam Herbs -- sold by Wildflower Wellness Store</t>
        </is>
      </c>
      <c r="I1252" s="9" t="n">
        <v>4</v>
      </c>
      <c r="J1252" s="9" t="inlineStr">
        <is>
          <t>oz</t>
        </is>
      </c>
      <c r="K1252" s="9" t="n">
        <v>20.99</v>
      </c>
    </row>
    <row r="1253" ht="15" customFormat="1" customHeight="1" s="5">
      <c r="A1253" s="81" t="n">
        <v>45927</v>
      </c>
      <c r="B1253" s="78" t="n">
        <v>0.8861111111111111</v>
      </c>
      <c r="C1253" s="5" t="inlineStr">
        <is>
          <t>Amazon</t>
        </is>
      </c>
      <c r="D1253" s="5" t="n">
        <v>1</v>
      </c>
      <c r="F1253" s="6" t="inlineStr">
        <is>
          <t>112-6962999-7838667</t>
        </is>
      </c>
      <c r="G1253" s="15" t="inlineStr">
        <is>
          <t>A</t>
        </is>
      </c>
      <c r="H1253" s="9" t="inlineStr">
        <is>
          <t>4oz Postpartum Sitz Bath Soak &amp; Yoni Steaming Herbs For After Birth Recovery | 4-6 Steams | Natural Remedy For Healing Perineal Tissues, Hemorrhoids, Episiotomies | 100% Organic Vaginal Steam Herbs -- sold by Wildflower Wellness Store</t>
        </is>
      </c>
      <c r="I1253" s="9" t="n">
        <v>4</v>
      </c>
      <c r="J1253" s="9" t="inlineStr">
        <is>
          <t>oz</t>
        </is>
      </c>
      <c r="K1253" s="9" t="n">
        <v>20.99</v>
      </c>
    </row>
    <row r="1254" ht="15" customFormat="1" customHeight="1" s="5">
      <c r="A1254" s="81" t="n">
        <v>45927</v>
      </c>
      <c r="B1254" s="78" t="n">
        <v>0.8861111111111111</v>
      </c>
      <c r="C1254" s="5" t="inlineStr">
        <is>
          <t>Amazon</t>
        </is>
      </c>
      <c r="D1254" s="5" t="n">
        <v>1</v>
      </c>
      <c r="F1254" s="6" t="inlineStr">
        <is>
          <t>112-6962999-7838667</t>
        </is>
      </c>
      <c r="G1254" s="15" t="inlineStr">
        <is>
          <t>B</t>
        </is>
      </c>
      <c r="H1254" s="9" t="inlineStr">
        <is>
          <t>Manito Sun Shade Extender/Auxiliary Canopy for Car Seat (Black) -- sold by Manito</t>
        </is>
      </c>
      <c r="I1254" s="9" t="n">
        <v>1</v>
      </c>
      <c r="J1254" s="9" t="inlineStr">
        <is>
          <t>cnt</t>
        </is>
      </c>
      <c r="K1254" s="9" t="n">
        <v>32.99</v>
      </c>
    </row>
    <row r="1255" ht="15" customFormat="1" customHeight="1" s="5">
      <c r="A1255" s="81" t="n">
        <v>45927</v>
      </c>
      <c r="B1255" s="78" t="n">
        <v>0.8861111111111111</v>
      </c>
      <c r="C1255" s="5" t="inlineStr">
        <is>
          <t>Amazon</t>
        </is>
      </c>
      <c r="D1255" s="5" t="n">
        <v>1</v>
      </c>
      <c r="F1255" s="6" t="inlineStr">
        <is>
          <t>112-6962999-7838667</t>
        </is>
      </c>
      <c r="G1255" s="15" t="inlineStr">
        <is>
          <t>B</t>
        </is>
      </c>
      <c r="H1255" s="9" t="inlineStr">
        <is>
          <t>**DISCOUNT** Amazon Registry 15% discount</t>
        </is>
      </c>
      <c r="I1255" s="9" t="n">
        <v>1</v>
      </c>
      <c r="J1255" s="9" t="inlineStr">
        <is>
          <t>cnt</t>
        </is>
      </c>
      <c r="K1255" s="9" t="n">
        <v>-4.96</v>
      </c>
    </row>
    <row r="1256" ht="15" customFormat="1" customHeight="1" s="5">
      <c r="A1256" s="81" t="n">
        <v>45927</v>
      </c>
      <c r="B1256" s="78" t="n">
        <v>0.8861111111111111</v>
      </c>
      <c r="C1256" s="5" t="inlineStr">
        <is>
          <t>Amazon</t>
        </is>
      </c>
      <c r="D1256" s="5" t="n">
        <v>1</v>
      </c>
      <c r="F1256" s="6" t="inlineStr">
        <is>
          <t>112-6962999-7838667</t>
        </is>
      </c>
      <c r="G1256" s="15" t="inlineStr">
        <is>
          <t>D</t>
        </is>
      </c>
      <c r="H1256" s="9" t="inlineStr">
        <is>
          <t>Baby University Explore Science Board Book Set: A STEM Set for Toddlers (Baby University Board Book Sets) Board book – August 27, 2019 by Chris Ferrie (Author)</t>
        </is>
      </c>
      <c r="I1256" s="9" t="n">
        <v>4</v>
      </c>
      <c r="J1256" s="9" t="inlineStr">
        <is>
          <t>cnt</t>
        </is>
      </c>
      <c r="K1256" s="9" t="n">
        <v>39.96</v>
      </c>
    </row>
    <row r="1257" ht="15" customFormat="1" customHeight="1" s="5">
      <c r="A1257" s="81" t="n">
        <v>45927</v>
      </c>
      <c r="B1257" s="78" t="n">
        <v>0.8861111111111111</v>
      </c>
      <c r="C1257" s="5" t="inlineStr">
        <is>
          <t>Amazon</t>
        </is>
      </c>
      <c r="D1257" s="5" t="n">
        <v>1</v>
      </c>
      <c r="F1257" s="6" t="inlineStr">
        <is>
          <t>112-6962999-7838667</t>
        </is>
      </c>
      <c r="G1257" s="15" t="inlineStr">
        <is>
          <t>D</t>
        </is>
      </c>
      <c r="H1257" s="9" t="inlineStr">
        <is>
          <t>**DISCOUNT** Limited Prime Deal 51% off</t>
        </is>
      </c>
      <c r="I1257" s="9" t="n">
        <v>4</v>
      </c>
      <c r="J1257" s="9" t="inlineStr">
        <is>
          <t>cnt</t>
        </is>
      </c>
      <c r="K1257" s="9" t="n">
        <v>-20.3</v>
      </c>
    </row>
    <row r="1258" ht="15" customFormat="1" customHeight="1" s="5">
      <c r="A1258" s="81" t="n">
        <v>45927</v>
      </c>
      <c r="B1258" s="78" t="n">
        <v>0.8861111111111111</v>
      </c>
      <c r="C1258" s="5" t="inlineStr">
        <is>
          <t>Amazon</t>
        </is>
      </c>
      <c r="D1258" s="5" t="n">
        <v>1</v>
      </c>
      <c r="F1258" s="6" t="inlineStr">
        <is>
          <t>112-6962999-7838667</t>
        </is>
      </c>
      <c r="G1258" s="15" t="inlineStr">
        <is>
          <t>E</t>
        </is>
      </c>
      <c r="H1258" s="9" t="inlineStr">
        <is>
          <t>Yoni Seat, Yoni Steaming Kit Yoni Steamer Chair, Yoni Steamer Seat for Toilet, Wood V Steaming Seat Kit with Gown &amp; Cushion for Women Cleansing Visit the WJFORLION Store</t>
        </is>
      </c>
      <c r="I1258" s="9" t="n">
        <v>3</v>
      </c>
      <c r="J1258" s="9" t="inlineStr">
        <is>
          <t>cnt</t>
        </is>
      </c>
      <c r="K1258" s="9" t="n">
        <v>85.90000000000001</v>
      </c>
    </row>
    <row r="1259" ht="15" customFormat="1" customHeight="1" s="5">
      <c r="A1259" s="81" t="n">
        <v>45927</v>
      </c>
      <c r="B1259" s="78" t="n">
        <v>0.8861111111111111</v>
      </c>
      <c r="C1259" s="5" t="inlineStr">
        <is>
          <t>Amazon</t>
        </is>
      </c>
      <c r="D1259" s="5" t="n">
        <v>1</v>
      </c>
      <c r="F1259" s="6" t="inlineStr">
        <is>
          <t>112-6962999-7838667</t>
        </is>
      </c>
      <c r="G1259" s="15" t="inlineStr">
        <is>
          <t>E</t>
        </is>
      </c>
      <c r="H1259" s="9" t="inlineStr">
        <is>
          <t>**DISCOUNT** Amazon Registry 15% discount</t>
        </is>
      </c>
      <c r="I1259" s="9" t="n">
        <v>3</v>
      </c>
      <c r="J1259" s="9" t="inlineStr">
        <is>
          <t>cnt</t>
        </is>
      </c>
      <c r="K1259" s="9" t="n">
        <v>-12.88</v>
      </c>
    </row>
    <row r="1260" ht="15" customFormat="1" customHeight="1" s="5">
      <c r="A1260" s="81" t="n">
        <v>45927</v>
      </c>
      <c r="B1260" s="78" t="n">
        <v>0.8861111111111111</v>
      </c>
      <c r="C1260" s="5" t="inlineStr">
        <is>
          <t>Amazon</t>
        </is>
      </c>
      <c r="D1260" s="5" t="n">
        <v>1</v>
      </c>
      <c r="F1260" s="6" t="inlineStr">
        <is>
          <t>112-6962999-7838667</t>
        </is>
      </c>
      <c r="G1260" s="15" t="inlineStr">
        <is>
          <t>F</t>
        </is>
      </c>
      <c r="H1260" s="9" t="inlineStr">
        <is>
          <t>bella Electric Slow Cooker 1.5 Qt, Dishwasher Safe Removable Stoneware Pot and Glass Lid, Adjustable Temperature &amp; Cool Touch Handles, Portable Mini Rice Cooker, Baby Food Steamer &amp; Soup Warmer, Black</t>
        </is>
      </c>
      <c r="I1260" s="9" t="n">
        <v>1</v>
      </c>
      <c r="J1260" s="9" t="inlineStr">
        <is>
          <t>cnt</t>
        </is>
      </c>
      <c r="K1260" s="9" t="n">
        <v>14.99</v>
      </c>
    </row>
    <row r="1261" ht="15" customFormat="1" customHeight="1" s="5">
      <c r="A1261" s="81" t="n">
        <v>45927</v>
      </c>
      <c r="B1261" s="78" t="n">
        <v>0.8861111111111111</v>
      </c>
      <c r="C1261" s="5" t="inlineStr">
        <is>
          <t>Amazon</t>
        </is>
      </c>
      <c r="D1261" s="5" t="n">
        <v>1</v>
      </c>
      <c r="F1261" s="6" t="inlineStr">
        <is>
          <t>112-6962999-7838667</t>
        </is>
      </c>
      <c r="G1261" s="15" t="inlineStr">
        <is>
          <t>G</t>
        </is>
      </c>
      <c r="H1261" s="9" t="inlineStr">
        <is>
          <t>Bedside Commode Soft Cushion, Thick Cushion Pad PU Cover Cotton Filler with Fixing Straps for Commode Chair, Washable Toilet Seat Cushion for Seniors for Elderly Adults Visit the Tideme Store</t>
        </is>
      </c>
      <c r="I1261" s="9" t="n">
        <v>1</v>
      </c>
      <c r="J1261" s="9" t="inlineStr">
        <is>
          <t>cnt</t>
        </is>
      </c>
      <c r="K1261" s="9" t="n">
        <v>28.38</v>
      </c>
    </row>
    <row r="1262" ht="15" customFormat="1" customHeight="1" s="5">
      <c r="A1262" s="81" t="n">
        <v>45927</v>
      </c>
      <c r="B1262" s="78" t="n">
        <v>0.8861111111111111</v>
      </c>
      <c r="C1262" s="5" t="inlineStr">
        <is>
          <t>Amazon</t>
        </is>
      </c>
      <c r="D1262" s="5" t="n">
        <v>1</v>
      </c>
      <c r="F1262" s="6" t="inlineStr">
        <is>
          <t>112-6962999-7838667</t>
        </is>
      </c>
      <c r="G1262" s="15" t="inlineStr">
        <is>
          <t>H</t>
        </is>
      </c>
      <c r="H1262" s="9" t="inlineStr">
        <is>
          <t>Yoni Steaming Herbs (5 Steams) | Cleansing + Gentle Formula | Formulated by Trained Herbalist | USDA Organic Vaginal Steam, V-Steam, Yoni Steaming Herbs | V Steam Kit</t>
        </is>
      </c>
      <c r="I1262" s="9" t="n">
        <v>4.8</v>
      </c>
      <c r="J1262" s="9" t="inlineStr">
        <is>
          <t>oz</t>
        </is>
      </c>
      <c r="K1262" s="9" t="n">
        <v>17.99</v>
      </c>
    </row>
    <row r="1263" ht="15" customFormat="1" customHeight="1" s="5">
      <c r="A1263" s="81" t="n">
        <v>45927</v>
      </c>
      <c r="B1263" s="78" t="n">
        <v>0.8861111111111111</v>
      </c>
      <c r="C1263" s="5" t="inlineStr">
        <is>
          <t>Amazon</t>
        </is>
      </c>
      <c r="D1263" s="5" t="n">
        <v>1</v>
      </c>
      <c r="F1263" s="6" t="inlineStr">
        <is>
          <t>112-6962999-7838667</t>
        </is>
      </c>
      <c r="G1263" s="15" t="inlineStr">
        <is>
          <t>H</t>
        </is>
      </c>
      <c r="H1263" s="9" t="inlineStr">
        <is>
          <t>**DISCOUNT** Amazon Subscribe and Save 10% off</t>
        </is>
      </c>
      <c r="I1263" s="9" t="n">
        <v>4.8</v>
      </c>
      <c r="J1263" s="9" t="inlineStr">
        <is>
          <t>oz</t>
        </is>
      </c>
      <c r="K1263" s="9" t="n">
        <v>-1.8</v>
      </c>
    </row>
    <row r="1264" ht="15" customFormat="1" customHeight="1" s="5">
      <c r="A1264" s="81" t="n">
        <v>45927</v>
      </c>
      <c r="B1264" s="78" t="n">
        <v>0.8861111111111111</v>
      </c>
      <c r="C1264" s="5" t="inlineStr">
        <is>
          <t>Amazon</t>
        </is>
      </c>
      <c r="D1264" s="5" t="n">
        <v>1</v>
      </c>
      <c r="F1264" s="6" t="inlineStr">
        <is>
          <t>112-6962999-7838667</t>
        </is>
      </c>
      <c r="G1264" s="15" t="inlineStr">
        <is>
          <t>I</t>
        </is>
      </c>
      <c r="H1264" s="9" t="inlineStr">
        <is>
          <t>Yoni Steaming Herbs (5 Steams) | Cleansing + Gentle Formula | Formulated by Trained Herbalist | USDA Organic Vaginal Steam, V-Steam, Yoni Steaming Herbs | V Steam Kit</t>
        </is>
      </c>
      <c r="I1264" s="9" t="n">
        <v>4.8</v>
      </c>
      <c r="J1264" s="9" t="inlineStr">
        <is>
          <t>oz</t>
        </is>
      </c>
      <c r="K1264" s="9" t="n">
        <v>17.99</v>
      </c>
    </row>
    <row r="1265" ht="15" customFormat="1" customHeight="1" s="5">
      <c r="A1265" s="81" t="n">
        <v>45927</v>
      </c>
      <c r="B1265" s="78" t="n">
        <v>0.8861111111111111</v>
      </c>
      <c r="C1265" s="5" t="inlineStr">
        <is>
          <t>Amazon</t>
        </is>
      </c>
      <c r="D1265" s="5" t="n">
        <v>1</v>
      </c>
      <c r="F1265" s="6" t="inlineStr">
        <is>
          <t>112-6962999-7838667</t>
        </is>
      </c>
      <c r="G1265" s="15" t="inlineStr">
        <is>
          <t>I</t>
        </is>
      </c>
      <c r="H1265" s="9" t="inlineStr">
        <is>
          <t>**DISCOUNT** Amazon Subscribe and Save 10% off</t>
        </is>
      </c>
      <c r="I1265" s="9" t="n">
        <v>4.8</v>
      </c>
      <c r="J1265" s="9" t="inlineStr">
        <is>
          <t>oz</t>
        </is>
      </c>
      <c r="K1265" s="9" t="n">
        <v>-1.8</v>
      </c>
    </row>
    <row r="1266" ht="15" customFormat="1" customHeight="1" s="5">
      <c r="A1266" s="81" t="n">
        <v>45927</v>
      </c>
      <c r="B1266" s="78" t="n">
        <v>0.8861111111111111</v>
      </c>
      <c r="C1266" s="5" t="inlineStr">
        <is>
          <t>Amazon</t>
        </is>
      </c>
      <c r="D1266" s="5" t="n">
        <v>1</v>
      </c>
      <c r="F1266" s="6" t="inlineStr">
        <is>
          <t>112-6962999-7838667</t>
        </is>
      </c>
      <c r="G1266" s="15" t="inlineStr">
        <is>
          <t>J</t>
        </is>
      </c>
      <c r="H1266" s="9" t="inlineStr">
        <is>
          <t>Yoni Steaming Herbs (5 Steams) | Cleansing + Gentle Formula | Formulated by Trained Herbalist | USDA Organic Vaginal Steam, V-Steam, Yoni Steaming Herbs | V Steam Kit</t>
        </is>
      </c>
      <c r="I1266" s="9" t="n">
        <v>4.8</v>
      </c>
      <c r="J1266" s="9" t="inlineStr">
        <is>
          <t>oz</t>
        </is>
      </c>
      <c r="K1266" s="9" t="n">
        <v>17.99</v>
      </c>
    </row>
    <row r="1267" ht="15" customFormat="1" customHeight="1" s="5">
      <c r="A1267" s="81" t="n">
        <v>45927</v>
      </c>
      <c r="B1267" s="78" t="n">
        <v>0.8861111111111111</v>
      </c>
      <c r="C1267" s="5" t="inlineStr">
        <is>
          <t>Amazon</t>
        </is>
      </c>
      <c r="D1267" s="5" t="n">
        <v>1</v>
      </c>
      <c r="F1267" s="6" t="inlineStr">
        <is>
          <t>112-6962999-7838667</t>
        </is>
      </c>
      <c r="G1267" s="15" t="inlineStr">
        <is>
          <t>J</t>
        </is>
      </c>
      <c r="H1267" s="9" t="inlineStr">
        <is>
          <t>**DISCOUNT** Amazon Subscribe and Save 10% off</t>
        </is>
      </c>
      <c r="I1267" s="9" t="n">
        <v>4.8</v>
      </c>
      <c r="J1267" s="9" t="inlineStr">
        <is>
          <t>oz</t>
        </is>
      </c>
      <c r="K1267" s="9" t="n">
        <v>-1.8</v>
      </c>
    </row>
    <row r="1268" ht="15" customFormat="1" customHeight="1" s="5">
      <c r="A1268" s="81" t="n">
        <v>45927</v>
      </c>
      <c r="B1268" s="78" t="n">
        <v>0.8861111111111111</v>
      </c>
      <c r="C1268" s="5" t="inlineStr">
        <is>
          <t>Amazon</t>
        </is>
      </c>
      <c r="D1268" s="5" t="n">
        <v>1</v>
      </c>
      <c r="F1268" s="6" t="inlineStr">
        <is>
          <t>112-6962999-7838667</t>
        </is>
      </c>
      <c r="G1268" s="15" t="n"/>
      <c r="H1268" s="9" t="inlineStr">
        <is>
          <t>Co retail delivery fees</t>
        </is>
      </c>
      <c r="I1268" s="9" t="n">
        <v>13</v>
      </c>
      <c r="J1268" s="9" t="inlineStr">
        <is>
          <t>cnt</t>
        </is>
      </c>
      <c r="K1268" s="9" t="n">
        <v>0.28</v>
      </c>
    </row>
    <row r="1269" ht="15" customFormat="1" customHeight="1" s="5">
      <c r="A1269" s="81" t="n">
        <v>45927</v>
      </c>
      <c r="B1269" s="78" t="n">
        <v>0.8861111111111111</v>
      </c>
      <c r="C1269" s="5" t="inlineStr">
        <is>
          <t>Amazon</t>
        </is>
      </c>
      <c r="D1269" s="5" t="n">
        <v>1</v>
      </c>
      <c r="F1269" s="6" t="inlineStr">
        <is>
          <t>112-6962999-7838667</t>
        </is>
      </c>
      <c r="G1269" s="15" t="n"/>
      <c r="H1269" s="9" t="inlineStr">
        <is>
          <t>Tax</t>
        </is>
      </c>
      <c r="I1269" s="9" t="n">
        <v>11</v>
      </c>
      <c r="J1269" s="9" t="inlineStr">
        <is>
          <t>cnt</t>
        </is>
      </c>
      <c r="K1269" s="9" t="n">
        <v>23.49</v>
      </c>
    </row>
    <row r="1270" ht="15" customFormat="1" customHeight="1" s="5">
      <c r="A1270" s="81" t="n">
        <v>45927</v>
      </c>
      <c r="B1270" s="78" t="n">
        <v>0.7548611111111111</v>
      </c>
      <c r="C1270" s="5" t="inlineStr">
        <is>
          <t>Venmo</t>
        </is>
      </c>
      <c r="D1270" s="5" t="n">
        <v>1</v>
      </c>
      <c r="F1270" s="6" t="inlineStr">
        <is>
          <t>4431282386723408139</t>
        </is>
      </c>
      <c r="G1270" s="15" t="n"/>
      <c r="H1270" s="9" t="inlineStr">
        <is>
          <t>2 Prenatal Massages (75-90 min each)</t>
        </is>
      </c>
      <c r="I1270" s="9" t="n">
        <v>2</v>
      </c>
      <c r="J1270" s="9" t="inlineStr">
        <is>
          <t>cnt</t>
        </is>
      </c>
      <c r="K1270" s="9" t="n">
        <v>115</v>
      </c>
    </row>
    <row r="1271" ht="15" customFormat="1" customHeight="1" s="5">
      <c r="A1271" s="81" t="n">
        <v>45927</v>
      </c>
      <c r="B1271" s="78" t="n">
        <v>0.7548611111111111</v>
      </c>
      <c r="C1271" s="5" t="inlineStr">
        <is>
          <t>Venmo</t>
        </is>
      </c>
      <c r="D1271" s="5" t="n">
        <v>1</v>
      </c>
      <c r="F1271" s="6" t="inlineStr">
        <is>
          <t>4431282386723408139</t>
        </is>
      </c>
      <c r="G1271" s="15" t="n"/>
      <c r="H1271" s="9" t="inlineStr">
        <is>
          <t>Tip: Carolina Gosselin Prenatal Massage 2/2</t>
        </is>
      </c>
      <c r="I1271" s="9" t="n">
        <v>1</v>
      </c>
      <c r="J1271" s="9" t="inlineStr">
        <is>
          <t>cnt</t>
        </is>
      </c>
      <c r="K1271" s="9" t="n">
        <v>20</v>
      </c>
    </row>
    <row r="1272" ht="15" customFormat="1" customHeight="1" s="5">
      <c r="A1272" s="81" t="n">
        <v>45927</v>
      </c>
      <c r="B1272" s="78" t="n">
        <v>0.5472222222222223</v>
      </c>
      <c r="C1272" s="5" t="inlineStr">
        <is>
          <t>Allegacy FCU</t>
        </is>
      </c>
      <c r="D1272" s="5" t="n">
        <v>1</v>
      </c>
      <c r="F1272" s="6" t="n"/>
      <c r="G1272" s="15" t="n"/>
      <c r="H1272" s="9" t="inlineStr">
        <is>
          <t>Costco credit promotion from Eli signing up for ATT</t>
        </is>
      </c>
      <c r="I1272" s="9" t="n">
        <v>1</v>
      </c>
      <c r="J1272" s="9" t="inlineStr">
        <is>
          <t>cnt</t>
        </is>
      </c>
      <c r="K1272" s="9" t="n">
        <v>-100</v>
      </c>
    </row>
    <row r="1273" ht="15" customFormat="1" customHeight="1" s="5">
      <c r="A1273" s="81" t="n">
        <v>45927</v>
      </c>
      <c r="B1273" s="78" t="n">
        <v>0.5409722222222222</v>
      </c>
      <c r="C1273" s="5" t="inlineStr">
        <is>
          <t>AT&amp;T</t>
        </is>
      </c>
      <c r="D1273" s="5" t="n">
        <v>1</v>
      </c>
      <c r="F1273" s="6" t="inlineStr">
        <is>
          <t>8MX7MYW9G03DXLG</t>
        </is>
      </c>
      <c r="G1273" s="15" t="n"/>
      <c r="H1273" s="9" t="inlineStr">
        <is>
          <t>Pay off Eli's iPhone 16 Plus installment plan</t>
        </is>
      </c>
      <c r="I1273" s="9" t="n"/>
      <c r="J1273" s="9" t="n"/>
      <c r="K1273" s="9" t="n">
        <v>826.63</v>
      </c>
    </row>
    <row r="1274" ht="15" customFormat="1" customHeight="1" s="5">
      <c r="A1274" s="81" t="n">
        <v>45927</v>
      </c>
      <c r="B1274" s="78" t="n">
        <v>0.3694444444444445</v>
      </c>
      <c r="C1274" s="5" t="inlineStr">
        <is>
          <t>Costco</t>
        </is>
      </c>
      <c r="E1274" s="5" t="n">
        <v>1</v>
      </c>
      <c r="F1274" s="6" t="inlineStr">
        <is>
          <t>97727</t>
        </is>
      </c>
      <c r="G1274" s="15" t="inlineStr">
        <is>
          <t>3</t>
        </is>
      </c>
      <c r="H1274" s="9" t="inlineStr">
        <is>
          <t>Subaru Gas 15.124 Gallons @ $2.459/gal</t>
        </is>
      </c>
      <c r="I1274" s="9" t="n">
        <v>15.124</v>
      </c>
      <c r="J1274" s="9" t="inlineStr">
        <is>
          <t>gal</t>
        </is>
      </c>
      <c r="K1274" s="9" t="n">
        <v>37.19</v>
      </c>
    </row>
    <row r="1275" ht="15" customFormat="1" customHeight="1" s="5">
      <c r="A1275" s="81" t="n">
        <v>45926</v>
      </c>
      <c r="B1275" s="82" t="n">
        <v>0.2916666666666667</v>
      </c>
      <c r="C1275" s="5" t="inlineStr">
        <is>
          <t>Amazon</t>
        </is>
      </c>
      <c r="D1275" s="5" t="n">
        <v>1</v>
      </c>
      <c r="F1275" s="6" t="inlineStr">
        <is>
          <t>113-7787018-9584216</t>
        </is>
      </c>
      <c r="G1275" s="15" t="n"/>
      <c r="H1275" s="9" t="inlineStr">
        <is>
          <t>Amazon mistakenly chargef or Bluewood playset</t>
        </is>
      </c>
      <c r="I1275" s="9" t="n">
        <v>1</v>
      </c>
      <c r="J1275" s="9" t="inlineStr">
        <is>
          <t>cnt</t>
        </is>
      </c>
      <c r="K1275" s="9" t="n">
        <v>205.19</v>
      </c>
    </row>
    <row r="1276" ht="15" customFormat="1" customHeight="1" s="5">
      <c r="A1276" s="81" t="n">
        <v>45925</v>
      </c>
      <c r="B1276" s="78" t="n">
        <v>0.3951388888888889</v>
      </c>
      <c r="C1276" s="5" t="inlineStr">
        <is>
          <t>Amazon</t>
        </is>
      </c>
      <c r="D1276" s="5" t="n">
        <v>1</v>
      </c>
      <c r="F1276" s="6" t="inlineStr">
        <is>
          <t>111-5816143-8815419</t>
        </is>
      </c>
      <c r="G1276" s="15" t="n"/>
      <c r="H1276" s="9" t="inlineStr">
        <is>
          <t>**RETURNED** Evenflo Expansion Walk-Thru Room ...</t>
        </is>
      </c>
      <c r="I1276" s="9" t="n"/>
      <c r="J1276" s="9" t="n"/>
      <c r="K1276" s="9" t="n">
        <v>-59.39</v>
      </c>
    </row>
    <row r="1277" ht="15" customFormat="1" customHeight="1" s="5">
      <c r="A1277" s="81" t="n">
        <v>45925</v>
      </c>
      <c r="B1277" s="78" t="n">
        <v>0.3888888888888889</v>
      </c>
      <c r="C1277" s="5" t="inlineStr">
        <is>
          <t>Safeway</t>
        </is>
      </c>
      <c r="E1277" s="5" t="n">
        <v>1</v>
      </c>
      <c r="F1277" s="6" t="inlineStr">
        <is>
          <t>2612 93 22 8893</t>
        </is>
      </c>
      <c r="G1277" s="15" t="inlineStr">
        <is>
          <t>89470001001</t>
        </is>
      </c>
      <c r="H1277" s="9" t="inlineStr">
        <is>
          <t>Chobani Greek Yogurt Nonfat Plain single Serving</t>
        </is>
      </c>
      <c r="I1277" s="9" t="n">
        <v>5.3</v>
      </c>
      <c r="J1277" s="9" t="inlineStr">
        <is>
          <t>oz</t>
        </is>
      </c>
      <c r="K1277" s="9" t="n">
        <v>1.49</v>
      </c>
    </row>
    <row r="1278" ht="15" customFormat="1" customHeight="1" s="5">
      <c r="A1278" s="81" t="n">
        <v>45925</v>
      </c>
      <c r="B1278" s="78" t="n">
        <v>0.3888888888888889</v>
      </c>
      <c r="C1278" s="5" t="inlineStr">
        <is>
          <t>Safeway</t>
        </is>
      </c>
      <c r="E1278" s="5" t="n">
        <v>1</v>
      </c>
      <c r="F1278" s="6" t="inlineStr">
        <is>
          <t>2612 93 22 8893</t>
        </is>
      </c>
      <c r="G1278" s="15" t="n"/>
      <c r="H1278" s="9" t="inlineStr">
        <is>
          <t>**DISCOUNT** Member Savings</t>
        </is>
      </c>
      <c r="I1278" s="9" t="n">
        <v>5.3</v>
      </c>
      <c r="J1278" s="9" t="inlineStr">
        <is>
          <t>oz</t>
        </is>
      </c>
      <c r="K1278" s="9" t="n">
        <v>-0.49</v>
      </c>
    </row>
    <row r="1279" ht="15" customFormat="1" customHeight="1" s="5">
      <c r="A1279" s="81" t="n">
        <v>45925</v>
      </c>
      <c r="B1279" s="78" t="n">
        <v>0.3888888888888889</v>
      </c>
      <c r="C1279" s="5" t="inlineStr">
        <is>
          <t>Safeway</t>
        </is>
      </c>
      <c r="E1279" s="5" t="n">
        <v>1</v>
      </c>
      <c r="F1279" s="6" t="inlineStr">
        <is>
          <t>2612 93 22 8893</t>
        </is>
      </c>
      <c r="G1279" s="15" t="n"/>
      <c r="H1279" s="9" t="inlineStr">
        <is>
          <t>**DISCOUNT** Basket Savings</t>
        </is>
      </c>
      <c r="I1279" s="9" t="n">
        <v>5.3</v>
      </c>
      <c r="J1279" s="9" t="inlineStr">
        <is>
          <t>oz</t>
        </is>
      </c>
      <c r="K1279" s="9" t="n">
        <v>-1</v>
      </c>
    </row>
    <row r="1280" ht="15" customFormat="1" customHeight="1" s="5">
      <c r="A1280" s="81" t="n">
        <v>45924</v>
      </c>
      <c r="B1280" s="82" t="n">
        <v>0.5034722222222222</v>
      </c>
      <c r="C1280" s="5" t="inlineStr">
        <is>
          <t>Accelerate Health</t>
        </is>
      </c>
      <c r="D1280" s="5" t="n">
        <v>1</v>
      </c>
      <c r="F1280" s="6" t="inlineStr">
        <is>
          <t>924180519</t>
        </is>
      </c>
      <c r="G1280" s="15" t="inlineStr">
        <is>
          <t>2025260BD1914</t>
        </is>
      </c>
      <c r="H1280" s="9" t="inlineStr">
        <is>
          <t>9/15 Insurance shows that I owe $135.74 total, but I did not receive a massage on this visit</t>
        </is>
      </c>
      <c r="I1280" s="9" t="n"/>
      <c r="J1280" s="9" t="n"/>
      <c r="K1280" s="9" t="n">
        <v>31.86</v>
      </c>
    </row>
    <row r="1281" ht="15" customFormat="1" customHeight="1" s="5">
      <c r="A1281" s="81" t="n">
        <v>45924</v>
      </c>
      <c r="B1281" s="82" t="n">
        <v>0.5034722222222222</v>
      </c>
      <c r="C1281" s="5" t="inlineStr">
        <is>
          <t>Accelerate Health</t>
        </is>
      </c>
      <c r="D1281" s="5" t="n">
        <v>1</v>
      </c>
      <c r="F1281" s="6" t="inlineStr">
        <is>
          <t>924180519</t>
        </is>
      </c>
      <c r="G1281" s="15" t="inlineStr">
        <is>
          <t>2025260BD1914</t>
        </is>
      </c>
      <c r="H1281" s="9" t="inlineStr">
        <is>
          <t>9/15 Lydia Chiro 20 minute follow up Dr. Kelly</t>
        </is>
      </c>
      <c r="I1281" s="5" t="n">
        <v>1</v>
      </c>
      <c r="J1281" s="5" t="inlineStr">
        <is>
          <t>cnt</t>
        </is>
      </c>
      <c r="K1281" s="5" t="n">
        <v>103.88</v>
      </c>
    </row>
    <row r="1282" ht="15" customFormat="1" customHeight="1" s="5">
      <c r="A1282" s="81" t="n">
        <v>45923</v>
      </c>
      <c r="B1282" s="78" t="n">
        <v>0.525</v>
      </c>
      <c r="C1282" s="5" t="inlineStr">
        <is>
          <t>Amazon</t>
        </is>
      </c>
      <c r="D1282" s="5" t="n">
        <v>1</v>
      </c>
      <c r="F1282" s="6" t="inlineStr">
        <is>
          <t>111-8890979-6707444</t>
        </is>
      </c>
      <c r="G1282" s="15" t="n"/>
      <c r="H1282" s="9" t="inlineStr">
        <is>
          <t>**REFUNDED** Mommy's Helper Slide-Lok Bi-Fold Door Lock, Baby Lock (Pack of 1), Closet Locks for Double Doors, Fits Most Doors - Included Shim Makes Tighter Fit for Thin Doors</t>
        </is>
      </c>
      <c r="I1282" s="9" t="n"/>
      <c r="J1282" s="9" t="n"/>
      <c r="K1282" s="9" t="n">
        <v>-7.4</v>
      </c>
    </row>
    <row r="1283" ht="15" customFormat="1" customHeight="1" s="5">
      <c r="A1283" s="81" t="n">
        <v>45923</v>
      </c>
      <c r="B1283" s="78" t="n">
        <v>0.4995601851851852</v>
      </c>
      <c r="C1283" s="5" t="inlineStr">
        <is>
          <t>Safeway</t>
        </is>
      </c>
      <c r="D1283" s="5" t="n">
        <v>1</v>
      </c>
      <c r="F1283" s="6" t="inlineStr">
        <is>
          <t>141029583</t>
        </is>
      </c>
      <c r="G1283" s="15" t="inlineStr">
        <is>
          <t>209-636-80</t>
        </is>
      </c>
      <c r="H1283" s="9" t="inlineStr">
        <is>
          <t>Online Order Discount! Confirm that it shows up on payPal card</t>
        </is>
      </c>
      <c r="I1283" s="9" t="n">
        <v>1</v>
      </c>
      <c r="J1283" s="9" t="inlineStr">
        <is>
          <t>cnt</t>
        </is>
      </c>
      <c r="K1283" s="9" t="n">
        <v>-5</v>
      </c>
    </row>
    <row r="1284" ht="15" customFormat="1" customHeight="1" s="5">
      <c r="A1284" s="81" t="n">
        <v>45922</v>
      </c>
      <c r="B1284" s="78" t="n">
        <v>0.9076388888888889</v>
      </c>
      <c r="C1284" s="5" t="inlineStr">
        <is>
          <t>Amazon</t>
        </is>
      </c>
      <c r="D1284" s="5" t="n">
        <v>1</v>
      </c>
      <c r="F1284" s="6" t="inlineStr">
        <is>
          <t>112-1339958-378425</t>
        </is>
      </c>
      <c r="G1284" s="15" t="n"/>
      <c r="H1284" s="9" t="inlineStr">
        <is>
          <t xml:space="preserve">Owlet Cam Smart Video Baby Monitor with Video Camera and Audio - Secure WiFi, 1080p Night Vision, Customize Cry, Sound and Motion Alerts, 2-Way Audio, Mounting kit -- "Open Box, Like New: Screen is like new with no visible scratches. Item will come in original packaging." </t>
        </is>
      </c>
      <c r="I1284" s="9" t="n">
        <v>1</v>
      </c>
      <c r="J1284" s="9" t="inlineStr">
        <is>
          <t>cnt</t>
        </is>
      </c>
      <c r="K1284" s="9" t="n">
        <v>57.7</v>
      </c>
    </row>
    <row r="1285" ht="15" customFormat="1" customHeight="1" s="5">
      <c r="A1285" s="81" t="n">
        <v>45922</v>
      </c>
      <c r="B1285" s="78" t="n">
        <v>0.9076388888888889</v>
      </c>
      <c r="C1285" s="5" t="inlineStr">
        <is>
          <t>Amazon</t>
        </is>
      </c>
      <c r="D1285" s="5" t="n">
        <v>1</v>
      </c>
      <c r="F1285" s="6" t="inlineStr">
        <is>
          <t>112-1339958-378425</t>
        </is>
      </c>
      <c r="G1285" s="15" t="n"/>
      <c r="H1285" s="9" t="inlineStr">
        <is>
          <t>Co retail delivery fees</t>
        </is>
      </c>
      <c r="I1285" s="9" t="n">
        <v>1</v>
      </c>
      <c r="J1285" s="9" t="inlineStr">
        <is>
          <t>cnt</t>
        </is>
      </c>
      <c r="K1285" s="9" t="n">
        <v>0.28</v>
      </c>
    </row>
    <row r="1286" ht="15" customFormat="1" customHeight="1" s="5">
      <c r="A1286" s="81" t="n">
        <v>45922</v>
      </c>
      <c r="B1286" s="78" t="n">
        <v>0.9076388888888889</v>
      </c>
      <c r="C1286" s="5" t="inlineStr">
        <is>
          <t>Amazon</t>
        </is>
      </c>
      <c r="D1286" s="5" t="n">
        <v>1</v>
      </c>
      <c r="F1286" s="6" t="inlineStr">
        <is>
          <t>112-1339958-378425</t>
        </is>
      </c>
      <c r="G1286" s="15" t="n"/>
      <c r="H1286" s="9" t="inlineStr">
        <is>
          <t>Tax</t>
        </is>
      </c>
      <c r="I1286" s="9" t="n">
        <v>1</v>
      </c>
      <c r="J1286" s="9" t="inlineStr">
        <is>
          <t>cnt</t>
        </is>
      </c>
      <c r="K1286" s="9" t="n">
        <v>4.62</v>
      </c>
    </row>
    <row r="1287" ht="15" customFormat="1" customHeight="1" s="5">
      <c r="A1287" s="81" t="n">
        <v>45922</v>
      </c>
      <c r="B1287" s="78" t="n">
        <v>0.4118055555555555</v>
      </c>
      <c r="C1287" s="5" t="inlineStr">
        <is>
          <t>Costco</t>
        </is>
      </c>
      <c r="E1287" s="5" t="n">
        <v>1</v>
      </c>
      <c r="F1287" s="6" t="inlineStr">
        <is>
          <t>439 209 18 709</t>
        </is>
      </c>
      <c r="G1287" s="15" t="inlineStr">
        <is>
          <t>E 1143205</t>
        </is>
      </c>
      <c r="H1287" s="9" t="inlineStr">
        <is>
          <t>Mandarin Orange Chicken</t>
        </is>
      </c>
      <c r="I1287" s="9" t="n">
        <v>66</v>
      </c>
      <c r="J1287" s="9" t="inlineStr">
        <is>
          <t>oz</t>
        </is>
      </c>
      <c r="K1287" s="9" t="n">
        <v>15.99</v>
      </c>
    </row>
    <row r="1288" ht="15" customFormat="1" customHeight="1" s="5">
      <c r="A1288" s="81" t="n">
        <v>45922</v>
      </c>
      <c r="B1288" s="78" t="n">
        <v>0.4118055555555555</v>
      </c>
      <c r="C1288" s="5" t="inlineStr">
        <is>
          <t>Costco</t>
        </is>
      </c>
      <c r="E1288" s="5" t="n">
        <v>1</v>
      </c>
      <c r="F1288" s="6" t="inlineStr">
        <is>
          <t>439 209 18 709</t>
        </is>
      </c>
      <c r="G1288" s="15" t="inlineStr">
        <is>
          <t>E 0000362723</t>
        </is>
      </c>
      <c r="H1288" s="9" t="inlineStr">
        <is>
          <t>**DISCOUNT** /1143205 Orange Chicken</t>
        </is>
      </c>
      <c r="I1288" s="9" t="n">
        <v>66</v>
      </c>
      <c r="J1288" s="9" t="inlineStr">
        <is>
          <t>oz</t>
        </is>
      </c>
      <c r="K1288" s="9" t="inlineStr">
        <is>
          <t>4.0-</t>
        </is>
      </c>
    </row>
    <row r="1289" ht="15" customFormat="1" customHeight="1" s="5">
      <c r="A1289" s="81" t="n">
        <v>45922</v>
      </c>
      <c r="B1289" s="78" t="n">
        <v>0.4118055555555555</v>
      </c>
      <c r="C1289" s="5" t="inlineStr">
        <is>
          <t>Costco</t>
        </is>
      </c>
      <c r="E1289" s="5" t="n">
        <v>1</v>
      </c>
      <c r="F1289" s="6" t="inlineStr">
        <is>
          <t>439 209 18 709</t>
        </is>
      </c>
      <c r="G1289" s="15" t="inlineStr">
        <is>
          <t>E 80487</t>
        </is>
      </c>
      <c r="H1289" s="9" t="inlineStr">
        <is>
          <t>Brussel Sprouts</t>
        </is>
      </c>
      <c r="I1289" s="9" t="n">
        <v>2</v>
      </c>
      <c r="J1289" s="9" t="inlineStr">
        <is>
          <t>lb</t>
        </is>
      </c>
      <c r="K1289" s="9" t="n">
        <v>5.99</v>
      </c>
    </row>
    <row r="1290" ht="15" customFormat="1" customHeight="1" s="5">
      <c r="A1290" s="81" t="n">
        <v>45922</v>
      </c>
      <c r="B1290" s="78" t="n">
        <v>0.4118055555555555</v>
      </c>
      <c r="C1290" s="5" t="inlineStr">
        <is>
          <t>Costco</t>
        </is>
      </c>
      <c r="E1290" s="5" t="n">
        <v>1</v>
      </c>
      <c r="F1290" s="6" t="inlineStr">
        <is>
          <t>439 209 18 709</t>
        </is>
      </c>
      <c r="G1290" s="15" t="inlineStr">
        <is>
          <t>E 679131</t>
        </is>
      </c>
      <c r="H1290" s="9" t="inlineStr">
        <is>
          <t>Kirkland Signature Organic Pure Maple Syrup, 33.8 oz</t>
        </is>
      </c>
      <c r="I1290" s="9" t="n">
        <v>33.8</v>
      </c>
      <c r="J1290" s="9" t="inlineStr">
        <is>
          <t>oz</t>
        </is>
      </c>
      <c r="K1290" s="9" t="n">
        <v>12.59</v>
      </c>
    </row>
    <row r="1291" ht="15" customFormat="1" customHeight="1" s="5">
      <c r="A1291" s="81" t="n">
        <v>45922</v>
      </c>
      <c r="B1291" s="78" t="n">
        <v>0.4118055555555555</v>
      </c>
      <c r="C1291" s="5" t="inlineStr">
        <is>
          <t>Costco</t>
        </is>
      </c>
      <c r="E1291" s="5" t="n">
        <v>1</v>
      </c>
      <c r="F1291" s="6" t="inlineStr">
        <is>
          <t>439 209 18 709</t>
        </is>
      </c>
      <c r="G1291" s="15" t="inlineStr">
        <is>
          <t>E 647465</t>
        </is>
      </c>
      <c r="H1291" s="9" t="inlineStr">
        <is>
          <t>Avocados 6 count</t>
        </is>
      </c>
      <c r="I1291" s="9" t="n">
        <v>6</v>
      </c>
      <c r="J1291" s="9" t="inlineStr">
        <is>
          <t>cnt</t>
        </is>
      </c>
      <c r="K1291" s="9" t="n">
        <v>5.69</v>
      </c>
    </row>
    <row r="1292" ht="15" customFormat="1" customHeight="1" s="5">
      <c r="A1292" s="81" t="n">
        <v>45922</v>
      </c>
      <c r="B1292" s="78" t="n">
        <v>0.4118055555555555</v>
      </c>
      <c r="C1292" s="5" t="inlineStr">
        <is>
          <t>Costco</t>
        </is>
      </c>
      <c r="E1292" s="5" t="n">
        <v>1</v>
      </c>
      <c r="F1292" s="6" t="inlineStr">
        <is>
          <t>439 209 18 709</t>
        </is>
      </c>
      <c r="G1292" s="15" t="inlineStr">
        <is>
          <t>E 61576</t>
        </is>
      </c>
      <c r="H1292" s="9" t="inlineStr">
        <is>
          <t>Sweet Potato</t>
        </is>
      </c>
      <c r="I1292" s="9" t="n">
        <v>5</v>
      </c>
      <c r="J1292" s="9" t="inlineStr">
        <is>
          <t>lb</t>
        </is>
      </c>
      <c r="K1292" s="9" t="n">
        <v>5.99</v>
      </c>
    </row>
    <row r="1293" ht="15" customFormat="1" customHeight="1" s="5">
      <c r="A1293" s="81" t="n">
        <v>45922</v>
      </c>
      <c r="B1293" s="78" t="n">
        <v>0.4118055555555555</v>
      </c>
      <c r="C1293" s="5" t="inlineStr">
        <is>
          <t>Costco</t>
        </is>
      </c>
      <c r="E1293" s="5" t="n">
        <v>1</v>
      </c>
      <c r="F1293" s="6" t="inlineStr">
        <is>
          <t>439 209 18 709</t>
        </is>
      </c>
      <c r="G1293" s="15" t="inlineStr">
        <is>
          <t>E 403349</t>
        </is>
      </c>
      <c r="H1293" s="9" t="inlineStr">
        <is>
          <t>Nanak Rasmalai 12 pieces</t>
        </is>
      </c>
      <c r="I1293" s="9" t="n">
        <v>2.2</v>
      </c>
      <c r="J1293" s="9" t="inlineStr">
        <is>
          <t>lb</t>
        </is>
      </c>
      <c r="K1293" s="9" t="n">
        <v>8.99</v>
      </c>
    </row>
    <row r="1294" ht="15" customFormat="1" customHeight="1" s="5">
      <c r="A1294" s="81" t="n">
        <v>45922</v>
      </c>
      <c r="B1294" s="78" t="n">
        <v>0.4118055555555555</v>
      </c>
      <c r="C1294" s="5" t="inlineStr">
        <is>
          <t>Costco</t>
        </is>
      </c>
      <c r="E1294" s="5" t="n">
        <v>1</v>
      </c>
      <c r="F1294" s="6" t="inlineStr">
        <is>
          <t>439 209 18 709</t>
        </is>
      </c>
      <c r="G1294" s="15" t="inlineStr">
        <is>
          <t>1909331</t>
        </is>
      </c>
      <c r="H1294" s="9" t="inlineStr">
        <is>
          <t>Nutribullet Pro+ Blender 1200 watts + 4pk metal straws "nutribullet Pro Plus Blender, Matte Black" "Model  N12-1401MKP" "Accessories: Extractor Blade; 32 Ounce Cup; 24 Ounce Cup; (2) Flip Top To-Go Lids; (2) Cup Lip Rings; (4) Stainless Steel Straws; Product Features: Powerful 1200-Watt Motor Base, Pre-Programmed Pulse Cycle, Hands-free auto shut-off.Stainless Steel Extractor Blades, High-performance, durable plastic cup, Hassle-free cleaning;; Dimensions &amp; More Info: Type of material made out of: Plastic and Stainless Steel; 5.26" L x 4.8" W x 14.4" H; 6.2 lbs.; Watts 1200; RPM 24000; Made in China"</t>
        </is>
      </c>
      <c r="I1294" s="9" t="n">
        <v>1</v>
      </c>
      <c r="J1294" s="9" t="inlineStr">
        <is>
          <t>cnt</t>
        </is>
      </c>
      <c r="K1294" s="9" t="inlineStr">
        <is>
          <t>99.99 A</t>
        </is>
      </c>
    </row>
    <row r="1295" ht="15" customFormat="1" customHeight="1" s="5">
      <c r="A1295" s="81" t="n">
        <v>45922</v>
      </c>
      <c r="B1295" s="78" t="n">
        <v>0.4118055555555555</v>
      </c>
      <c r="C1295" s="5" t="inlineStr">
        <is>
          <t>Costco</t>
        </is>
      </c>
      <c r="E1295" s="5" t="n">
        <v>1</v>
      </c>
      <c r="F1295" s="6" t="inlineStr">
        <is>
          <t>439 209 18 709</t>
        </is>
      </c>
      <c r="G1295" s="15" t="inlineStr">
        <is>
          <t>E 47825</t>
        </is>
      </c>
      <c r="H1295" s="9" t="inlineStr">
        <is>
          <t>Green Grapes "Sweet Globe"</t>
        </is>
      </c>
      <c r="I1295" s="9" t="n">
        <v>3</v>
      </c>
      <c r="J1295" s="9" t="inlineStr">
        <is>
          <t>lb</t>
        </is>
      </c>
      <c r="K1295" s="9" t="n">
        <v>5.99</v>
      </c>
    </row>
    <row r="1296" ht="15" customFormat="1" customHeight="1" s="5">
      <c r="A1296" s="81" t="n">
        <v>45922</v>
      </c>
      <c r="B1296" s="78" t="n">
        <v>0.4118055555555555</v>
      </c>
      <c r="C1296" s="5" t="inlineStr">
        <is>
          <t>Costco</t>
        </is>
      </c>
      <c r="E1296" s="5" t="n">
        <v>1</v>
      </c>
      <c r="F1296" s="6" t="inlineStr">
        <is>
          <t>439 209 18 709</t>
        </is>
      </c>
      <c r="G1296" s="15" t="inlineStr">
        <is>
          <t>E 1199652</t>
        </is>
      </c>
      <c r="H1296" s="9" t="inlineStr">
        <is>
          <t>Butter Croissants, 12 count</t>
        </is>
      </c>
      <c r="I1296" s="9" t="n">
        <v>1.75</v>
      </c>
      <c r="J1296" s="9" t="inlineStr">
        <is>
          <t>lb</t>
        </is>
      </c>
      <c r="K1296" s="9" t="n">
        <v>5.99</v>
      </c>
    </row>
    <row r="1297" ht="15" customFormat="1" customHeight="1" s="5">
      <c r="A1297" s="81" t="n">
        <v>45922</v>
      </c>
      <c r="B1297" s="78" t="n">
        <v>0.4118055555555555</v>
      </c>
      <c r="C1297" s="5" t="inlineStr">
        <is>
          <t>Costco</t>
        </is>
      </c>
      <c r="E1297" s="5" t="n">
        <v>1</v>
      </c>
      <c r="F1297" s="6" t="inlineStr">
        <is>
          <t>439 209 18 709</t>
        </is>
      </c>
      <c r="G1297" s="15" t="inlineStr">
        <is>
          <t>E 1141000</t>
        </is>
      </c>
      <c r="H1297" s="9" t="inlineStr">
        <is>
          <t xml:space="preserve">KS Brats </t>
        </is>
      </c>
      <c r="I1297" s="9" t="n">
        <v>56</v>
      </c>
      <c r="J1297" s="9" t="inlineStr">
        <is>
          <t>oz</t>
        </is>
      </c>
      <c r="K1297" s="9" t="n">
        <v>13.49</v>
      </c>
    </row>
    <row r="1298" ht="15" customFormat="1" customHeight="1" s="5">
      <c r="A1298" s="81" t="n">
        <v>45922</v>
      </c>
      <c r="B1298" s="78" t="n">
        <v>0.4118055555555555</v>
      </c>
      <c r="C1298" s="5" t="inlineStr">
        <is>
          <t>Costco</t>
        </is>
      </c>
      <c r="E1298" s="5" t="n">
        <v>1</v>
      </c>
      <c r="F1298" s="6" t="inlineStr">
        <is>
          <t>439 209 18 709</t>
        </is>
      </c>
      <c r="G1298" s="15" t="inlineStr">
        <is>
          <t>1796167</t>
        </is>
      </c>
      <c r="H1298" s="9" t="inlineStr">
        <is>
          <t>Heated Throw "Luxe Faux Fur Throw: TAN" "Berkshire Life" "100% Polyester, 50" x 60", machine washable"</t>
        </is>
      </c>
      <c r="I1298" s="9" t="n">
        <v>1</v>
      </c>
      <c r="J1298" s="9" t="inlineStr">
        <is>
          <t>cnt</t>
        </is>
      </c>
      <c r="K1298" s="9" t="inlineStr">
        <is>
          <t>29.99 A</t>
        </is>
      </c>
    </row>
    <row r="1299" ht="15" customFormat="1" customHeight="1" s="5">
      <c r="A1299" s="81" t="n">
        <v>45922</v>
      </c>
      <c r="B1299" s="78" t="n">
        <v>0.4118055555555555</v>
      </c>
      <c r="C1299" s="5" t="inlineStr">
        <is>
          <t>Costco</t>
        </is>
      </c>
      <c r="E1299" s="5" t="n">
        <v>1</v>
      </c>
      <c r="F1299" s="6" t="inlineStr">
        <is>
          <t>439 209 18 709</t>
        </is>
      </c>
      <c r="G1299" s="15" t="inlineStr">
        <is>
          <t>E 9440</t>
        </is>
      </c>
      <c r="H1299" s="9" t="inlineStr">
        <is>
          <t>Coconut Milk" Thai Kithcen Organics, 6 count x 13.66 fl oz</t>
        </is>
      </c>
      <c r="I1299" s="9" t="n">
        <v>81.95999999999999</v>
      </c>
      <c r="J1299" s="9" t="inlineStr">
        <is>
          <t>fl oz</t>
        </is>
      </c>
      <c r="K1299" s="9" t="n">
        <v>10.99</v>
      </c>
    </row>
    <row r="1300" ht="15" customFormat="1" customHeight="1" s="5">
      <c r="A1300" s="81" t="n">
        <v>45922</v>
      </c>
      <c r="B1300" s="78" t="n">
        <v>0.4118055555555555</v>
      </c>
      <c r="C1300" s="5" t="inlineStr">
        <is>
          <t>Costco</t>
        </is>
      </c>
      <c r="E1300" s="5" t="n">
        <v>1</v>
      </c>
      <c r="F1300" s="6" t="inlineStr">
        <is>
          <t>439 209 18 709</t>
        </is>
      </c>
      <c r="G1300" s="15" t="inlineStr">
        <is>
          <t>E 000363309</t>
        </is>
      </c>
      <c r="H1300" s="9" t="inlineStr">
        <is>
          <t>**DISCOUNT** /9440 Coconut Milk</t>
        </is>
      </c>
      <c r="I1300" s="9" t="n">
        <v>81.95999999999999</v>
      </c>
      <c r="J1300" s="9" t="inlineStr">
        <is>
          <t>fl oz</t>
        </is>
      </c>
      <c r="K1300" s="9" t="inlineStr">
        <is>
          <t>2.50-</t>
        </is>
      </c>
    </row>
    <row r="1301" ht="15" customFormat="1" customHeight="1" s="5">
      <c r="A1301" s="81" t="n">
        <v>45922</v>
      </c>
      <c r="B1301" s="78" t="n">
        <v>0.4118055555555555</v>
      </c>
      <c r="C1301" s="5" t="inlineStr">
        <is>
          <t>Costco</t>
        </is>
      </c>
      <c r="E1301" s="5" t="n">
        <v>1</v>
      </c>
      <c r="F1301" s="6" t="inlineStr">
        <is>
          <t>439 209 18 709</t>
        </is>
      </c>
      <c r="G1301" s="15" t="inlineStr">
        <is>
          <t>E 1025795</t>
        </is>
      </c>
      <c r="H1301" s="9" t="inlineStr">
        <is>
          <t>KS Cage-Free Grade AA Large 5 dozen eggs (1 cracked)</t>
        </is>
      </c>
      <c r="I1301" s="9" t="n">
        <v>120</v>
      </c>
      <c r="J1301" s="9" t="inlineStr">
        <is>
          <t>oz</t>
        </is>
      </c>
      <c r="K1301" s="9" t="n">
        <v>13.19</v>
      </c>
    </row>
    <row r="1302" ht="15" customFormat="1" customHeight="1" s="5">
      <c r="A1302" s="81" t="n">
        <v>45922</v>
      </c>
      <c r="B1302" s="78" t="n">
        <v>0.4118055555555555</v>
      </c>
      <c r="C1302" s="5" t="inlineStr">
        <is>
          <t>Costco</t>
        </is>
      </c>
      <c r="E1302" s="5" t="n">
        <v>1</v>
      </c>
      <c r="F1302" s="6" t="inlineStr">
        <is>
          <t>439 209 18 709</t>
        </is>
      </c>
      <c r="G1302" s="15" t="n"/>
      <c r="H1302" s="9" t="inlineStr">
        <is>
          <t>TAX A 8.00%</t>
        </is>
      </c>
      <c r="I1302" s="9" t="n"/>
      <c r="J1302" s="9" t="n"/>
      <c r="K1302" s="9" t="n">
        <v>10.4</v>
      </c>
    </row>
    <row r="1303" ht="15" customFormat="1" customHeight="1" s="5">
      <c r="A1303" s="81" t="n">
        <v>45922</v>
      </c>
      <c r="B1303" s="78" t="n">
        <v>0.34375</v>
      </c>
      <c r="C1303" s="5" t="inlineStr">
        <is>
          <t>Safeway</t>
        </is>
      </c>
      <c r="D1303" s="5" t="n">
        <v>1</v>
      </c>
      <c r="F1303" s="6" t="inlineStr">
        <is>
          <t>141029583</t>
        </is>
      </c>
      <c r="G1303" s="15" t="inlineStr">
        <is>
          <t>A</t>
        </is>
      </c>
      <c r="H1303" s="9" t="inlineStr">
        <is>
          <t>R.W. Knudsen Family Just Cranberry Juice - 32 Fl. Oz.</t>
        </is>
      </c>
      <c r="I1303" s="9" t="n">
        <v>32</v>
      </c>
      <c r="J1303" s="9" t="inlineStr">
        <is>
          <t>fl oz</t>
        </is>
      </c>
      <c r="K1303" s="9" t="n">
        <v>8.99</v>
      </c>
    </row>
    <row r="1304" ht="15" customFormat="1" customHeight="1" s="5">
      <c r="A1304" s="81" t="n">
        <v>45922</v>
      </c>
      <c r="B1304" s="78" t="n">
        <v>0.34375</v>
      </c>
      <c r="C1304" s="5" t="inlineStr">
        <is>
          <t>Safeway</t>
        </is>
      </c>
      <c r="D1304" s="5" t="n">
        <v>1</v>
      </c>
      <c r="F1304" s="6" t="inlineStr">
        <is>
          <t>141029583</t>
        </is>
      </c>
      <c r="G1304" s="15" t="inlineStr">
        <is>
          <t>A</t>
        </is>
      </c>
      <c r="H1304" s="9" t="inlineStr">
        <is>
          <t>**DISCOUT** Member Savings</t>
        </is>
      </c>
      <c r="I1304" s="9" t="n">
        <v>32</v>
      </c>
      <c r="J1304" s="9" t="inlineStr">
        <is>
          <t>fl oz</t>
        </is>
      </c>
      <c r="K1304" s="9" t="n">
        <v>-1.63</v>
      </c>
    </row>
    <row r="1305" ht="15" customFormat="1" customHeight="1" s="5">
      <c r="A1305" s="81" t="n">
        <v>45922</v>
      </c>
      <c r="B1305" s="78" t="n">
        <v>0.34375</v>
      </c>
      <c r="C1305" s="5" t="inlineStr">
        <is>
          <t>Safeway</t>
        </is>
      </c>
      <c r="D1305" s="5" t="n">
        <v>1</v>
      </c>
      <c r="F1305" s="6" t="inlineStr">
        <is>
          <t>141029583</t>
        </is>
      </c>
      <c r="G1305" s="15" t="inlineStr">
        <is>
          <t>B</t>
        </is>
      </c>
      <c r="H1305" s="9" t="inlineStr">
        <is>
          <t>Value Corner Whole Milk - 1 Gallon 1 $3.39</t>
        </is>
      </c>
      <c r="I1305" s="9" t="n">
        <v>1</v>
      </c>
      <c r="J1305" s="9" t="inlineStr">
        <is>
          <t>gal</t>
        </is>
      </c>
      <c r="K1305" s="9" t="n">
        <v>3.39</v>
      </c>
    </row>
    <row r="1306" ht="15" customFormat="1" customHeight="1" s="5">
      <c r="A1306" s="81" t="n">
        <v>45922</v>
      </c>
      <c r="B1306" s="78" t="n">
        <v>0.34375</v>
      </c>
      <c r="C1306" s="5" t="inlineStr">
        <is>
          <t>Safeway</t>
        </is>
      </c>
      <c r="D1306" s="5" t="n">
        <v>1</v>
      </c>
      <c r="F1306" s="6" t="inlineStr">
        <is>
          <t>141029583</t>
        </is>
      </c>
      <c r="G1306" s="15" t="inlineStr">
        <is>
          <t>C</t>
        </is>
      </c>
      <c r="H1306" s="9" t="inlineStr">
        <is>
          <t>3x Signature Select Green Peas Steam in Bag - 12 Oz</t>
        </is>
      </c>
      <c r="I1306" s="9" t="n">
        <v>36</v>
      </c>
      <c r="J1306" s="9" t="inlineStr">
        <is>
          <t>oz</t>
        </is>
      </c>
      <c r="K1306" s="9" t="n">
        <v>5.97</v>
      </c>
    </row>
    <row r="1307" ht="15" customFormat="1" customHeight="1" s="5">
      <c r="A1307" s="81" t="n">
        <v>45922</v>
      </c>
      <c r="B1307" s="78" t="n">
        <v>0.34375</v>
      </c>
      <c r="C1307" s="5" t="inlineStr">
        <is>
          <t>Safeway</t>
        </is>
      </c>
      <c r="D1307" s="5" t="n">
        <v>1</v>
      </c>
      <c r="F1307" s="6" t="inlineStr">
        <is>
          <t>141029583</t>
        </is>
      </c>
      <c r="G1307" s="15" t="inlineStr">
        <is>
          <t>C</t>
        </is>
      </c>
      <c r="H1307" s="9" t="inlineStr">
        <is>
          <t>**DISCOUT** Member Savings</t>
        </is>
      </c>
      <c r="I1307" s="9" t="n">
        <v>36</v>
      </c>
      <c r="J1307" s="9" t="inlineStr">
        <is>
          <t>oz</t>
        </is>
      </c>
      <c r="K1307" s="9" t="n">
        <v>-2.44</v>
      </c>
    </row>
    <row r="1308" ht="15" customFormat="1" customHeight="1" s="5">
      <c r="A1308" s="81" t="n">
        <v>45922</v>
      </c>
      <c r="B1308" s="78" t="n">
        <v>0.34375</v>
      </c>
      <c r="C1308" s="5" t="inlineStr">
        <is>
          <t>Safeway</t>
        </is>
      </c>
      <c r="D1308" s="5" t="n">
        <v>1</v>
      </c>
      <c r="F1308" s="6" t="inlineStr">
        <is>
          <t>141029583</t>
        </is>
      </c>
      <c r="G1308" s="15" t="inlineStr">
        <is>
          <t>D</t>
        </is>
      </c>
      <c r="H1308" s="9" t="inlineStr">
        <is>
          <t>Signature Select Carrots Crinkle Cut Steam in Bag - 12 OZ</t>
        </is>
      </c>
      <c r="I1308" s="9" t="n">
        <v>12</v>
      </c>
      <c r="J1308" s="9" t="inlineStr">
        <is>
          <t>oz</t>
        </is>
      </c>
      <c r="K1308" s="9" t="n">
        <v>1.99</v>
      </c>
    </row>
    <row r="1309" ht="15" customFormat="1" customHeight="1" s="5">
      <c r="A1309" s="81" t="n">
        <v>45922</v>
      </c>
      <c r="B1309" s="78" t="n">
        <v>0.34375</v>
      </c>
      <c r="C1309" s="5" t="inlineStr">
        <is>
          <t>Safeway</t>
        </is>
      </c>
      <c r="D1309" s="5" t="n">
        <v>1</v>
      </c>
      <c r="F1309" s="6" t="inlineStr">
        <is>
          <t>141029583</t>
        </is>
      </c>
      <c r="G1309" s="15" t="inlineStr">
        <is>
          <t>D</t>
        </is>
      </c>
      <c r="H1309" s="9" t="inlineStr">
        <is>
          <t>**DISCOUT** Member Savings</t>
        </is>
      </c>
      <c r="I1309" s="9" t="n">
        <v>12</v>
      </c>
      <c r="J1309" s="9" t="inlineStr">
        <is>
          <t>oz</t>
        </is>
      </c>
      <c r="K1309" s="9" t="n">
        <v>-0.8100000000000001</v>
      </c>
    </row>
    <row r="1310" ht="15" customFormat="1" customHeight="1" s="5">
      <c r="A1310" s="81" t="n">
        <v>45922</v>
      </c>
      <c r="B1310" s="78" t="n">
        <v>0.34375</v>
      </c>
      <c r="C1310" s="5" t="inlineStr">
        <is>
          <t>Safeway</t>
        </is>
      </c>
      <c r="D1310" s="5" t="n">
        <v>1</v>
      </c>
      <c r="F1310" s="6" t="inlineStr">
        <is>
          <t>141029583</t>
        </is>
      </c>
      <c r="G1310" s="15" t="inlineStr">
        <is>
          <t>E</t>
        </is>
      </c>
      <c r="H1310" s="9" t="inlineStr">
        <is>
          <t>Golden Sweet Potato/Yam With Orange Skin &amp; Orange Flesh @ $2.19/lb</t>
        </is>
      </c>
      <c r="I1310" s="9" t="n">
        <v>0.74</v>
      </c>
      <c r="J1310" s="9" t="inlineStr">
        <is>
          <t>lb</t>
        </is>
      </c>
      <c r="K1310" s="9" t="n">
        <v>1.62</v>
      </c>
    </row>
    <row r="1311" ht="15" customFormat="1" customHeight="1" s="5">
      <c r="A1311" s="81" t="n">
        <v>45922</v>
      </c>
      <c r="B1311" s="78" t="n">
        <v>0.34375</v>
      </c>
      <c r="C1311" s="5" t="inlineStr">
        <is>
          <t>Safeway</t>
        </is>
      </c>
      <c r="D1311" s="5" t="n">
        <v>1</v>
      </c>
      <c r="F1311" s="6" t="inlineStr">
        <is>
          <t>141029583</t>
        </is>
      </c>
      <c r="G1311" s="15" t="inlineStr">
        <is>
          <t>E</t>
        </is>
      </c>
      <c r="H1311" s="9" t="inlineStr">
        <is>
          <t>**DISCOUT** Member Savings</t>
        </is>
      </c>
      <c r="I1311" s="9" t="n">
        <v>0.74</v>
      </c>
      <c r="J1311" s="9" t="inlineStr">
        <is>
          <t>lb</t>
        </is>
      </c>
      <c r="K1311" s="9" t="n">
        <v>-0.29</v>
      </c>
    </row>
    <row r="1312" ht="15" customFormat="1" customHeight="1" s="5">
      <c r="A1312" s="81" t="n">
        <v>45922</v>
      </c>
      <c r="B1312" s="78" t="n">
        <v>0.34375</v>
      </c>
      <c r="C1312" s="5" t="inlineStr">
        <is>
          <t>Safeway</t>
        </is>
      </c>
      <c r="D1312" s="5" t="n">
        <v>1</v>
      </c>
      <c r="F1312" s="6" t="inlineStr">
        <is>
          <t>141029583</t>
        </is>
      </c>
      <c r="G1312" s="15" t="inlineStr">
        <is>
          <t>F</t>
        </is>
      </c>
      <c r="H1312" s="9" t="inlineStr">
        <is>
          <t>White Onion @ $1.29/lb</t>
        </is>
      </c>
      <c r="I1312" s="9" t="n">
        <v>0.54</v>
      </c>
      <c r="J1312" s="9" t="inlineStr">
        <is>
          <t>lb</t>
        </is>
      </c>
      <c r="K1312" s="9" t="n">
        <v>0.7</v>
      </c>
    </row>
    <row r="1313" ht="15" customFormat="1" customHeight="1" s="5">
      <c r="A1313" s="81" t="n">
        <v>45922</v>
      </c>
      <c r="B1313" s="78" t="n">
        <v>0.34375</v>
      </c>
      <c r="C1313" s="5" t="inlineStr">
        <is>
          <t>Safeway</t>
        </is>
      </c>
      <c r="D1313" s="5" t="n">
        <v>1</v>
      </c>
      <c r="F1313" s="6" t="inlineStr">
        <is>
          <t>141029583</t>
        </is>
      </c>
      <c r="G1313" s="15" t="inlineStr">
        <is>
          <t>F</t>
        </is>
      </c>
      <c r="H1313" s="9" t="inlineStr">
        <is>
          <t>**DISCOUT** Member Savings</t>
        </is>
      </c>
      <c r="I1313" s="9" t="n">
        <v>0.54</v>
      </c>
      <c r="J1313" s="9" t="inlineStr">
        <is>
          <t>lb</t>
        </is>
      </c>
      <c r="K1313" s="9" t="n">
        <v>-0.12</v>
      </c>
    </row>
    <row r="1314" ht="15" customFormat="1" customHeight="1" s="5">
      <c r="A1314" s="81" t="n">
        <v>45922</v>
      </c>
      <c r="B1314" s="78" t="n">
        <v>0.34375</v>
      </c>
      <c r="C1314" s="5" t="inlineStr">
        <is>
          <t>Safeway</t>
        </is>
      </c>
      <c r="D1314" s="5" t="n">
        <v>1</v>
      </c>
      <c r="F1314" s="6" t="inlineStr">
        <is>
          <t>141029583</t>
        </is>
      </c>
      <c r="G1314" s="15" t="inlineStr">
        <is>
          <t>G</t>
        </is>
      </c>
      <c r="H1314" s="9" t="inlineStr">
        <is>
          <t>Green Kale, 2 bunches</t>
        </is>
      </c>
      <c r="I1314" s="9" t="n">
        <v>2</v>
      </c>
      <c r="J1314" s="9" t="inlineStr">
        <is>
          <t>cnt</t>
        </is>
      </c>
      <c r="K1314" s="9" t="n">
        <v>3.58</v>
      </c>
    </row>
    <row r="1315" customFormat="1" s="5">
      <c r="A1315" s="81" t="n">
        <v>45922</v>
      </c>
      <c r="B1315" s="78" t="n">
        <v>0.34375</v>
      </c>
      <c r="C1315" s="5" t="inlineStr">
        <is>
          <t>Safeway</t>
        </is>
      </c>
      <c r="D1315" s="5" t="n">
        <v>1</v>
      </c>
      <c r="F1315" s="6" t="inlineStr">
        <is>
          <t>141029583</t>
        </is>
      </c>
      <c r="G1315" s="15" t="inlineStr">
        <is>
          <t>G</t>
        </is>
      </c>
      <c r="H1315" s="9" t="inlineStr">
        <is>
          <t>**DISCOUT** Member Savings</t>
        </is>
      </c>
      <c r="I1315" s="9" t="n">
        <v>2</v>
      </c>
      <c r="J1315" s="9" t="inlineStr">
        <is>
          <t>cnt</t>
        </is>
      </c>
      <c r="K1315" s="9" t="n">
        <v>-0.66</v>
      </c>
    </row>
    <row r="1316" ht="15" customFormat="1" customHeight="1" s="5">
      <c r="A1316" s="81" t="n">
        <v>45922</v>
      </c>
      <c r="B1316" s="78" t="n">
        <v>0.34375</v>
      </c>
      <c r="C1316" s="5" t="inlineStr">
        <is>
          <t>Safeway</t>
        </is>
      </c>
      <c r="D1316" s="5" t="n">
        <v>1</v>
      </c>
      <c r="F1316" s="6" t="inlineStr">
        <is>
          <t>141029583</t>
        </is>
      </c>
      <c r="G1316" s="15" t="inlineStr">
        <is>
          <t>H</t>
        </is>
      </c>
      <c r="H1316" s="9" t="inlineStr">
        <is>
          <t>Orange Bell Pepper</t>
        </is>
      </c>
      <c r="I1316" s="9" t="n">
        <v>3</v>
      </c>
      <c r="J1316" s="9" t="inlineStr">
        <is>
          <t>cnt</t>
        </is>
      </c>
      <c r="K1316" s="9" t="n">
        <v>5.07</v>
      </c>
    </row>
    <row r="1317" ht="15" customFormat="1" customHeight="1" s="5">
      <c r="A1317" s="81" t="n">
        <v>45922</v>
      </c>
      <c r="B1317" s="78" t="n">
        <v>0.34375</v>
      </c>
      <c r="C1317" s="5" t="inlineStr">
        <is>
          <t>Safeway</t>
        </is>
      </c>
      <c r="D1317" s="5" t="n">
        <v>1</v>
      </c>
      <c r="F1317" s="6" t="inlineStr">
        <is>
          <t>141029583</t>
        </is>
      </c>
      <c r="G1317" s="15" t="inlineStr">
        <is>
          <t>H</t>
        </is>
      </c>
      <c r="H1317" s="9" t="inlineStr">
        <is>
          <t>**DISCOUT** Member Savings</t>
        </is>
      </c>
      <c r="I1317" s="9" t="n">
        <v>3</v>
      </c>
      <c r="J1317" s="9" t="inlineStr">
        <is>
          <t>cnt</t>
        </is>
      </c>
      <c r="K1317" s="9" t="n">
        <v>-2.01</v>
      </c>
    </row>
    <row r="1318" ht="15" customFormat="1" customHeight="1" s="5">
      <c r="A1318" s="81" t="n">
        <v>45922</v>
      </c>
      <c r="B1318" s="78" t="n">
        <v>0.34375</v>
      </c>
      <c r="C1318" s="5" t="inlineStr">
        <is>
          <t>Safeway</t>
        </is>
      </c>
      <c r="D1318" s="5" t="n">
        <v>1</v>
      </c>
      <c r="F1318" s="6" t="inlineStr">
        <is>
          <t>141029583</t>
        </is>
      </c>
      <c r="G1318" s="15" t="inlineStr">
        <is>
          <t>I</t>
        </is>
      </c>
      <c r="H1318" s="9" t="inlineStr">
        <is>
          <t>Red Bell Pepper</t>
        </is>
      </c>
      <c r="I1318" s="9" t="n">
        <v>2</v>
      </c>
      <c r="J1318" s="9" t="inlineStr">
        <is>
          <t>cnt</t>
        </is>
      </c>
      <c r="K1318" s="9" t="n">
        <v>3.38</v>
      </c>
    </row>
    <row r="1319" ht="15" customFormat="1" customHeight="1" s="5">
      <c r="A1319" s="81" t="n">
        <v>45922</v>
      </c>
      <c r="B1319" s="78" t="n">
        <v>0.34375</v>
      </c>
      <c r="C1319" s="5" t="inlineStr">
        <is>
          <t>Safeway</t>
        </is>
      </c>
      <c r="D1319" s="5" t="n">
        <v>1</v>
      </c>
      <c r="F1319" s="6" t="inlineStr">
        <is>
          <t>141029583</t>
        </is>
      </c>
      <c r="G1319" s="15" t="inlineStr">
        <is>
          <t>I</t>
        </is>
      </c>
      <c r="H1319" s="9" t="inlineStr">
        <is>
          <t>**DISCOUT** Member Savings</t>
        </is>
      </c>
      <c r="I1319" s="9" t="n">
        <v>2</v>
      </c>
      <c r="J1319" s="9" t="inlineStr">
        <is>
          <t>cnt</t>
        </is>
      </c>
      <c r="K1319" s="9" t="n">
        <v>-1.32</v>
      </c>
    </row>
    <row r="1320" ht="15" customFormat="1" customHeight="1" s="5">
      <c r="A1320" s="81" t="n">
        <v>45922</v>
      </c>
      <c r="B1320" s="78" t="n">
        <v>0.34375</v>
      </c>
      <c r="C1320" s="5" t="inlineStr">
        <is>
          <t>Safeway</t>
        </is>
      </c>
      <c r="D1320" s="5" t="n">
        <v>1</v>
      </c>
      <c r="F1320" s="6" t="inlineStr">
        <is>
          <t>141029583</t>
        </is>
      </c>
      <c r="G1320" s="15" t="inlineStr">
        <is>
          <t>J</t>
        </is>
      </c>
      <c r="H1320" s="9" t="inlineStr">
        <is>
          <t>Yellow Bell Pepper</t>
        </is>
      </c>
      <c r="I1320" s="9" t="n">
        <v>2</v>
      </c>
      <c r="J1320" s="9" t="inlineStr">
        <is>
          <t>cnt</t>
        </is>
      </c>
      <c r="K1320" s="9" t="n">
        <v>3.38</v>
      </c>
    </row>
    <row r="1321" ht="15" customFormat="1" customHeight="1" s="5">
      <c r="A1321" s="81" t="n">
        <v>45922</v>
      </c>
      <c r="B1321" s="78" t="n">
        <v>0.34375</v>
      </c>
      <c r="C1321" s="5" t="inlineStr">
        <is>
          <t>Safeway</t>
        </is>
      </c>
      <c r="D1321" s="5" t="n">
        <v>1</v>
      </c>
      <c r="F1321" s="6" t="inlineStr">
        <is>
          <t>141029583</t>
        </is>
      </c>
      <c r="G1321" s="15" t="inlineStr">
        <is>
          <t>J</t>
        </is>
      </c>
      <c r="H1321" s="9" t="inlineStr">
        <is>
          <t>**DISCOUT** Member Savings</t>
        </is>
      </c>
      <c r="I1321" s="9" t="n">
        <v>2</v>
      </c>
      <c r="J1321" s="9" t="inlineStr">
        <is>
          <t>cnt</t>
        </is>
      </c>
      <c r="K1321" s="9" t="n">
        <v>-1.32</v>
      </c>
    </row>
    <row r="1322" ht="15" customFormat="1" customHeight="1" s="5">
      <c r="A1322" s="81" t="n">
        <v>45922</v>
      </c>
      <c r="B1322" s="78" t="n">
        <v>0.34375</v>
      </c>
      <c r="C1322" s="5" t="inlineStr">
        <is>
          <t>Safeway</t>
        </is>
      </c>
      <c r="D1322" s="5" t="n">
        <v>1</v>
      </c>
      <c r="F1322" s="6" t="inlineStr">
        <is>
          <t>141029583</t>
        </is>
      </c>
      <c r="G1322" s="15" t="inlineStr">
        <is>
          <t>K</t>
        </is>
      </c>
      <c r="H1322" s="9" t="inlineStr">
        <is>
          <t>Green Zucchini Squash @ $1.69/lb</t>
        </is>
      </c>
      <c r="I1322" s="9" t="n">
        <v>1.72</v>
      </c>
      <c r="J1322" s="9" t="inlineStr">
        <is>
          <t>lb</t>
        </is>
      </c>
      <c r="K1322" s="9" t="n">
        <v>2.91</v>
      </c>
    </row>
    <row r="1323" ht="15" customFormat="1" customHeight="1" s="5">
      <c r="A1323" s="81" t="n">
        <v>45922</v>
      </c>
      <c r="B1323" s="78" t="n">
        <v>0.34375</v>
      </c>
      <c r="C1323" s="5" t="inlineStr">
        <is>
          <t>Safeway</t>
        </is>
      </c>
      <c r="D1323" s="5" t="n">
        <v>1</v>
      </c>
      <c r="F1323" s="6" t="inlineStr">
        <is>
          <t>141029583</t>
        </is>
      </c>
      <c r="G1323" s="15" t="inlineStr">
        <is>
          <t>K</t>
        </is>
      </c>
      <c r="H1323" s="9" t="inlineStr">
        <is>
          <t>**DISCOUT** Member Savings</t>
        </is>
      </c>
      <c r="I1323" s="9" t="n">
        <v>1.72</v>
      </c>
      <c r="J1323" s="9" t="inlineStr">
        <is>
          <t>lb</t>
        </is>
      </c>
      <c r="K1323" s="9" t="n">
        <v>-0.52</v>
      </c>
    </row>
    <row r="1324" ht="15" customFormat="1" customHeight="1" s="5">
      <c r="A1324" s="81" t="n">
        <v>45922</v>
      </c>
      <c r="B1324" s="78" t="n">
        <v>0.34375</v>
      </c>
      <c r="C1324" s="5" t="inlineStr">
        <is>
          <t>Safeway</t>
        </is>
      </c>
      <c r="D1324" s="5" t="n">
        <v>1</v>
      </c>
      <c r="F1324" s="6" t="inlineStr">
        <is>
          <t>141029583</t>
        </is>
      </c>
      <c r="G1324" s="15" t="inlineStr">
        <is>
          <t>L</t>
        </is>
      </c>
      <c r="H1324" s="9" t="inlineStr">
        <is>
          <t>Butternut Squash @$1.49/lb</t>
        </is>
      </c>
      <c r="I1324" s="9" t="n">
        <v>4.28</v>
      </c>
      <c r="J1324" s="9" t="inlineStr">
        <is>
          <t>lb</t>
        </is>
      </c>
      <c r="K1324" s="9" t="n">
        <v>6.38</v>
      </c>
    </row>
    <row r="1325" ht="15" customFormat="1" customHeight="1" s="5">
      <c r="A1325" s="81" t="n">
        <v>45922</v>
      </c>
      <c r="B1325" s="78" t="n">
        <v>0.34375</v>
      </c>
      <c r="C1325" s="5" t="inlineStr">
        <is>
          <t>Safeway</t>
        </is>
      </c>
      <c r="D1325" s="5" t="n">
        <v>1</v>
      </c>
      <c r="F1325" s="6" t="inlineStr">
        <is>
          <t>141029583</t>
        </is>
      </c>
      <c r="G1325" s="15" t="inlineStr">
        <is>
          <t>L</t>
        </is>
      </c>
      <c r="H1325" s="9" t="inlineStr">
        <is>
          <t>**DISCOUT** Member Savings</t>
        </is>
      </c>
      <c r="I1325" s="9" t="n">
        <v>4.28</v>
      </c>
      <c r="J1325" s="9" t="inlineStr">
        <is>
          <t>lb</t>
        </is>
      </c>
      <c r="K1325" s="9" t="n">
        <v>-2.92</v>
      </c>
    </row>
    <row r="1326" ht="15" customFormat="1" customHeight="1" s="5">
      <c r="A1326" s="81" t="n">
        <v>45922</v>
      </c>
      <c r="B1326" s="78" t="n">
        <v>0.34375</v>
      </c>
      <c r="C1326" s="5" t="inlineStr">
        <is>
          <t>Safeway</t>
        </is>
      </c>
      <c r="D1326" s="5" t="n">
        <v>1</v>
      </c>
      <c r="F1326" s="6" t="inlineStr">
        <is>
          <t>141029583</t>
        </is>
      </c>
      <c r="G1326" s="15" t="n"/>
      <c r="H1326" s="9" t="inlineStr">
        <is>
          <t>Sales Tax</t>
        </is>
      </c>
      <c r="I1326" s="9" t="n">
        <v>12</v>
      </c>
      <c r="J1326" s="9" t="inlineStr">
        <is>
          <t>cnt</t>
        </is>
      </c>
      <c r="K1326" s="9" t="n">
        <v>0</v>
      </c>
    </row>
    <row r="1327" ht="15" customFormat="1" customHeight="1" s="5">
      <c r="A1327" s="81" t="n">
        <v>45921</v>
      </c>
      <c r="B1327" s="78" t="n">
        <v>0.5416666666666666</v>
      </c>
      <c r="C1327" s="5" t="inlineStr">
        <is>
          <t>In Person</t>
        </is>
      </c>
      <c r="E1327" s="5" t="n">
        <v>1</v>
      </c>
      <c r="F1327" s="6" t="n"/>
      <c r="G1327" s="15" t="n"/>
      <c r="H1327" s="9" t="inlineStr">
        <is>
          <t>Baby Shower Gift: Lauren Bugbee</t>
        </is>
      </c>
      <c r="I1327" s="9" t="n">
        <v>1</v>
      </c>
      <c r="J1327" s="9" t="inlineStr">
        <is>
          <t>cnt</t>
        </is>
      </c>
      <c r="K1327" s="9" t="n">
        <v>25</v>
      </c>
    </row>
    <row r="1328" ht="15" customFormat="1" customHeight="1" s="5">
      <c r="A1328" s="81" t="n">
        <v>45920</v>
      </c>
      <c r="B1328" s="78" t="n">
        <v>0.7118055555555556</v>
      </c>
      <c r="C1328" s="5" t="inlineStr">
        <is>
          <t>the goods smoke &amp; grill</t>
        </is>
      </c>
      <c r="E1328" s="5" t="n">
        <v>1</v>
      </c>
      <c r="F1328" s="6" t="inlineStr">
        <is>
          <t>NA_noReceipt</t>
        </is>
      </c>
      <c r="G1328" s="15" t="n"/>
      <c r="H1328" s="9" t="inlineStr">
        <is>
          <t>Jumbo Bratwurst (saurkrawt, honey mustard, ketchup, bun)</t>
        </is>
      </c>
      <c r="I1328" s="9" t="n">
        <v>1</v>
      </c>
      <c r="J1328" s="9" t="inlineStr">
        <is>
          <t>cnt</t>
        </is>
      </c>
      <c r="K1328" s="9" t="n">
        <v>13</v>
      </c>
    </row>
    <row r="1329" ht="15" customFormat="1" customHeight="1" s="5">
      <c r="A1329" s="81" t="n">
        <v>45920</v>
      </c>
      <c r="B1329" s="78" t="n">
        <v>0.7118055555555556</v>
      </c>
      <c r="C1329" s="5" t="inlineStr">
        <is>
          <t>the goods smoke &amp; grill</t>
        </is>
      </c>
      <c r="E1329" s="5" t="n">
        <v>1</v>
      </c>
      <c r="F1329" s="6" t="inlineStr">
        <is>
          <t>NA_noReceipt</t>
        </is>
      </c>
      <c r="G1329" s="15" t="n"/>
      <c r="H1329" s="9" t="inlineStr">
        <is>
          <t>"Tax"… which was exactly a dollar… hmmmm</t>
        </is>
      </c>
      <c r="I1329" s="9" t="n">
        <v>1</v>
      </c>
      <c r="J1329" s="9" t="inlineStr">
        <is>
          <t>cnt</t>
        </is>
      </c>
      <c r="K1329" s="9" t="n">
        <v>1</v>
      </c>
    </row>
    <row r="1330" ht="15" customFormat="1" customHeight="1" s="5">
      <c r="A1330" s="81" t="n">
        <v>45920</v>
      </c>
      <c r="B1330" s="78" t="n">
        <v>0.7083333333333334</v>
      </c>
      <c r="C1330" s="5" t="inlineStr">
        <is>
          <t>Oktoberfest Acquis, Denver</t>
        </is>
      </c>
      <c r="E1330" s="5" t="n">
        <v>1</v>
      </c>
      <c r="F1330" s="6" t="inlineStr">
        <is>
          <t>NA_noReceipt</t>
        </is>
      </c>
      <c r="G1330" s="15" t="n"/>
      <c r="H1330" s="9" t="inlineStr">
        <is>
          <t>55th Annual Denver Oktoberfest Amber Bock</t>
        </is>
      </c>
      <c r="I1330" s="9" t="n">
        <v>20</v>
      </c>
      <c r="J1330" s="9" t="inlineStr">
        <is>
          <t>oz</t>
        </is>
      </c>
      <c r="K1330" s="9" t="n">
        <v>10</v>
      </c>
    </row>
    <row r="1331" ht="15" customFormat="1" customHeight="1" s="5">
      <c r="A1331" s="81" t="n">
        <v>45920</v>
      </c>
      <c r="B1331" s="78" t="n">
        <v>0.7083333333333334</v>
      </c>
      <c r="C1331" s="5" t="inlineStr">
        <is>
          <t>Oktoberfest Acquis, Denver</t>
        </is>
      </c>
      <c r="E1331" s="5" t="n">
        <v>1</v>
      </c>
      <c r="F1331" s="6" t="inlineStr">
        <is>
          <t>NA_noReceipt</t>
        </is>
      </c>
      <c r="G1331" s="15" t="n"/>
      <c r="H1331" s="9" t="inlineStr">
        <is>
          <t>Tax? And fees? Credit card fee?</t>
        </is>
      </c>
      <c r="I1331" s="9" t="n">
        <v>20</v>
      </c>
      <c r="J1331" s="9" t="inlineStr">
        <is>
          <t>oz</t>
        </is>
      </c>
      <c r="K1331" s="9" t="n">
        <v>1.56</v>
      </c>
    </row>
    <row r="1332" ht="15" customFormat="1" customHeight="1" s="5">
      <c r="A1332" s="81" t="n">
        <v>45920</v>
      </c>
      <c r="B1332" s="78" t="n">
        <v>0.7048611111111112</v>
      </c>
      <c r="C1332" s="5" t="inlineStr">
        <is>
          <t>Whitebear Concession</t>
        </is>
      </c>
      <c r="E1332" s="5" t="n">
        <v>1</v>
      </c>
      <c r="F1332" s="6" t="inlineStr">
        <is>
          <t>NA_noReceipt</t>
        </is>
      </c>
      <c r="G1332" s="15" t="n"/>
      <c r="H1332" s="9" t="inlineStr">
        <is>
          <t>Bavarian Pretzel and cheese</t>
        </is>
      </c>
      <c r="I1332" s="9" t="n">
        <v>1</v>
      </c>
      <c r="J1332" s="9" t="inlineStr">
        <is>
          <t>cnt</t>
        </is>
      </c>
      <c r="K1332" s="9" t="n">
        <v>10</v>
      </c>
    </row>
    <row r="1333" ht="15" customFormat="1" customHeight="1" s="5">
      <c r="A1333" s="81" t="n">
        <v>45920</v>
      </c>
      <c r="B1333" s="82" t="n">
        <v>0.5215277777777778</v>
      </c>
      <c r="C1333" s="5" t="inlineStr">
        <is>
          <t>Safeway</t>
        </is>
      </c>
      <c r="E1333" s="5" t="n">
        <v>1</v>
      </c>
      <c r="F1333" s="6" t="inlineStr">
        <is>
          <t>2612 51 82 8851</t>
        </is>
      </c>
      <c r="G1333" s="10" t="inlineStr">
        <is>
          <t>A</t>
        </is>
      </c>
      <c r="H1333" s="9" t="inlineStr">
        <is>
          <t>Talenti Gelato Tahinian Vanilla</t>
        </is>
      </c>
      <c r="I1333" s="9" t="n">
        <v>1</v>
      </c>
      <c r="J1333" s="9" t="inlineStr">
        <is>
          <t>pint</t>
        </is>
      </c>
      <c r="K1333" s="9" t="n">
        <v>6.49</v>
      </c>
    </row>
    <row r="1334" ht="15" customFormat="1" customHeight="1" s="5">
      <c r="A1334" s="81" t="n">
        <v>45920</v>
      </c>
      <c r="B1334" s="82" t="n">
        <v>0.5215277777777778</v>
      </c>
      <c r="C1334" s="5" t="inlineStr">
        <is>
          <t>Safeway</t>
        </is>
      </c>
      <c r="E1334" s="5" t="n">
        <v>1</v>
      </c>
      <c r="F1334" s="6" t="inlineStr">
        <is>
          <t>2612 51 82 8851</t>
        </is>
      </c>
      <c r="G1334" s="10" t="inlineStr">
        <is>
          <t>A</t>
        </is>
      </c>
      <c r="H1334" s="9" t="inlineStr">
        <is>
          <t>**DISOCUNT** Member/Basket Savings</t>
        </is>
      </c>
      <c r="I1334" s="9" t="n">
        <v>1</v>
      </c>
      <c r="J1334" s="9" t="inlineStr">
        <is>
          <t>pint</t>
        </is>
      </c>
      <c r="K1334" s="9" t="n">
        <v>-3.2</v>
      </c>
    </row>
    <row r="1335" ht="15" customFormat="1" customHeight="1" s="5">
      <c r="A1335" s="81" t="n">
        <v>45920</v>
      </c>
      <c r="B1335" s="82" t="n">
        <v>0.5215277777777778</v>
      </c>
      <c r="C1335" s="5" t="inlineStr">
        <is>
          <t>Safeway</t>
        </is>
      </c>
      <c r="E1335" s="5" t="n">
        <v>1</v>
      </c>
      <c r="F1335" s="6" t="inlineStr">
        <is>
          <t>2612 51 82 8851</t>
        </is>
      </c>
      <c r="G1335" s="10" t="inlineStr">
        <is>
          <t>B</t>
        </is>
      </c>
      <c r="H1335" s="9" t="inlineStr">
        <is>
          <t>Talenti Gelato Butter Pecan</t>
        </is>
      </c>
      <c r="I1335" s="9" t="n">
        <v>1</v>
      </c>
      <c r="J1335" s="9" t="inlineStr">
        <is>
          <t>pint</t>
        </is>
      </c>
      <c r="K1335" s="9" t="n">
        <v>6.49</v>
      </c>
    </row>
    <row r="1336" ht="15" customFormat="1" customHeight="1" s="5">
      <c r="A1336" s="81" t="n">
        <v>45920</v>
      </c>
      <c r="B1336" s="82" t="n">
        <v>0.5215277777777778</v>
      </c>
      <c r="C1336" s="5" t="inlineStr">
        <is>
          <t>Safeway</t>
        </is>
      </c>
      <c r="E1336" s="5" t="n">
        <v>1</v>
      </c>
      <c r="F1336" s="6" t="inlineStr">
        <is>
          <t>2612 51 82 8851</t>
        </is>
      </c>
      <c r="G1336" s="10" t="inlineStr">
        <is>
          <t>B</t>
        </is>
      </c>
      <c r="H1336" s="9" t="inlineStr">
        <is>
          <t>**DISOCUNT** Member/Basket Savings</t>
        </is>
      </c>
      <c r="I1336" s="9" t="n">
        <v>1</v>
      </c>
      <c r="J1336" s="9" t="inlineStr">
        <is>
          <t>pint</t>
        </is>
      </c>
      <c r="K1336" s="9" t="n">
        <v>-3.2</v>
      </c>
    </row>
    <row r="1337" ht="15" customFormat="1" customHeight="1" s="5">
      <c r="A1337" s="81" t="n">
        <v>45920</v>
      </c>
      <c r="B1337" s="82" t="n">
        <v>0.5215277777777778</v>
      </c>
      <c r="C1337" s="5" t="inlineStr">
        <is>
          <t>Safeway</t>
        </is>
      </c>
      <c r="E1337" s="5" t="n">
        <v>1</v>
      </c>
      <c r="F1337" s="6" t="inlineStr">
        <is>
          <t>2612 51 82 8851</t>
        </is>
      </c>
      <c r="G1337" s="10" t="inlineStr">
        <is>
          <t>C</t>
        </is>
      </c>
      <c r="H1337" s="9" t="inlineStr">
        <is>
          <t>2@ Land o lakes half sticks 8 cnt</t>
        </is>
      </c>
      <c r="I1337" s="9" t="n">
        <v>2</v>
      </c>
      <c r="J1337" s="9" t="inlineStr">
        <is>
          <t>lb</t>
        </is>
      </c>
      <c r="K1337" s="9" t="n">
        <v>12.98</v>
      </c>
    </row>
    <row r="1338" ht="15" customFormat="1" customHeight="1" s="5">
      <c r="A1338" s="81" t="n">
        <v>45920</v>
      </c>
      <c r="B1338" s="82" t="n">
        <v>0.5215277777777778</v>
      </c>
      <c r="C1338" s="5" t="inlineStr">
        <is>
          <t>Safeway</t>
        </is>
      </c>
      <c r="E1338" s="5" t="n">
        <v>1</v>
      </c>
      <c r="F1338" s="6" t="inlineStr">
        <is>
          <t>2612 51 82 8851</t>
        </is>
      </c>
      <c r="G1338" s="10" t="inlineStr">
        <is>
          <t>C</t>
        </is>
      </c>
      <c r="H1338" s="9" t="inlineStr">
        <is>
          <t>**DISOCUNT** Member/Basket Savings</t>
        </is>
      </c>
      <c r="I1338" s="9" t="n">
        <v>2</v>
      </c>
      <c r="J1338" s="9" t="inlineStr">
        <is>
          <t>lb</t>
        </is>
      </c>
      <c r="K1338" s="9" t="n">
        <v>-5.38</v>
      </c>
    </row>
    <row r="1339" ht="15" customFormat="1" customHeight="1" s="5">
      <c r="A1339" s="81" t="n">
        <v>45920</v>
      </c>
      <c r="B1339" s="82" t="n">
        <v>0.5215277777777778</v>
      </c>
      <c r="C1339" s="5" t="inlineStr">
        <is>
          <t>Safeway</t>
        </is>
      </c>
      <c r="E1339" s="5" t="n">
        <v>1</v>
      </c>
      <c r="F1339" s="6" t="inlineStr">
        <is>
          <t>2612 51 82 8851</t>
        </is>
      </c>
      <c r="G1339" s="10" t="inlineStr">
        <is>
          <t>D</t>
        </is>
      </c>
      <c r="H1339" s="9" t="inlineStr">
        <is>
          <t>Packaged Safeway Old Fashioned Donut Holes 30 count</t>
        </is>
      </c>
      <c r="I1339" s="9" t="n">
        <v>30</v>
      </c>
      <c r="J1339" s="9" t="inlineStr">
        <is>
          <t>cnt</t>
        </is>
      </c>
      <c r="K1339" s="9" t="n">
        <v>6.99</v>
      </c>
    </row>
    <row r="1340" ht="15" customFormat="1" customHeight="1" s="5">
      <c r="A1340" s="81" t="n">
        <v>45920</v>
      </c>
      <c r="B1340" s="82" t="n">
        <v>0.5215277777777778</v>
      </c>
      <c r="C1340" s="5" t="inlineStr">
        <is>
          <t>Safeway</t>
        </is>
      </c>
      <c r="E1340" s="5" t="n">
        <v>1</v>
      </c>
      <c r="F1340" s="6" t="inlineStr">
        <is>
          <t>2612 51 82 8851</t>
        </is>
      </c>
      <c r="G1340" s="10" t="inlineStr">
        <is>
          <t>D</t>
        </is>
      </c>
      <c r="H1340" s="9" t="inlineStr">
        <is>
          <t>**DISOCUNT** Member/Basket Savings</t>
        </is>
      </c>
      <c r="I1340" s="9" t="n">
        <v>30</v>
      </c>
      <c r="J1340" s="9" t="inlineStr">
        <is>
          <t>cnt</t>
        </is>
      </c>
      <c r="K1340" s="9" t="n">
        <v>-0.35</v>
      </c>
    </row>
    <row r="1341" ht="15" customFormat="1" customHeight="1" s="5">
      <c r="A1341" s="81" t="n">
        <v>45920</v>
      </c>
      <c r="B1341" s="82" t="n">
        <v>0.5215277777777778</v>
      </c>
      <c r="C1341" s="5" t="inlineStr">
        <is>
          <t>Safeway</t>
        </is>
      </c>
      <c r="E1341" s="5" t="n">
        <v>1</v>
      </c>
      <c r="F1341" s="6" t="inlineStr">
        <is>
          <t>2612 51 82 8851</t>
        </is>
      </c>
      <c r="G1341" s="10" t="inlineStr">
        <is>
          <t>E</t>
        </is>
      </c>
      <c r="H1341" s="9" t="inlineStr">
        <is>
          <t>5 Honeycrisp Apples @$2.99/lb -- 3.04 lb</t>
        </is>
      </c>
      <c r="I1341" s="9" t="n">
        <v>3.04</v>
      </c>
      <c r="J1341" s="9" t="inlineStr">
        <is>
          <t>lb</t>
        </is>
      </c>
      <c r="K1341" s="9" t="n">
        <v>9.09</v>
      </c>
    </row>
    <row r="1342" ht="15" customFormat="1" customHeight="1" s="5">
      <c r="A1342" s="81" t="n">
        <v>45920</v>
      </c>
      <c r="B1342" s="82" t="n">
        <v>0.5215277777777778</v>
      </c>
      <c r="C1342" s="5" t="inlineStr">
        <is>
          <t>Safeway</t>
        </is>
      </c>
      <c r="E1342" s="5" t="n">
        <v>1</v>
      </c>
      <c r="F1342" s="6" t="inlineStr">
        <is>
          <t>2612 51 82 8851</t>
        </is>
      </c>
      <c r="G1342" s="10" t="inlineStr">
        <is>
          <t>E</t>
        </is>
      </c>
      <c r="H1342" s="9" t="inlineStr">
        <is>
          <t>**DISOCUNT** Member/Basket Savings</t>
        </is>
      </c>
      <c r="I1342" s="9" t="n">
        <v>3.04</v>
      </c>
      <c r="J1342" s="9" t="inlineStr">
        <is>
          <t>lb</t>
        </is>
      </c>
      <c r="K1342" s="9" t="n">
        <v>-4.85</v>
      </c>
    </row>
    <row r="1343" ht="15" customFormat="1" customHeight="1" s="5">
      <c r="A1343" s="81" t="n">
        <v>45919</v>
      </c>
      <c r="B1343" s="82" t="n">
        <v>0.6940856481481481</v>
      </c>
      <c r="C1343" s="5" t="inlineStr">
        <is>
          <t>Chinatown Bistro, Denver</t>
        </is>
      </c>
      <c r="E1343" s="5" t="n">
        <v>1</v>
      </c>
      <c r="F1343" s="6" t="inlineStr">
        <is>
          <t>#16266</t>
        </is>
      </c>
      <c r="G1343" s="10" t="n"/>
      <c r="H1343" s="9" t="inlineStr">
        <is>
          <t>Sichuan Boiled Beef</t>
        </is>
      </c>
      <c r="I1343" s="9" t="n">
        <v>1</v>
      </c>
      <c r="J1343" s="9" t="inlineStr">
        <is>
          <t>cnt</t>
        </is>
      </c>
      <c r="K1343" s="9" t="n">
        <v>23.99</v>
      </c>
    </row>
    <row r="1344" ht="15" customFormat="1" customHeight="1" s="5">
      <c r="A1344" s="81" t="n">
        <v>45919</v>
      </c>
      <c r="B1344" s="82" t="n">
        <v>0.6940856481481481</v>
      </c>
      <c r="C1344" s="5" t="inlineStr">
        <is>
          <t>Chinatown Bistro, Denver</t>
        </is>
      </c>
      <c r="E1344" s="5" t="n">
        <v>1</v>
      </c>
      <c r="F1344" s="6" t="inlineStr">
        <is>
          <t>#16266</t>
        </is>
      </c>
      <c r="G1344" s="10" t="n"/>
      <c r="H1344" s="9" t="inlineStr">
        <is>
          <t>Walnut Shrimp</t>
        </is>
      </c>
      <c r="I1344" s="9" t="n">
        <v>1</v>
      </c>
      <c r="J1344" s="9" t="inlineStr">
        <is>
          <t>cnt</t>
        </is>
      </c>
      <c r="K1344" s="9" t="n">
        <v>19.95</v>
      </c>
    </row>
    <row r="1345" ht="15" customFormat="1" customHeight="1" s="5">
      <c r="A1345" s="81" t="n">
        <v>45919</v>
      </c>
      <c r="B1345" s="82" t="n">
        <v>0.6940856481481481</v>
      </c>
      <c r="C1345" s="5" t="inlineStr">
        <is>
          <t>Chinatown Bistro, Denver</t>
        </is>
      </c>
      <c r="E1345" s="5" t="n">
        <v>1</v>
      </c>
      <c r="F1345" s="6" t="inlineStr">
        <is>
          <t>#16266</t>
        </is>
      </c>
      <c r="G1345" s="10" t="n"/>
      <c r="H1345" s="9" t="inlineStr">
        <is>
          <t>Eggplant+Pork (a lot of pork.. And not black bean sauce :/)</t>
        </is>
      </c>
      <c r="I1345" s="9" t="n">
        <v>1</v>
      </c>
      <c r="J1345" s="9" t="inlineStr">
        <is>
          <t>cnt</t>
        </is>
      </c>
      <c r="K1345" s="9" t="n">
        <v>17.95</v>
      </c>
    </row>
    <row r="1346" ht="15" customFormat="1" customHeight="1" s="5">
      <c r="A1346" s="81" t="n">
        <v>45919</v>
      </c>
      <c r="B1346" s="82" t="n">
        <v>0.6940856481481481</v>
      </c>
      <c r="C1346" s="5" t="inlineStr">
        <is>
          <t>Chinatown Bistro, Denver</t>
        </is>
      </c>
      <c r="E1346" s="5" t="n">
        <v>1</v>
      </c>
      <c r="F1346" s="6" t="inlineStr">
        <is>
          <t>#16266</t>
        </is>
      </c>
      <c r="G1346" s="10" t="n"/>
      <c r="H1346" s="9" t="inlineStr">
        <is>
          <t>Mapo Tofu</t>
        </is>
      </c>
      <c r="I1346" s="9" t="n">
        <v>1</v>
      </c>
      <c r="J1346" s="9" t="inlineStr">
        <is>
          <t>cnt</t>
        </is>
      </c>
      <c r="K1346" s="9" t="n">
        <v>16.95</v>
      </c>
    </row>
    <row r="1347" ht="15" customFormat="1" customHeight="1" s="5">
      <c r="A1347" s="81" t="n">
        <v>45919</v>
      </c>
      <c r="B1347" s="82" t="n">
        <v>0.6940856481481481</v>
      </c>
      <c r="C1347" s="5" t="inlineStr">
        <is>
          <t>Chinatown Bistro, Denver</t>
        </is>
      </c>
      <c r="E1347" s="5" t="n">
        <v>1</v>
      </c>
      <c r="F1347" s="6" t="inlineStr">
        <is>
          <t>#16266</t>
        </is>
      </c>
      <c r="G1347" s="10" t="n"/>
      <c r="H1347" s="9" t="inlineStr">
        <is>
          <t>**FREE** cartoon spoon set for sheva + eggdrop soup</t>
        </is>
      </c>
      <c r="I1347" s="9" t="n">
        <v>2</v>
      </c>
      <c r="J1347" s="9" t="inlineStr">
        <is>
          <t>cnt</t>
        </is>
      </c>
      <c r="K1347" s="9" t="n">
        <v>0</v>
      </c>
    </row>
    <row r="1348" ht="15" customFormat="1" customHeight="1" s="5">
      <c r="A1348" s="81" t="n">
        <v>45919</v>
      </c>
      <c r="B1348" s="82" t="n">
        <v>0.6940856481481481</v>
      </c>
      <c r="C1348" s="5" t="inlineStr">
        <is>
          <t>Chinatown Bistro, Denver</t>
        </is>
      </c>
      <c r="E1348" s="5" t="n">
        <v>1</v>
      </c>
      <c r="F1348" s="6" t="inlineStr">
        <is>
          <t>#16266</t>
        </is>
      </c>
      <c r="G1348" s="10" t="n"/>
      <c r="H1348" s="9" t="inlineStr">
        <is>
          <t>Tip</t>
        </is>
      </c>
      <c r="I1348" s="9" t="n">
        <v>1</v>
      </c>
      <c r="J1348" s="9" t="inlineStr">
        <is>
          <t>cnt</t>
        </is>
      </c>
      <c r="K1348" s="9" t="n">
        <v>13.94</v>
      </c>
    </row>
    <row r="1349" ht="15" customFormat="1" customHeight="1" s="5">
      <c r="A1349" s="81" t="n">
        <v>45919</v>
      </c>
      <c r="B1349" s="82" t="n">
        <v>0.6940856481481481</v>
      </c>
      <c r="C1349" s="5" t="inlineStr">
        <is>
          <t>Chinatown Bistro, Denver</t>
        </is>
      </c>
      <c r="E1349" s="5" t="n">
        <v>1</v>
      </c>
      <c r="F1349" s="6" t="inlineStr">
        <is>
          <t>#16266</t>
        </is>
      </c>
      <c r="G1349" s="10" t="n"/>
      <c r="H1349" s="9" t="inlineStr">
        <is>
          <t>Tax</t>
        </is>
      </c>
      <c r="I1349" s="9" t="n">
        <v>4</v>
      </c>
      <c r="J1349" s="9" t="inlineStr">
        <is>
          <t>cnt</t>
        </is>
      </c>
      <c r="K1349" s="9" t="n">
        <v>7.22</v>
      </c>
    </row>
    <row r="1350" ht="15" customFormat="1" customHeight="1" s="5">
      <c r="A1350" s="81" t="n">
        <v>45918</v>
      </c>
      <c r="B1350" s="82" t="n">
        <v>0.8645833333333334</v>
      </c>
      <c r="C1350" s="5" t="inlineStr">
        <is>
          <t>Amazon</t>
        </is>
      </c>
      <c r="D1350" s="5" t="n">
        <v>1</v>
      </c>
      <c r="F1350" s="6" t="inlineStr">
        <is>
          <t>111-0112065-5652212</t>
        </is>
      </c>
      <c r="G1350" s="7" t="n"/>
      <c r="H1350" s="9" t="inlineStr">
        <is>
          <t>BEDELITE Olive Green Pillow Cases Queen Size Set of 2, Rayon Derived from Bamboo，Cooling Pillow Cases for Hot Sleepers &amp; Night Sweats, Breathable and Silky Soft Envelope Pillowcases, 20"x30" Sold by: Elite Collection US</t>
        </is>
      </c>
      <c r="I1350" s="9" t="n">
        <v>2</v>
      </c>
      <c r="J1350" s="9" t="inlineStr">
        <is>
          <t>cnt</t>
        </is>
      </c>
      <c r="K1350" s="9" t="n">
        <v>12.72</v>
      </c>
    </row>
    <row r="1351" ht="15" customFormat="1" customHeight="1" s="5">
      <c r="A1351" s="81" t="n">
        <v>45918</v>
      </c>
      <c r="B1351" s="82" t="n">
        <v>0.8645833333333334</v>
      </c>
      <c r="C1351" s="5" t="inlineStr">
        <is>
          <t>Amazon</t>
        </is>
      </c>
      <c r="D1351" s="5" t="n">
        <v>1</v>
      </c>
      <c r="F1351" s="6" t="inlineStr">
        <is>
          <t>111-0112065-5652212</t>
        </is>
      </c>
      <c r="G1351" s="7" t="n"/>
      <c r="H1351" s="9" t="inlineStr">
        <is>
          <t>BEDELITE Sage Green Pillow Cases Queen Size Set of 2, Rayon Derived from Bamboo，Cooling Pillow Cases for Hot Sleepers &amp; Night Sweats, Breathable and Silky Soft Envelope Pillowcases, 20"x30" Sold by: Elite Collection US</t>
        </is>
      </c>
      <c r="I1351" s="9" t="n">
        <v>2</v>
      </c>
      <c r="J1351" s="9" t="inlineStr">
        <is>
          <t>cnt</t>
        </is>
      </c>
      <c r="K1351" s="9" t="n">
        <v>11.91</v>
      </c>
    </row>
    <row r="1352" ht="15" customFormat="1" customHeight="1" s="5">
      <c r="A1352" s="81" t="n">
        <v>45918</v>
      </c>
      <c r="B1352" s="82" t="n">
        <v>0.8645833333333334</v>
      </c>
      <c r="C1352" s="5" t="inlineStr">
        <is>
          <t>Amazon</t>
        </is>
      </c>
      <c r="D1352" s="5" t="n">
        <v>1</v>
      </c>
      <c r="F1352" s="6" t="inlineStr">
        <is>
          <t>111-0112065-5652212</t>
        </is>
      </c>
      <c r="G1352" s="7" t="n"/>
      <c r="H1352" s="9" t="inlineStr">
        <is>
          <t>Co retail delivery fees</t>
        </is>
      </c>
      <c r="I1352" s="9" t="n">
        <v>2</v>
      </c>
      <c r="J1352" s="9" t="inlineStr">
        <is>
          <t>cnt</t>
        </is>
      </c>
      <c r="K1352" s="9" t="n">
        <v>1.97</v>
      </c>
    </row>
    <row r="1353" ht="15" customFormat="1" customHeight="1" s="5">
      <c r="A1353" s="81" t="n">
        <v>45918</v>
      </c>
      <c r="B1353" s="82" t="n">
        <v>0.8645833333333334</v>
      </c>
      <c r="C1353" s="5" t="inlineStr">
        <is>
          <t>Amazon</t>
        </is>
      </c>
      <c r="D1353" s="5" t="n">
        <v>1</v>
      </c>
      <c r="F1353" s="6" t="inlineStr">
        <is>
          <t>111-0112065-5652212</t>
        </is>
      </c>
      <c r="G1353" s="7" t="n"/>
      <c r="H1353" s="9" t="inlineStr">
        <is>
          <t>Tax</t>
        </is>
      </c>
      <c r="I1353" s="9" t="n">
        <v>2</v>
      </c>
      <c r="J1353" s="9" t="inlineStr">
        <is>
          <t>cnt</t>
        </is>
      </c>
      <c r="K1353" s="9" t="n">
        <v>0.28</v>
      </c>
    </row>
    <row r="1354" ht="15" customFormat="1" customHeight="1" s="5">
      <c r="A1354" s="81" t="n">
        <v>45918</v>
      </c>
      <c r="B1354" s="82" t="n">
        <v>0.733738425925926</v>
      </c>
      <c r="C1354" s="5" t="inlineStr">
        <is>
          <t>Freddy's</t>
        </is>
      </c>
      <c r="E1354" s="5" t="n">
        <v>1</v>
      </c>
      <c r="F1354" s="6" t="inlineStr">
        <is>
          <t>#146</t>
        </is>
      </c>
      <c r="G1354" s="10" t="n"/>
      <c r="H1354" s="9" t="inlineStr">
        <is>
          <t>Double Cheeseburger combo (xt tomato, grilled onion, mayo, lettuce, pickle ,mushrooms) + regular tots</t>
        </is>
      </c>
      <c r="I1354" s="9" t="n">
        <v>1</v>
      </c>
      <c r="J1354" s="9" t="inlineStr">
        <is>
          <t>cnt</t>
        </is>
      </c>
      <c r="K1354" s="9" t="n">
        <v>11.69</v>
      </c>
    </row>
    <row r="1355" ht="15" customFormat="1" customHeight="1" s="5">
      <c r="A1355" s="81" t="n">
        <v>45918</v>
      </c>
      <c r="B1355" s="82" t="n">
        <v>0.733738425925926</v>
      </c>
      <c r="C1355" s="5" t="inlineStr">
        <is>
          <t>Freddy's</t>
        </is>
      </c>
      <c r="E1355" s="5" t="n">
        <v>1</v>
      </c>
      <c r="F1355" s="6" t="inlineStr">
        <is>
          <t>#146</t>
        </is>
      </c>
      <c r="G1355" s="10" t="n"/>
      <c r="H1355" s="9" t="inlineStr">
        <is>
          <t>eek! Apparently mushrooms cost $0.80 to add?!</t>
        </is>
      </c>
      <c r="I1355" s="9" t="n">
        <v>1</v>
      </c>
      <c r="J1355" s="9" t="inlineStr">
        <is>
          <t>cnt</t>
        </is>
      </c>
      <c r="K1355" s="9" t="n">
        <v>0.8</v>
      </c>
    </row>
    <row r="1356" ht="15" customFormat="1" customHeight="1" s="5">
      <c r="A1356" s="81" t="n">
        <v>45918</v>
      </c>
      <c r="B1356" s="82" t="n">
        <v>0.733738425925926</v>
      </c>
      <c r="C1356" s="5" t="inlineStr">
        <is>
          <t>Freddy's</t>
        </is>
      </c>
      <c r="E1356" s="5" t="n">
        <v>1</v>
      </c>
      <c r="F1356" s="6" t="inlineStr">
        <is>
          <t>#146</t>
        </is>
      </c>
      <c r="G1356" s="10" t="n"/>
      <c r="H1356" s="9" t="inlineStr">
        <is>
          <t>Mini CB Caramel Crunch Concrete</t>
        </is>
      </c>
      <c r="I1356" s="9" t="n">
        <v>1</v>
      </c>
      <c r="J1356" s="9" t="inlineStr">
        <is>
          <t>cnt</t>
        </is>
      </c>
      <c r="K1356" s="9" t="n">
        <v>3.4</v>
      </c>
    </row>
    <row r="1357" ht="15" customFormat="1" customHeight="1" s="5">
      <c r="A1357" s="81" t="n">
        <v>45918</v>
      </c>
      <c r="B1357" s="82" t="n">
        <v>0.733738425925926</v>
      </c>
      <c r="C1357" s="5" t="inlineStr">
        <is>
          <t>Freddy's</t>
        </is>
      </c>
      <c r="E1357" s="5" t="n">
        <v>1</v>
      </c>
      <c r="F1357" s="6" t="inlineStr">
        <is>
          <t>#146</t>
        </is>
      </c>
      <c r="G1357" s="52" t="n">
        <v>0.5409722222222222</v>
      </c>
      <c r="H1357" s="9" t="inlineStr">
        <is>
          <t>Grilled Cheese Steakburger combo (no toppings! E forgot!) + french fries</t>
        </is>
      </c>
      <c r="I1357" s="9" t="n">
        <v>1</v>
      </c>
      <c r="J1357" s="9" t="inlineStr">
        <is>
          <t>cnt</t>
        </is>
      </c>
      <c r="K1357" s="9" t="n">
        <v>13.29</v>
      </c>
    </row>
    <row r="1358" ht="15" customFormat="1" customHeight="1" s="5">
      <c r="A1358" s="81" t="n">
        <v>45918</v>
      </c>
      <c r="B1358" s="82" t="n">
        <v>0.733738425925926</v>
      </c>
      <c r="C1358" s="5" t="inlineStr">
        <is>
          <t>Freddy's</t>
        </is>
      </c>
      <c r="E1358" s="5" t="n">
        <v>1</v>
      </c>
      <c r="F1358" s="6" t="inlineStr">
        <is>
          <t>#146</t>
        </is>
      </c>
      <c r="G1358" s="10" t="n"/>
      <c r="H1358" s="9" t="inlineStr">
        <is>
          <t>Mini Vanilla Concrete + banana (it included a syrup… why??)</t>
        </is>
      </c>
      <c r="I1358" s="9" t="n">
        <v>1</v>
      </c>
      <c r="J1358" s="9" t="inlineStr">
        <is>
          <t>cnt</t>
        </is>
      </c>
      <c r="K1358" s="9" t="n">
        <v>2.5</v>
      </c>
    </row>
    <row r="1359" ht="15" customFormat="1" customHeight="1" s="5">
      <c r="A1359" s="81" t="n">
        <v>45918</v>
      </c>
      <c r="B1359" s="82" t="n">
        <v>0.733738425925926</v>
      </c>
      <c r="C1359" s="5" t="inlineStr">
        <is>
          <t>Freddy's</t>
        </is>
      </c>
      <c r="E1359" s="5" t="n">
        <v>1</v>
      </c>
      <c r="F1359" s="6" t="inlineStr">
        <is>
          <t>#146</t>
        </is>
      </c>
      <c r="G1359" s="10" t="n"/>
      <c r="H1359" s="9" t="inlineStr">
        <is>
          <t>**DISCOUNT** Spend $10, get free double for cheeseburger day</t>
        </is>
      </c>
      <c r="I1359" s="9" t="n">
        <v>1</v>
      </c>
      <c r="J1359" s="9" t="inlineStr">
        <is>
          <t>cnt</t>
        </is>
      </c>
      <c r="K1359" s="9" t="n">
        <v>-9.99</v>
      </c>
      <c r="M1359" s="87" t="n"/>
    </row>
    <row r="1360" ht="15" customFormat="1" customHeight="1" s="5">
      <c r="A1360" s="81" t="n">
        <v>45918</v>
      </c>
      <c r="B1360" s="82" t="n">
        <v>0.733738425925926</v>
      </c>
      <c r="C1360" s="5" t="inlineStr">
        <is>
          <t>Freddy's</t>
        </is>
      </c>
      <c r="E1360" s="5" t="n">
        <v>1</v>
      </c>
      <c r="F1360" s="6" t="inlineStr">
        <is>
          <t>#146</t>
        </is>
      </c>
      <c r="G1360" s="10" t="n"/>
      <c r="H1360" s="9" t="inlineStr">
        <is>
          <t>Occ Tax</t>
        </is>
      </c>
      <c r="I1360" s="9" t="n">
        <v>2</v>
      </c>
      <c r="J1360" s="9" t="inlineStr">
        <is>
          <t>cnt</t>
        </is>
      </c>
      <c r="K1360" s="9" t="n">
        <v>0.12</v>
      </c>
      <c r="M1360" s="87" t="n"/>
    </row>
    <row r="1361" ht="15" customFormat="1" customHeight="1" s="5">
      <c r="A1361" s="81" t="n">
        <v>45918</v>
      </c>
      <c r="B1361" s="82" t="n">
        <v>0.733738425925926</v>
      </c>
      <c r="C1361" s="5" t="inlineStr">
        <is>
          <t>Freddy's</t>
        </is>
      </c>
      <c r="E1361" s="5" t="n">
        <v>1</v>
      </c>
      <c r="F1361" s="6" t="inlineStr">
        <is>
          <t>#146</t>
        </is>
      </c>
      <c r="G1361" s="10" t="n"/>
      <c r="H1361" s="9" t="inlineStr">
        <is>
          <t>Sales Tax</t>
        </is>
      </c>
      <c r="I1361" s="9" t="n">
        <v>2</v>
      </c>
      <c r="J1361" s="9" t="inlineStr">
        <is>
          <t>cnt</t>
        </is>
      </c>
      <c r="K1361" s="9" t="n">
        <v>1.74</v>
      </c>
      <c r="M1361" s="87" t="n"/>
    </row>
    <row r="1362" ht="15" customFormat="1" customHeight="1" s="5">
      <c r="A1362" s="81" t="n">
        <v>45918</v>
      </c>
      <c r="B1362" s="82" t="n">
        <v>0.7201388888888889</v>
      </c>
      <c r="C1362" s="5" t="inlineStr">
        <is>
          <t>Aurora Water</t>
        </is>
      </c>
      <c r="D1362" s="5" t="n">
        <v>1</v>
      </c>
      <c r="F1362" s="6" t="inlineStr">
        <is>
          <t>0003380245_4508099560</t>
        </is>
      </c>
      <c r="G1362" s="10" t="n"/>
      <c r="H1362" s="9" t="inlineStr">
        <is>
          <t>First 5K GAL @$5.63/KGal</t>
        </is>
      </c>
      <c r="I1362" s="9" t="n">
        <v>4</v>
      </c>
      <c r="J1362" s="9" t="inlineStr">
        <is>
          <t>kGal</t>
        </is>
      </c>
      <c r="K1362" s="85" t="n">
        <v>22.52</v>
      </c>
    </row>
    <row r="1363" ht="15" customFormat="1" customHeight="1" s="5">
      <c r="A1363" s="81" t="n">
        <v>45918</v>
      </c>
      <c r="B1363" s="82" t="n">
        <v>0.7201388888888889</v>
      </c>
      <c r="C1363" s="5" t="inlineStr">
        <is>
          <t>Aurora Water</t>
        </is>
      </c>
      <c r="D1363" s="5" t="n">
        <v>1</v>
      </c>
      <c r="F1363" s="6" t="inlineStr">
        <is>
          <t>0003380245_4508099560</t>
        </is>
      </c>
      <c r="G1363" s="10" t="n"/>
      <c r="H1363" s="9" t="inlineStr">
        <is>
          <t>Sewer Usage Chg @$5.06/Kgal</t>
        </is>
      </c>
      <c r="I1363" s="9" t="n">
        <v>3.33</v>
      </c>
      <c r="J1363" s="9" t="inlineStr">
        <is>
          <t>kGal</t>
        </is>
      </c>
      <c r="K1363" s="85" t="n">
        <v>16.85</v>
      </c>
    </row>
    <row r="1364" ht="15" customFormat="1" customHeight="1" s="5">
      <c r="A1364" s="81" t="n">
        <v>45918</v>
      </c>
      <c r="B1364" s="82" t="n">
        <v>0.7201388888888889</v>
      </c>
      <c r="C1364" s="5" t="inlineStr">
        <is>
          <t>Aurora Water</t>
        </is>
      </c>
      <c r="D1364" s="5" t="n">
        <v>1</v>
      </c>
      <c r="F1364" s="6" t="inlineStr">
        <is>
          <t>0003380245_4508099560</t>
        </is>
      </c>
      <c r="G1364" s="10" t="n"/>
      <c r="H1364" s="9" t="inlineStr">
        <is>
          <t>Water Monthly Svc Chg</t>
        </is>
      </c>
      <c r="I1364" s="9" t="n"/>
      <c r="J1364" s="9" t="n"/>
      <c r="K1364" s="85" t="n">
        <v>14.94</v>
      </c>
    </row>
    <row r="1365" ht="15" customFormat="1" customHeight="1" s="5">
      <c r="A1365" s="81" t="n">
        <v>45918</v>
      </c>
      <c r="B1365" s="82" t="n">
        <v>0.7201388888888889</v>
      </c>
      <c r="C1365" s="5" t="inlineStr">
        <is>
          <t>Aurora Water</t>
        </is>
      </c>
      <c r="D1365" s="5" t="n">
        <v>1</v>
      </c>
      <c r="F1365" s="6" t="inlineStr">
        <is>
          <t>0003380245_4508099560</t>
        </is>
      </c>
      <c r="G1365" s="10" t="n"/>
      <c r="H1365" s="9" t="inlineStr">
        <is>
          <t>Storm Drain Base</t>
        </is>
      </c>
      <c r="I1365" s="9" t="n"/>
      <c r="J1365" s="9" t="n"/>
      <c r="K1365" s="85" t="n">
        <v>11.6</v>
      </c>
    </row>
    <row r="1366" ht="15" customFormat="1" customHeight="1" s="5">
      <c r="A1366" s="81" t="n">
        <v>45918</v>
      </c>
      <c r="B1366" s="82" t="n">
        <v>0.7201388888888889</v>
      </c>
      <c r="C1366" s="5" t="inlineStr">
        <is>
          <t>Aurora Water</t>
        </is>
      </c>
      <c r="D1366" s="5" t="n">
        <v>1</v>
      </c>
      <c r="F1366" s="6" t="inlineStr">
        <is>
          <t>0003380245_4508099560</t>
        </is>
      </c>
      <c r="G1366" s="10" t="n"/>
      <c r="H1366" s="9" t="inlineStr">
        <is>
          <t>Sewer Monthly Svc Chg</t>
        </is>
      </c>
      <c r="I1366" s="9" t="n"/>
      <c r="J1366" s="9" t="n"/>
      <c r="K1366" s="85" t="n">
        <v>5.51</v>
      </c>
    </row>
    <row r="1367" ht="15" customFormat="1" customHeight="1" s="5">
      <c r="A1367" s="79" t="n">
        <v>45918</v>
      </c>
      <c r="B1367" s="78" t="n">
        <v>0.3958333333333333</v>
      </c>
      <c r="C1367" s="35" t="inlineStr">
        <is>
          <t>Accelerate Health</t>
        </is>
      </c>
      <c r="D1367" s="35" t="n">
        <v>1</v>
      </c>
      <c r="E1367" s="35" t="n"/>
      <c r="F1367" s="47" t="inlineStr">
        <is>
          <t>918153101</t>
        </is>
      </c>
      <c r="G1367" s="48" t="inlineStr">
        <is>
          <t>2025247BF9194</t>
        </is>
      </c>
      <c r="H1367" s="9" t="inlineStr">
        <is>
          <t>8/29 Eli "Chiropractics manipulation Extraspinal regions" 70-38.14 insurance adjustment</t>
        </is>
      </c>
      <c r="I1367" s="9" t="n">
        <v>1</v>
      </c>
      <c r="J1367" s="9" t="inlineStr">
        <is>
          <t>cnt</t>
        </is>
      </c>
      <c r="K1367" s="9" t="n">
        <v>14.52</v>
      </c>
    </row>
    <row r="1368" ht="15" customFormat="1" customHeight="1" s="5">
      <c r="A1368" s="81" t="n">
        <v>45918</v>
      </c>
      <c r="B1368" s="82" t="n">
        <v>0.2923611111111111</v>
      </c>
      <c r="C1368" s="5" t="inlineStr">
        <is>
          <t>Costco</t>
        </is>
      </c>
      <c r="E1368" s="5" t="n">
        <v>1</v>
      </c>
      <c r="F1368" s="6" t="inlineStr">
        <is>
          <t>7804</t>
        </is>
      </c>
      <c r="G1368" s="17" t="inlineStr">
        <is>
          <t>11</t>
        </is>
      </c>
      <c r="H1368" s="9" t="inlineStr">
        <is>
          <t>Kawi Gas 2.845 Gallons @$2.845/gal</t>
        </is>
      </c>
      <c r="I1368" s="5" t="n">
        <v>2.845</v>
      </c>
      <c r="J1368" s="5" t="inlineStr">
        <is>
          <t>gal</t>
        </is>
      </c>
      <c r="K1368" s="5" t="n">
        <v>7.51</v>
      </c>
    </row>
    <row r="1369" ht="15" customFormat="1" customHeight="1" s="5">
      <c r="A1369" s="81" t="n">
        <v>45918</v>
      </c>
      <c r="B1369" s="82" t="n">
        <v>0.2916666666666667</v>
      </c>
      <c r="C1369" s="5" t="inlineStr">
        <is>
          <t>Lakeview Mortgage (??)</t>
        </is>
      </c>
      <c r="D1369" s="5" t="n">
        <v>1</v>
      </c>
      <c r="F1369" s="6" t="inlineStr">
        <is>
          <t>1758163616403</t>
        </is>
      </c>
      <c r="G1369" s="10" t="n"/>
      <c r="H1369" s="9" t="inlineStr">
        <is>
          <t>Principal - Extra Payment</t>
        </is>
      </c>
      <c r="I1369" s="9" t="n"/>
      <c r="J1369" s="9" t="n"/>
      <c r="K1369" s="9" t="n">
        <v>2500</v>
      </c>
    </row>
    <row r="1370" ht="15" customFormat="1" customHeight="1" s="5">
      <c r="A1370" s="81" t="n">
        <v>45918</v>
      </c>
      <c r="B1370" s="82" t="n">
        <v>0.2916666666666667</v>
      </c>
      <c r="C1370" s="5" t="inlineStr">
        <is>
          <t>Xcel Energy</t>
        </is>
      </c>
      <c r="D1370" s="5" t="n">
        <v>1</v>
      </c>
      <c r="F1370" s="6" t="inlineStr">
        <is>
          <t>942376657_</t>
        </is>
      </c>
      <c r="G1370" s="10" t="n"/>
      <c r="H1370" s="9" t="inlineStr">
        <is>
          <t>Franchise Fee 3.00%</t>
        </is>
      </c>
      <c r="I1370" s="9" t="n"/>
      <c r="J1370" s="9" t="n"/>
      <c r="K1370" s="9">
        <f>2.97+0.47</f>
        <v/>
      </c>
    </row>
    <row r="1371" ht="15" customFormat="1" customHeight="1" s="5">
      <c r="A1371" s="81" t="n">
        <v>45918</v>
      </c>
      <c r="B1371" s="82" t="n">
        <v>0.2916666666666667</v>
      </c>
      <c r="C1371" s="5" t="inlineStr">
        <is>
          <t>Xcel Energy</t>
        </is>
      </c>
      <c r="D1371" s="5" t="n">
        <v>1</v>
      </c>
      <c r="F1371" s="6" t="inlineStr">
        <is>
          <t>942376657_</t>
        </is>
      </c>
      <c r="G1371" s="10" t="n"/>
      <c r="H1371" s="9" t="inlineStr">
        <is>
          <t>Electricity 07/29/25 - 08/27/25</t>
        </is>
      </c>
      <c r="I1371" s="9" t="n">
        <v>556</v>
      </c>
      <c r="J1371" s="9" t="inlineStr">
        <is>
          <t>kWh</t>
        </is>
      </c>
      <c r="K1371" s="9" t="n">
        <v>98.84999999999999</v>
      </c>
    </row>
    <row r="1372" ht="15" customFormat="1" customHeight="1" s="5">
      <c r="A1372" s="81" t="n">
        <v>45918</v>
      </c>
      <c r="B1372" s="82" t="n">
        <v>0.2916666666666667</v>
      </c>
      <c r="C1372" s="5" t="inlineStr">
        <is>
          <t>Xcel Energy</t>
        </is>
      </c>
      <c r="D1372" s="5" t="n">
        <v>1</v>
      </c>
      <c r="F1372" s="6" t="inlineStr">
        <is>
          <t>942376657_</t>
        </is>
      </c>
      <c r="G1372" s="10" t="n"/>
      <c r="H1372" s="9" t="inlineStr">
        <is>
          <t>Natural Gas 07/30/25 - 08/28/25</t>
        </is>
      </c>
      <c r="I1372" s="9" t="n">
        <v>4</v>
      </c>
      <c r="J1372" s="9" t="inlineStr">
        <is>
          <t>therms</t>
        </is>
      </c>
      <c r="K1372" s="9" t="n">
        <v>15.65</v>
      </c>
    </row>
    <row r="1373" ht="15" customFormat="1" customHeight="1" s="5">
      <c r="A1373" s="81" t="n">
        <v>45918</v>
      </c>
      <c r="B1373" s="82" t="n">
        <v>0.2916666666666667</v>
      </c>
      <c r="C1373" s="5" t="inlineStr">
        <is>
          <t>Xcel Energy</t>
        </is>
      </c>
      <c r="D1373" s="5" t="n">
        <v>1</v>
      </c>
      <c r="F1373" s="6" t="inlineStr">
        <is>
          <t>942376657_</t>
        </is>
      </c>
      <c r="G1373" s="10" t="n"/>
      <c r="H1373" s="9" t="inlineStr">
        <is>
          <t>Sales Tax</t>
        </is>
      </c>
      <c r="I1373" s="9" t="n"/>
      <c r="J1373" s="9" t="n"/>
      <c r="K1373" s="9">
        <f>3.82+0.6</f>
        <v/>
      </c>
    </row>
    <row r="1374" ht="15" customFormat="1" customHeight="1" s="5">
      <c r="A1374" s="81" t="n">
        <v>45918</v>
      </c>
      <c r="B1374" s="82" t="n">
        <v>0.2916666666666667</v>
      </c>
      <c r="C1374" s="5" t="inlineStr">
        <is>
          <t>US Tax Witholding</t>
        </is>
      </c>
      <c r="D1374" s="5" t="n">
        <v>1</v>
      </c>
      <c r="F1374" s="6" t="inlineStr">
        <is>
          <t>RTX_Paycheck_25_45</t>
        </is>
      </c>
      <c r="G1374" s="7" t="n"/>
      <c r="H1374" s="9" t="inlineStr">
        <is>
          <t>Federal Income Tax</t>
        </is>
      </c>
      <c r="I1374" s="9" t="n"/>
      <c r="J1374" s="9" t="n"/>
      <c r="K1374" s="9" t="n">
        <v>333.16</v>
      </c>
    </row>
    <row r="1375" ht="15" customFormat="1" customHeight="1" s="5">
      <c r="A1375" s="81" t="n">
        <v>45918</v>
      </c>
      <c r="B1375" s="82" t="n">
        <v>0.2916666666666667</v>
      </c>
      <c r="C1375" s="5" t="inlineStr">
        <is>
          <t>US Tax Witholding</t>
        </is>
      </c>
      <c r="D1375" s="5" t="n">
        <v>1</v>
      </c>
      <c r="F1375" s="6" t="inlineStr">
        <is>
          <t>RTX_Paycheck_25_45</t>
        </is>
      </c>
      <c r="G1375" s="7" t="n"/>
      <c r="H1375" s="9" t="inlineStr">
        <is>
          <t>Social Security Tax</t>
        </is>
      </c>
      <c r="I1375" s="9" t="n"/>
      <c r="J1375" s="9" t="n"/>
      <c r="K1375" s="9" t="n">
        <v>277.69</v>
      </c>
    </row>
    <row r="1376" ht="15" customFormat="1" customHeight="1" s="5">
      <c r="A1376" s="81" t="n">
        <v>45918</v>
      </c>
      <c r="B1376" s="82" t="n">
        <v>0.2916666666666667</v>
      </c>
      <c r="C1376" s="5" t="inlineStr">
        <is>
          <t>US Tax Witholding</t>
        </is>
      </c>
      <c r="D1376" s="5" t="n">
        <v>1</v>
      </c>
      <c r="F1376" s="6" t="inlineStr">
        <is>
          <t>RTX_Paycheck_25_45</t>
        </is>
      </c>
      <c r="G1376" s="7" t="n"/>
      <c r="H1376" s="9" t="inlineStr">
        <is>
          <t>Medicare Tax</t>
        </is>
      </c>
      <c r="I1376" s="9" t="n"/>
      <c r="J1376" s="9" t="n"/>
      <c r="K1376" s="9" t="n">
        <v>64.95</v>
      </c>
    </row>
    <row r="1377" ht="15" customFormat="1" customHeight="1" s="5">
      <c r="A1377" s="81" t="n">
        <v>45918</v>
      </c>
      <c r="B1377" s="82" t="n">
        <v>0.2916666666666667</v>
      </c>
      <c r="C1377" s="5" t="inlineStr">
        <is>
          <t>Raytheon</t>
        </is>
      </c>
      <c r="D1377" s="5" t="n">
        <v>1</v>
      </c>
      <c r="F1377" s="6" t="inlineStr">
        <is>
          <t>RTX_Paycheck_25_45</t>
        </is>
      </c>
      <c r="G1377" s="17" t="inlineStr">
        <is>
          <t>XXXX3523</t>
        </is>
      </c>
      <c r="H1377" s="9" t="inlineStr">
        <is>
          <t>Net Paycheck [Aug 30 - Sep 12]</t>
        </is>
      </c>
      <c r="I1377" s="9" t="n"/>
      <c r="J1377" s="9" t="n"/>
      <c r="K1377" s="9" t="n">
        <v>2635.47</v>
      </c>
    </row>
    <row r="1378" ht="15" customFormat="1" customHeight="1" s="5">
      <c r="A1378" s="81" t="n">
        <v>45918</v>
      </c>
      <c r="B1378" s="82" t="n">
        <v>0.2916666666666667</v>
      </c>
      <c r="C1378" s="5" t="inlineStr">
        <is>
          <t>Raytheon</t>
        </is>
      </c>
      <c r="D1378" s="5" t="n">
        <v>1</v>
      </c>
      <c r="F1378" s="6" t="inlineStr">
        <is>
          <t>RTX_Paycheck_25_45</t>
        </is>
      </c>
      <c r="G1378" s="7" t="n"/>
      <c r="H1378" s="9" t="inlineStr">
        <is>
          <t>RTX Direct Deposit -- cancelling offset</t>
        </is>
      </c>
      <c r="I1378" s="9" t="n"/>
      <c r="J1378" s="9" t="n"/>
      <c r="K1378" s="9" t="n">
        <v>-2635.48</v>
      </c>
    </row>
    <row r="1379" ht="15" customFormat="1" customHeight="1" s="5">
      <c r="A1379" s="81" t="n">
        <v>45918</v>
      </c>
      <c r="B1379" s="82" t="n">
        <v>0.2916666666666667</v>
      </c>
      <c r="C1379" s="5" t="inlineStr">
        <is>
          <t>Raytheon</t>
        </is>
      </c>
      <c r="D1379" s="5" t="n">
        <v>1</v>
      </c>
      <c r="F1379" s="6" t="inlineStr">
        <is>
          <t>RTX_Paycheck_25_45</t>
        </is>
      </c>
      <c r="G1379" s="7" t="n"/>
      <c r="H1379" s="9" t="inlineStr">
        <is>
          <t>Gross Paycheck [Aug 30 - Sep 12]</t>
        </is>
      </c>
      <c r="I1379" s="9" t="n"/>
      <c r="J1379" s="9" t="n"/>
      <c r="K1379" s="9" t="n">
        <v>-4912.6</v>
      </c>
    </row>
    <row r="1380" ht="15" customFormat="1" customHeight="1" s="5">
      <c r="A1380" s="81" t="n">
        <v>45918</v>
      </c>
      <c r="B1380" s="82" t="n">
        <v>0.2916666666666667</v>
      </c>
      <c r="C1380" s="5" t="inlineStr">
        <is>
          <t>Raytheon</t>
        </is>
      </c>
      <c r="D1380" s="5" t="n">
        <v>1</v>
      </c>
      <c r="F1380" s="6" t="inlineStr">
        <is>
          <t>RTX_Paycheck_25_45</t>
        </is>
      </c>
      <c r="G1380" s="7" t="n"/>
      <c r="H1380" s="9" t="inlineStr">
        <is>
          <t>Ed(ucation) Assi(tance) Offset</t>
        </is>
      </c>
      <c r="I1380" s="9" t="n"/>
      <c r="J1380" s="9" t="n"/>
      <c r="K1380" s="9" t="n">
        <v>711.63</v>
      </c>
    </row>
    <row r="1381" ht="15" customFormat="1" customHeight="1" s="5">
      <c r="A1381" s="81" t="n">
        <v>45918</v>
      </c>
      <c r="B1381" s="82" t="n">
        <v>0.2916666666666667</v>
      </c>
      <c r="C1381" s="5" t="inlineStr">
        <is>
          <t>Parents Gift Account</t>
        </is>
      </c>
      <c r="D1381" s="5" t="n">
        <v>1</v>
      </c>
      <c r="F1381" s="6" t="inlineStr">
        <is>
          <t>RTX_Paycheck_25_45</t>
        </is>
      </c>
      <c r="G1381" s="17" t="inlineStr">
        <is>
          <t>XXXX7146</t>
        </is>
      </c>
      <c r="H1381" s="9" t="inlineStr">
        <is>
          <t>Contribution to Parents Gift Account</t>
        </is>
      </c>
      <c r="I1381" s="9" t="n"/>
      <c r="J1381" s="9" t="n"/>
      <c r="K1381" s="9" t="n">
        <v>0.01</v>
      </c>
    </row>
    <row r="1382" ht="15" customFormat="1" customHeight="1" s="5">
      <c r="A1382" s="81" t="n">
        <v>45918</v>
      </c>
      <c r="B1382" s="82" t="n">
        <v>0.2916666666666667</v>
      </c>
      <c r="C1382" s="5" t="inlineStr">
        <is>
          <t>HSA</t>
        </is>
      </c>
      <c r="D1382" s="5" t="n">
        <v>1</v>
      </c>
      <c r="F1382" s="6" t="inlineStr">
        <is>
          <t>RTX_Paycheck_25_45</t>
        </is>
      </c>
      <c r="G1382" s="7" t="n"/>
      <c r="H1382" s="9" t="inlineStr">
        <is>
          <t>Personal contribution to HSA</t>
        </is>
      </c>
      <c r="I1382" s="9" t="n"/>
      <c r="J1382" s="9" t="n"/>
      <c r="K1382" s="9" t="n">
        <v>299.91</v>
      </c>
    </row>
    <row r="1383" ht="15" customFormat="1" customHeight="1" s="5">
      <c r="A1383" s="81" t="n">
        <v>45918</v>
      </c>
      <c r="B1383" s="82" t="n">
        <v>0.2916666666666667</v>
      </c>
      <c r="C1383" s="5" t="inlineStr">
        <is>
          <t>Delta Dental</t>
        </is>
      </c>
      <c r="D1383" s="5" t="n">
        <v>1</v>
      </c>
      <c r="F1383" s="6" t="inlineStr">
        <is>
          <t>RTX_Paycheck_25_45</t>
        </is>
      </c>
      <c r="G1383" s="10" t="n"/>
      <c r="H1383" s="9" t="inlineStr">
        <is>
          <t>Dental Insurance</t>
        </is>
      </c>
      <c r="I1383" s="9" t="n"/>
      <c r="J1383" s="9" t="n"/>
      <c r="K1383" s="9" t="n">
        <v>4.26</v>
      </c>
    </row>
    <row r="1384" ht="15" customFormat="1" customHeight="1" s="5">
      <c r="A1384" s="81" t="n">
        <v>45918</v>
      </c>
      <c r="B1384" s="82" t="n">
        <v>0.2916666666666667</v>
      </c>
      <c r="C1384" s="5" t="inlineStr">
        <is>
          <t>CO Tax Witholding</t>
        </is>
      </c>
      <c r="D1384" s="5" t="n">
        <v>1</v>
      </c>
      <c r="F1384" s="6" t="inlineStr">
        <is>
          <t>RTX_Paycheck_25_45</t>
        </is>
      </c>
      <c r="G1384" s="7" t="n"/>
      <c r="H1384" s="9" t="inlineStr">
        <is>
          <t>CO State Income Tax</t>
        </is>
      </c>
      <c r="I1384" s="9" t="n"/>
      <c r="J1384" s="9" t="n"/>
      <c r="K1384" s="9" t="n">
        <v>180.07</v>
      </c>
    </row>
    <row r="1385" ht="15" customFormat="1" customHeight="1" s="5">
      <c r="A1385" s="81" t="n">
        <v>45918</v>
      </c>
      <c r="B1385" s="82" t="n">
        <v>0.2916666666666667</v>
      </c>
      <c r="C1385" s="5" t="inlineStr">
        <is>
          <t>CO Tax Witholding</t>
        </is>
      </c>
      <c r="D1385" s="5" t="n">
        <v>1</v>
      </c>
      <c r="F1385" s="6" t="inlineStr">
        <is>
          <t>RTX_Paycheck_25_45</t>
        </is>
      </c>
      <c r="G1385" s="7" t="n"/>
      <c r="H1385" s="9" t="inlineStr">
        <is>
          <t>CO Paid Family Leave Insurance</t>
        </is>
      </c>
      <c r="I1385" s="9" t="n"/>
      <c r="J1385" s="9" t="n"/>
      <c r="K1385" s="9" t="n">
        <v>22.11</v>
      </c>
    </row>
    <row r="1386" ht="15" customFormat="1" customHeight="1" s="5">
      <c r="A1386" s="81" t="n">
        <v>45918</v>
      </c>
      <c r="B1386" s="82" t="n">
        <v>0.2916666666666667</v>
      </c>
      <c r="C1386" s="5" t="inlineStr">
        <is>
          <t>Anthem BcBs</t>
        </is>
      </c>
      <c r="D1386" s="5" t="n">
        <v>1</v>
      </c>
      <c r="F1386" s="6" t="inlineStr">
        <is>
          <t>RTX_Paycheck_25_45</t>
        </is>
      </c>
      <c r="G1386" s="7" t="n"/>
      <c r="H1386" s="9" t="inlineStr">
        <is>
          <t>Medical Insurance</t>
        </is>
      </c>
      <c r="I1386" s="9" t="n"/>
      <c r="J1386" s="9" t="n"/>
      <c r="K1386" s="9" t="n">
        <v>131.28</v>
      </c>
    </row>
    <row r="1387" ht="15" customFormat="1" customHeight="1" s="5">
      <c r="A1387" s="81" t="n">
        <v>45918</v>
      </c>
      <c r="B1387" s="82" t="n">
        <v>0.2916666666666667</v>
      </c>
      <c r="C1387" s="5" t="inlineStr">
        <is>
          <t>Alight</t>
        </is>
      </c>
      <c r="D1387" s="5" t="n">
        <v>1</v>
      </c>
      <c r="F1387" s="6" t="inlineStr">
        <is>
          <t>RTX_Paycheck_25_45</t>
        </is>
      </c>
      <c r="G1387" s="7" t="n"/>
      <c r="H1387" s="9" t="inlineStr">
        <is>
          <t>401k Basic -- Traditional</t>
        </is>
      </c>
      <c r="I1387" s="9" t="n"/>
      <c r="J1387" s="9" t="n"/>
      <c r="K1387" s="9" t="n">
        <v>0</v>
      </c>
    </row>
    <row r="1388" ht="15" customFormat="1" customHeight="1" s="5">
      <c r="A1388" s="81" t="n">
        <v>45918</v>
      </c>
      <c r="B1388" s="82" t="n">
        <v>0.2916666666666667</v>
      </c>
      <c r="C1388" s="5" t="inlineStr">
        <is>
          <t>Alight</t>
        </is>
      </c>
      <c r="D1388" s="5" t="n">
        <v>1</v>
      </c>
      <c r="F1388" s="6" t="inlineStr">
        <is>
          <t>RTX_Paycheck_25_45</t>
        </is>
      </c>
      <c r="G1388" s="7" t="n"/>
      <c r="H1388" s="9" t="inlineStr">
        <is>
          <t>Roth 401k Basic</t>
        </is>
      </c>
      <c r="I1388" s="9" t="n"/>
      <c r="J1388" s="9" t="n"/>
      <c r="K1388" s="9" t="n">
        <v>252.06</v>
      </c>
    </row>
    <row r="1389" ht="15" customFormat="1" customHeight="1" s="5">
      <c r="A1389" s="81" t="n">
        <v>45917</v>
      </c>
      <c r="B1389" s="82" t="n">
        <v>0.7138888888888889</v>
      </c>
      <c r="C1389" s="5" t="inlineStr">
        <is>
          <t>Amazon</t>
        </is>
      </c>
      <c r="D1389" s="5" t="n">
        <v>1</v>
      </c>
      <c r="F1389" s="6" t="inlineStr">
        <is>
          <t>111-8890979-6707444</t>
        </is>
      </c>
      <c r="G1389" s="7" t="inlineStr">
        <is>
          <t>A</t>
        </is>
      </c>
      <c r="H1389" s="9" t="inlineStr">
        <is>
          <t>Mommy's Helper Slide-Lok Bi-Fold Door Lock, Baby Lock (Pack of 1), Closet Locks for Double Doors, Fits Most Doors - Included Shim Makes Tighter Fit for Thin Doors</t>
        </is>
      </c>
      <c r="I1389" s="9" t="n"/>
      <c r="J1389" s="9" t="n"/>
      <c r="K1389" s="9" t="n">
        <v>7.95</v>
      </c>
    </row>
    <row r="1390" ht="15" customFormat="1" customHeight="1" s="5">
      <c r="A1390" s="81" t="n">
        <v>45917</v>
      </c>
      <c r="B1390" s="82" t="n">
        <v>0.7138888888888889</v>
      </c>
      <c r="C1390" s="5" t="inlineStr">
        <is>
          <t>Amazon</t>
        </is>
      </c>
      <c r="D1390" s="5" t="n">
        <v>1</v>
      </c>
      <c r="F1390" s="6" t="inlineStr">
        <is>
          <t>111-8890979-6707444</t>
        </is>
      </c>
      <c r="G1390" s="7" t="inlineStr">
        <is>
          <t>A</t>
        </is>
      </c>
      <c r="H1390" s="9" t="inlineStr">
        <is>
          <t>**DISCOUNT** Baby Registry 15% off!</t>
        </is>
      </c>
      <c r="I1390" s="9" t="n"/>
      <c r="J1390" s="9" t="n"/>
      <c r="K1390" s="9" t="n">
        <v>-1.19</v>
      </c>
    </row>
    <row r="1391" ht="15" customFormat="1" customHeight="1" s="5">
      <c r="A1391" s="81" t="n">
        <v>45917</v>
      </c>
      <c r="B1391" s="82" t="n">
        <v>0.7138888888888889</v>
      </c>
      <c r="C1391" s="5" t="inlineStr">
        <is>
          <t>Amazon</t>
        </is>
      </c>
      <c r="D1391" s="5" t="n">
        <v>1</v>
      </c>
      <c r="F1391" s="6" t="inlineStr">
        <is>
          <t>111-8890979-6707444</t>
        </is>
      </c>
      <c r="G1391" s="7" t="n"/>
      <c r="H1391" s="9" t="inlineStr">
        <is>
          <t>Aerbeis  Stroller Phone Holder Steering Wheel Phone Mount Pholder Fit for Gym, Stroller, Wrist, Shopping Cart, Bikes, Magnetic Adapter Accessories for All Phones</t>
        </is>
      </c>
      <c r="I1391" s="9" t="n"/>
      <c r="J1391" s="9" t="n"/>
      <c r="K1391" s="9" t="n">
        <v>13.99</v>
      </c>
    </row>
    <row r="1392" ht="15" customFormat="1" customHeight="1" s="5">
      <c r="A1392" s="81" t="n">
        <v>45917</v>
      </c>
      <c r="B1392" s="82" t="n">
        <v>0.7138888888888889</v>
      </c>
      <c r="C1392" s="5" t="inlineStr">
        <is>
          <t>Amazon</t>
        </is>
      </c>
      <c r="D1392" s="5" t="n">
        <v>1</v>
      </c>
      <c r="F1392" s="6" t="inlineStr">
        <is>
          <t>111-8890979-6707444</t>
        </is>
      </c>
      <c r="G1392" s="7" t="n"/>
      <c r="H1392" s="9" t="inlineStr">
        <is>
          <t>Co retail delivery fees</t>
        </is>
      </c>
      <c r="I1392" s="9" t="n"/>
      <c r="J1392" s="9" t="n"/>
      <c r="K1392" s="9" t="n">
        <v>0.28</v>
      </c>
    </row>
    <row r="1393" ht="15" customFormat="1" customHeight="1" s="5">
      <c r="A1393" s="81" t="n">
        <v>45917</v>
      </c>
      <c r="B1393" s="82" t="n">
        <v>0.7138888888888889</v>
      </c>
      <c r="C1393" s="5" t="inlineStr">
        <is>
          <t>Amazon</t>
        </is>
      </c>
      <c r="D1393" s="5" t="n">
        <v>1</v>
      </c>
      <c r="F1393" s="6" t="inlineStr">
        <is>
          <t>111-8890979-6707444</t>
        </is>
      </c>
      <c r="G1393" s="7" t="n"/>
      <c r="H1393" s="9" t="inlineStr">
        <is>
          <t>Tax</t>
        </is>
      </c>
      <c r="I1393" s="9" t="n"/>
      <c r="J1393" s="9" t="n"/>
      <c r="K1393" s="9" t="n">
        <v>1.76</v>
      </c>
    </row>
    <row r="1394" ht="15" customFormat="1" customHeight="1" s="5">
      <c r="A1394" s="81" t="n">
        <v>45917</v>
      </c>
      <c r="B1394" s="82" t="n">
        <v>0.4076388888888889</v>
      </c>
      <c r="C1394" s="5" t="inlineStr">
        <is>
          <t>Amazon</t>
        </is>
      </c>
      <c r="D1394" s="5" t="n">
        <v>1</v>
      </c>
      <c r="F1394" s="6" t="inlineStr">
        <is>
          <t>112-2886059-5193831</t>
        </is>
      </c>
      <c r="G1394" s="10" t="inlineStr">
        <is>
          <t>E</t>
        </is>
      </c>
      <c r="H1394" s="9" t="inlineStr">
        <is>
          <t>BLUE LIZARD Baby Mineral Sunscreen with Zinc Oxide, SPF 50+, Water Resistant, UVA/UVB Protection with Smart Cap Technology - Fragrance Free, 3 Ounce Tube</t>
        </is>
      </c>
      <c r="I1394" s="9" t="n">
        <v>3</v>
      </c>
      <c r="J1394" s="9" t="inlineStr">
        <is>
          <t>oz</t>
        </is>
      </c>
      <c r="K1394" s="9" t="n">
        <v>9.94</v>
      </c>
    </row>
    <row r="1395" ht="15" customFormat="1" customHeight="1" s="5">
      <c r="A1395" s="81" t="n">
        <v>45917</v>
      </c>
      <c r="B1395" s="82" t="n">
        <v>0.4076388888888889</v>
      </c>
      <c r="C1395" s="5" t="inlineStr">
        <is>
          <t>Amazon</t>
        </is>
      </c>
      <c r="D1395" s="5" t="n">
        <v>1</v>
      </c>
      <c r="F1395" s="6" t="inlineStr">
        <is>
          <t>112-2886059-5193831</t>
        </is>
      </c>
      <c r="G1395" s="10" t="inlineStr">
        <is>
          <t>E</t>
        </is>
      </c>
      <c r="H1395" s="9" t="inlineStr">
        <is>
          <t>**DISCOUNT** Baby Registry 15% off!</t>
        </is>
      </c>
      <c r="I1395" s="9" t="n">
        <v>3</v>
      </c>
      <c r="J1395" s="9" t="inlineStr">
        <is>
          <t>oz</t>
        </is>
      </c>
      <c r="K1395" s="9" t="n">
        <v>-1.49</v>
      </c>
    </row>
    <row r="1396" ht="15" customFormat="1" customHeight="1" s="5">
      <c r="A1396" s="81" t="n">
        <v>45917</v>
      </c>
      <c r="B1396" s="82" t="n">
        <v>0.4076388888888889</v>
      </c>
      <c r="C1396" s="5" t="inlineStr">
        <is>
          <t>Amazon</t>
        </is>
      </c>
      <c r="D1396" s="5" t="n">
        <v>1</v>
      </c>
      <c r="F1396" s="6" t="inlineStr">
        <is>
          <t>112-2886059-5193831</t>
        </is>
      </c>
      <c r="G1396" s="10" t="n"/>
      <c r="H1396" s="9" t="inlineStr">
        <is>
          <t>Tax</t>
        </is>
      </c>
      <c r="I1396" s="9" t="n"/>
      <c r="J1396" s="9" t="n"/>
      <c r="K1396" s="9" t="n">
        <v>0.68</v>
      </c>
    </row>
    <row r="1397" ht="15" customFormat="1" customHeight="1" s="5">
      <c r="A1397" s="81" t="n">
        <v>45917</v>
      </c>
      <c r="B1397" s="82" t="n">
        <v>0.4076388888888889</v>
      </c>
      <c r="C1397" s="5" t="inlineStr">
        <is>
          <t>Amazon</t>
        </is>
      </c>
      <c r="D1397" s="5" t="n">
        <v>1</v>
      </c>
      <c r="F1397" s="6" t="inlineStr">
        <is>
          <t>112-2886059-5193831</t>
        </is>
      </c>
      <c r="G1397" s="10" t="n"/>
      <c r="H1397" s="9" t="inlineStr">
        <is>
          <t>Co retail delivery fees</t>
        </is>
      </c>
      <c r="I1397" s="9" t="n"/>
      <c r="J1397" s="9" t="n"/>
      <c r="K1397" s="9" t="n">
        <v>0.28</v>
      </c>
    </row>
    <row r="1398" ht="15" customFormat="1" customHeight="1" s="5">
      <c r="A1398" s="81" t="n">
        <v>45917</v>
      </c>
      <c r="B1398" s="82" t="n">
        <v>0.4076388888888889</v>
      </c>
      <c r="C1398" s="5" t="inlineStr">
        <is>
          <t>Amazon</t>
        </is>
      </c>
      <c r="D1398" s="5" t="n">
        <v>1</v>
      </c>
      <c r="F1398" s="6" t="inlineStr">
        <is>
          <t>112-7431038-8523400</t>
        </is>
      </c>
      <c r="G1398" s="10" t="inlineStr">
        <is>
          <t>A</t>
        </is>
      </c>
      <c r="H1398" s="9" t="inlineStr">
        <is>
          <t>Crib Fitted Sheet by Pure Bamboo, Genuine 100% Organic Viscose Derived from Bamboo, Luxuriously Soft, Ultimate Cooling, Fits Standard Size Crib Mattress (Sea Glass)</t>
        </is>
      </c>
      <c r="I1398" s="9" t="n">
        <v>1</v>
      </c>
      <c r="J1398" s="9" t="inlineStr">
        <is>
          <t>cnt</t>
        </is>
      </c>
      <c r="K1398" s="9" t="n">
        <v>24.99</v>
      </c>
    </row>
    <row r="1399" ht="15" customFormat="1" customHeight="1" s="5">
      <c r="A1399" s="81" t="n">
        <v>45917</v>
      </c>
      <c r="B1399" s="82" t="n">
        <v>0.4076388888888889</v>
      </c>
      <c r="C1399" s="5" t="inlineStr">
        <is>
          <t>Amazon</t>
        </is>
      </c>
      <c r="D1399" s="5" t="n">
        <v>1</v>
      </c>
      <c r="F1399" s="6" t="inlineStr">
        <is>
          <t>112-7431038-8523400</t>
        </is>
      </c>
      <c r="G1399" s="10" t="inlineStr">
        <is>
          <t>A</t>
        </is>
      </c>
      <c r="H1399" s="9" t="inlineStr">
        <is>
          <t>**DISCOUNT** Baby Registry 15% off!</t>
        </is>
      </c>
      <c r="I1399" s="9" t="n">
        <v>1</v>
      </c>
      <c r="J1399" s="9" t="inlineStr">
        <is>
          <t>cnt</t>
        </is>
      </c>
      <c r="K1399" s="9" t="n">
        <v>-3.75</v>
      </c>
    </row>
    <row r="1400" ht="15" customFormat="1" customHeight="1" s="5">
      <c r="A1400" s="81" t="n">
        <v>45917</v>
      </c>
      <c r="B1400" s="82" t="n">
        <v>0.4076388888888889</v>
      </c>
      <c r="C1400" s="5" t="inlineStr">
        <is>
          <t>Amazon</t>
        </is>
      </c>
      <c r="D1400" s="5" t="n">
        <v>1</v>
      </c>
      <c r="F1400" s="6" t="inlineStr">
        <is>
          <t>112-7431038-8523400</t>
        </is>
      </c>
      <c r="G1400" s="10" t="inlineStr">
        <is>
          <t>B</t>
        </is>
      </c>
      <c r="H1400" s="9" t="inlineStr">
        <is>
          <t>Crib Fitted Sheet by Pure Bamboo, Genuine 100% Organic Viscose Derived from Bamboo, Luxuriously Soft, Ultimate Cooling, Fits Standard Size Crib Mattress (Sea Glass)</t>
        </is>
      </c>
      <c r="I1400" s="9" t="n">
        <v>1</v>
      </c>
      <c r="J1400" s="9" t="inlineStr">
        <is>
          <t>cnt</t>
        </is>
      </c>
      <c r="K1400" s="9" t="n">
        <v>24.99</v>
      </c>
    </row>
    <row r="1401" ht="15" customFormat="1" customHeight="1" s="5">
      <c r="A1401" s="81" t="n">
        <v>45917</v>
      </c>
      <c r="B1401" s="82" t="n">
        <v>0.4076388888888889</v>
      </c>
      <c r="C1401" s="5" t="inlineStr">
        <is>
          <t>Amazon</t>
        </is>
      </c>
      <c r="D1401" s="5" t="n">
        <v>1</v>
      </c>
      <c r="F1401" s="6" t="inlineStr">
        <is>
          <t>112-7431038-8523400</t>
        </is>
      </c>
      <c r="G1401" s="10" t="inlineStr">
        <is>
          <t>B</t>
        </is>
      </c>
      <c r="H1401" s="9" t="inlineStr">
        <is>
          <t>**DISCOUNT** Baby Registry 15% off!</t>
        </is>
      </c>
      <c r="I1401" s="9" t="n">
        <v>1</v>
      </c>
      <c r="J1401" s="9" t="inlineStr">
        <is>
          <t>cnt</t>
        </is>
      </c>
      <c r="K1401" s="9" t="n">
        <v>-3.75</v>
      </c>
    </row>
    <row r="1402" ht="15" customFormat="1" customHeight="1" s="5">
      <c r="A1402" s="81" t="n">
        <v>45917</v>
      </c>
      <c r="B1402" s="82" t="n">
        <v>0.4076388888888889</v>
      </c>
      <c r="C1402" s="5" t="inlineStr">
        <is>
          <t>Amazon</t>
        </is>
      </c>
      <c r="D1402" s="5" t="n">
        <v>1</v>
      </c>
      <c r="F1402" s="6" t="inlineStr">
        <is>
          <t>112-7431038-8523400</t>
        </is>
      </c>
      <c r="G1402" s="10" t="inlineStr">
        <is>
          <t>C</t>
        </is>
      </c>
      <c r="H1402" s="9" t="inlineStr">
        <is>
          <t>GoveeLife 262ft Bluetooth Hygrometer Thermometer H5110, Mini Humidity Temperature Sensor with App Notifications, 2-Year Free Data Storage Export, for Bedroom, Wine Cellar, Basements</t>
        </is>
      </c>
      <c r="I1402" s="9" t="n">
        <v>1</v>
      </c>
      <c r="J1402" s="9" t="inlineStr">
        <is>
          <t>cnt</t>
        </is>
      </c>
      <c r="K1402" s="9" t="n">
        <v>14.99</v>
      </c>
    </row>
    <row r="1403" ht="15" customFormat="1" customHeight="1" s="5">
      <c r="A1403" s="81" t="n">
        <v>45917</v>
      </c>
      <c r="B1403" s="82" t="n">
        <v>0.4076388888888889</v>
      </c>
      <c r="C1403" s="5" t="inlineStr">
        <is>
          <t>Amazon</t>
        </is>
      </c>
      <c r="D1403" s="5" t="n">
        <v>1</v>
      </c>
      <c r="F1403" s="6" t="inlineStr">
        <is>
          <t>112-7431038-8523400</t>
        </is>
      </c>
      <c r="G1403" s="10" t="inlineStr">
        <is>
          <t>C</t>
        </is>
      </c>
      <c r="H1403" s="9" t="inlineStr">
        <is>
          <t>**DISCOUNT** Amazon Buy 1 get 1 FREE</t>
        </is>
      </c>
      <c r="I1403" s="9" t="n">
        <v>1</v>
      </c>
      <c r="J1403" s="9" t="inlineStr">
        <is>
          <t>cnt</t>
        </is>
      </c>
      <c r="K1403" s="9">
        <f>-3.55-7.25+0.27</f>
        <v/>
      </c>
    </row>
    <row r="1404" ht="15" customFormat="1" customHeight="1" s="5">
      <c r="A1404" s="81" t="n">
        <v>45917</v>
      </c>
      <c r="B1404" s="82" t="n">
        <v>0.4076388888888889</v>
      </c>
      <c r="C1404" s="5" t="inlineStr">
        <is>
          <t>Amazon</t>
        </is>
      </c>
      <c r="D1404" s="5" t="n">
        <v>1</v>
      </c>
      <c r="F1404" s="6" t="inlineStr">
        <is>
          <t>112-7431038-8523400</t>
        </is>
      </c>
      <c r="G1404" s="10" t="n"/>
      <c r="H1404" s="9" t="inlineStr">
        <is>
          <t>Utopia Home Folding Step Stool - (Pack of 1) Foot Stool with 9 Inch Height - Holds Up to 300 lbs - Lightweight Plastic Foldable Step Stool for Kitchen, Bathroom &amp; Living Room (Black)</t>
        </is>
      </c>
      <c r="I1404" s="9" t="n">
        <v>1</v>
      </c>
      <c r="J1404" s="9" t="inlineStr">
        <is>
          <t>cnt</t>
        </is>
      </c>
      <c r="K1404" s="9" t="n">
        <v>9.99</v>
      </c>
    </row>
    <row r="1405" ht="15" customFormat="1" customHeight="1" s="5">
      <c r="A1405" s="81" t="n">
        <v>45917</v>
      </c>
      <c r="B1405" s="82" t="n">
        <v>0.4076388888888889</v>
      </c>
      <c r="C1405" s="5" t="inlineStr">
        <is>
          <t>Amazon</t>
        </is>
      </c>
      <c r="D1405" s="5" t="n">
        <v>1</v>
      </c>
      <c r="F1405" s="6" t="inlineStr">
        <is>
          <t>112-7431038-8523400</t>
        </is>
      </c>
      <c r="G1405" s="10" t="inlineStr">
        <is>
          <t>D</t>
        </is>
      </c>
      <c r="H1405" s="9" t="inlineStr">
        <is>
          <t>GoveeLife 2.0 WiFi Hygrometer Thermometer 3 Pack, Smart Humidity Temperature Sensor with App Notifications, 2-Year Free Data Storage Export, Temperature Humidity for Bedroom, Wine Cellar, Basements</t>
        </is>
      </c>
      <c r="I1405" s="9" t="n">
        <v>3</v>
      </c>
      <c r="J1405" s="9" t="inlineStr">
        <is>
          <t>cnt</t>
        </is>
      </c>
      <c r="K1405" s="9" t="n">
        <v>55.99</v>
      </c>
    </row>
    <row r="1406" ht="15" customFormat="1" customHeight="1" s="5">
      <c r="A1406" s="81" t="n">
        <v>45917</v>
      </c>
      <c r="B1406" s="82" t="n">
        <v>0.4076388888888889</v>
      </c>
      <c r="C1406" s="5" t="inlineStr">
        <is>
          <t>Amazon</t>
        </is>
      </c>
      <c r="D1406" s="5" t="n">
        <v>1</v>
      </c>
      <c r="F1406" s="6" t="inlineStr">
        <is>
          <t>112-7431038-8523400</t>
        </is>
      </c>
      <c r="G1406" s="10" t="inlineStr">
        <is>
          <t>D</t>
        </is>
      </c>
      <c r="H1406" s="9" t="inlineStr">
        <is>
          <t>**DISCOUNT** saving $6.00 coupon</t>
        </is>
      </c>
      <c r="I1406" s="9" t="n">
        <v>3</v>
      </c>
      <c r="J1406" s="9" t="inlineStr">
        <is>
          <t>cnt</t>
        </is>
      </c>
      <c r="K1406" s="9" t="n">
        <v>-6</v>
      </c>
    </row>
    <row r="1407" ht="15" customFormat="1" customHeight="1" s="5">
      <c r="A1407" s="81" t="n">
        <v>45917</v>
      </c>
      <c r="B1407" s="82" t="n">
        <v>0.4076388888888889</v>
      </c>
      <c r="C1407" s="5" t="inlineStr">
        <is>
          <t>Amazon</t>
        </is>
      </c>
      <c r="D1407" s="5" t="n">
        <v>1</v>
      </c>
      <c r="F1407" s="6" t="inlineStr">
        <is>
          <t>112-7431038-8523400</t>
        </is>
      </c>
      <c r="G1407" s="10" t="inlineStr">
        <is>
          <t>F</t>
        </is>
      </c>
      <c r="H1407" s="9" t="inlineStr">
        <is>
          <t>Miss Mouth's Messy Eater Stain Treater - 16oz Refill - Newborn &amp; Baby Essentials - No Dry Cleaning Food, Grease, Coffee Off Laundry, Underwear, Fabric</t>
        </is>
      </c>
      <c r="I1407" s="9" t="n">
        <v>16</v>
      </c>
      <c r="J1407" s="9" t="inlineStr">
        <is>
          <t>oz</t>
        </is>
      </c>
      <c r="K1407" s="9" t="n">
        <v>27.99</v>
      </c>
    </row>
    <row r="1408" ht="15" customFormat="1" customHeight="1" s="5">
      <c r="A1408" s="81" t="n">
        <v>45917</v>
      </c>
      <c r="B1408" s="82" t="n">
        <v>0.4076388888888889</v>
      </c>
      <c r="C1408" s="5" t="inlineStr">
        <is>
          <t>Amazon</t>
        </is>
      </c>
      <c r="D1408" s="5" t="n">
        <v>1</v>
      </c>
      <c r="F1408" s="6" t="inlineStr">
        <is>
          <t>112-7431038-8523400</t>
        </is>
      </c>
      <c r="G1408" s="10" t="inlineStr">
        <is>
          <t>F</t>
        </is>
      </c>
      <c r="H1408" s="9" t="inlineStr">
        <is>
          <t>**DISCOUNT** "Buy again and Save"</t>
        </is>
      </c>
      <c r="I1408" s="9" t="n">
        <v>16</v>
      </c>
      <c r="J1408" s="9" t="inlineStr">
        <is>
          <t>oz</t>
        </is>
      </c>
      <c r="K1408" s="9" t="n">
        <v>-2.8</v>
      </c>
    </row>
    <row r="1409" ht="15" customFormat="1" customHeight="1" s="5">
      <c r="A1409" s="81" t="n">
        <v>45917</v>
      </c>
      <c r="B1409" s="82" t="n">
        <v>0.4076388888888889</v>
      </c>
      <c r="C1409" s="5" t="inlineStr">
        <is>
          <t>Amazon</t>
        </is>
      </c>
      <c r="D1409" s="5" t="n">
        <v>1</v>
      </c>
      <c r="F1409" s="6" t="inlineStr">
        <is>
          <t>112-7431038-8523400</t>
        </is>
      </c>
      <c r="G1409" s="10" t="inlineStr">
        <is>
          <t>F</t>
        </is>
      </c>
      <c r="H1409" s="9" t="inlineStr">
        <is>
          <t>**DISCOUNT** Baby Registry 15% off!</t>
        </is>
      </c>
      <c r="I1409" s="9" t="n">
        <v>16</v>
      </c>
      <c r="J1409" s="9" t="inlineStr">
        <is>
          <t>oz</t>
        </is>
      </c>
      <c r="K1409" s="9" t="n">
        <v>-4.05</v>
      </c>
    </row>
    <row r="1410" ht="15" customFormat="1" customHeight="1" s="5">
      <c r="A1410" s="81" t="n">
        <v>45917</v>
      </c>
      <c r="B1410" s="82" t="n">
        <v>0.4076388888888889</v>
      </c>
      <c r="C1410" s="5" t="inlineStr">
        <is>
          <t>Amazon</t>
        </is>
      </c>
      <c r="D1410" s="5" t="n">
        <v>1</v>
      </c>
      <c r="F1410" s="6" t="inlineStr">
        <is>
          <t>112-7431038-8523400</t>
        </is>
      </c>
      <c r="G1410" s="10" t="n"/>
      <c r="H1410" s="9" t="inlineStr">
        <is>
          <t>Tax</t>
        </is>
      </c>
      <c r="I1410" s="9" t="n"/>
      <c r="J1410" s="9" t="n"/>
      <c r="K1410" s="9" t="n">
        <v>11.38</v>
      </c>
    </row>
    <row r="1411" ht="15" customFormat="1" customHeight="1" s="5">
      <c r="A1411" s="81" t="n">
        <v>45916</v>
      </c>
      <c r="B1411" s="82" t="n">
        <v>0.9493055555555555</v>
      </c>
      <c r="C1411" s="5" t="inlineStr">
        <is>
          <t>O'Reilly Auto Parts</t>
        </is>
      </c>
      <c r="E1411" s="5" t="n">
        <v>1</v>
      </c>
      <c r="F1411" s="6" t="inlineStr">
        <is>
          <t>No. 5447 6849 5785 8765 (378; 3/26)</t>
        </is>
      </c>
      <c r="G1411" s="7" t="n"/>
      <c r="H1411" s="9" t="inlineStr">
        <is>
          <t>$15 Valvoline Rebate Gift Card (mail) -- 2nd one! -- from O'Reilly Auto Parts</t>
        </is>
      </c>
      <c r="I1411" s="9" t="n">
        <v>1</v>
      </c>
      <c r="J1411" s="9" t="inlineStr">
        <is>
          <t>cnt</t>
        </is>
      </c>
      <c r="K1411" s="9" t="n">
        <v>-15</v>
      </c>
    </row>
    <row r="1412" ht="15" customFormat="1" customHeight="1" s="5">
      <c r="A1412" s="81" t="n">
        <v>45916</v>
      </c>
      <c r="B1412" s="82" t="n">
        <v>0.9229166666666667</v>
      </c>
      <c r="C1412" s="5" t="inlineStr">
        <is>
          <t>Amazon</t>
        </is>
      </c>
      <c r="D1412" s="5" t="n">
        <v>1</v>
      </c>
      <c r="F1412" s="6" t="inlineStr">
        <is>
          <t>112-9198321-4999454</t>
        </is>
      </c>
      <c r="G1412" s="10" t="inlineStr">
        <is>
          <t>A</t>
        </is>
      </c>
      <c r="H1412" s="18" t="inlineStr">
        <is>
          <t>Sealy Baby Flex Cool 2 Stage Breathable Crib Mattress with Toddler Bed Fit, Waterproof &amp; Airy Cotton Cover, 204 Premium Coils, GREENGUARD Gold Certified, Safety &amp; Quality Tested, Made in USA, 52x28"</t>
        </is>
      </c>
      <c r="I1412" s="9" t="n">
        <v>1</v>
      </c>
      <c r="J1412" s="9" t="inlineStr">
        <is>
          <t>cnt</t>
        </is>
      </c>
      <c r="K1412" s="9" t="n">
        <v>129.97</v>
      </c>
    </row>
    <row r="1413" ht="15" customFormat="1" customHeight="1" s="5">
      <c r="A1413" s="81" t="n">
        <v>45916</v>
      </c>
      <c r="B1413" s="82" t="n">
        <v>0.9229166666666667</v>
      </c>
      <c r="C1413" s="5" t="inlineStr">
        <is>
          <t>Amazon</t>
        </is>
      </c>
      <c r="D1413" s="5" t="n">
        <v>1</v>
      </c>
      <c r="F1413" s="6" t="inlineStr">
        <is>
          <t>112-9198321-4999454</t>
        </is>
      </c>
      <c r="G1413" s="10" t="inlineStr">
        <is>
          <t>A</t>
        </is>
      </c>
      <c r="H1413" s="9" t="inlineStr">
        <is>
          <t>**DISCOUNT** Baby Registry 15% off!</t>
        </is>
      </c>
      <c r="I1413" s="9" t="n">
        <v>1</v>
      </c>
      <c r="J1413" s="9" t="inlineStr">
        <is>
          <t>cnt</t>
        </is>
      </c>
      <c r="K1413" s="9" t="n">
        <v>-19.5</v>
      </c>
    </row>
    <row r="1414" ht="15" customFormat="1" customHeight="1" s="5">
      <c r="A1414" s="81" t="n">
        <v>45916</v>
      </c>
      <c r="B1414" s="82" t="n">
        <v>0.9229166666666667</v>
      </c>
      <c r="C1414" s="5" t="inlineStr">
        <is>
          <t>Amazon</t>
        </is>
      </c>
      <c r="D1414" s="5" t="n">
        <v>1</v>
      </c>
      <c r="F1414" s="6" t="inlineStr">
        <is>
          <t>112-9198321-4999454</t>
        </is>
      </c>
      <c r="G1414" s="10" t="inlineStr">
        <is>
          <t>B</t>
        </is>
      </c>
      <c r="H1414" s="18" t="inlineStr">
        <is>
          <t>Crib Mattress Protector Pad 2 Pack - Ultra-Soft Waterproof Breathable Premium Bamboo Rayon - Noiseless Fitted Dryer Safe Cover for Crib. High Absorbency Oeko-TEX Certified MARGAUX &amp; MAY</t>
        </is>
      </c>
      <c r="I1414" s="9" t="n">
        <v>2</v>
      </c>
      <c r="J1414" s="9" t="inlineStr">
        <is>
          <t>cnt</t>
        </is>
      </c>
      <c r="K1414" s="9" t="n">
        <v>37.99</v>
      </c>
    </row>
    <row r="1415" ht="15" customFormat="1" customHeight="1" s="5">
      <c r="A1415" s="81" t="n">
        <v>45916</v>
      </c>
      <c r="B1415" s="82" t="n">
        <v>0.9229166666666667</v>
      </c>
      <c r="C1415" s="5" t="inlineStr">
        <is>
          <t>Amazon</t>
        </is>
      </c>
      <c r="D1415" s="5" t="n">
        <v>1</v>
      </c>
      <c r="F1415" s="6" t="inlineStr">
        <is>
          <t>112-9198321-4999454</t>
        </is>
      </c>
      <c r="G1415" s="10" t="inlineStr">
        <is>
          <t>B</t>
        </is>
      </c>
      <c r="H1415" s="9" t="inlineStr">
        <is>
          <t>**DISCOUNT** Baby Registry 15% off!</t>
        </is>
      </c>
      <c r="I1415" s="9" t="n">
        <v>2</v>
      </c>
      <c r="J1415" s="9" t="inlineStr">
        <is>
          <t>cnt</t>
        </is>
      </c>
      <c r="K1415" s="9" t="n">
        <v>-7.31</v>
      </c>
    </row>
    <row r="1416" ht="15" customFormat="1" customHeight="1" s="5">
      <c r="A1416" s="81" t="n">
        <v>45916</v>
      </c>
      <c r="B1416" s="82" t="n">
        <v>0.9229166666666667</v>
      </c>
      <c r="C1416" s="5" t="inlineStr">
        <is>
          <t>Amazon</t>
        </is>
      </c>
      <c r="D1416" s="5" t="n">
        <v>1</v>
      </c>
      <c r="F1416" s="6" t="inlineStr">
        <is>
          <t>112-9198321-4999454</t>
        </is>
      </c>
      <c r="G1416" s="10" t="n"/>
      <c r="H1416" s="9" t="inlineStr">
        <is>
          <t>Tax</t>
        </is>
      </c>
      <c r="I1416" s="9" t="n">
        <v>2</v>
      </c>
      <c r="J1416" s="9" t="inlineStr">
        <is>
          <t>cnt</t>
        </is>
      </c>
      <c r="K1416" s="9" t="n">
        <v>11.73</v>
      </c>
    </row>
    <row r="1417" ht="15" customFormat="1" customHeight="1" s="5">
      <c r="A1417" s="81" t="n">
        <v>45916</v>
      </c>
      <c r="B1417" s="82" t="n">
        <v>0.9229166666666667</v>
      </c>
      <c r="C1417" s="5" t="inlineStr">
        <is>
          <t>Amazon</t>
        </is>
      </c>
      <c r="D1417" s="5" t="n">
        <v>1</v>
      </c>
      <c r="F1417" s="6" t="inlineStr">
        <is>
          <t>112-9198321-4999454</t>
        </is>
      </c>
      <c r="G1417" s="10" t="n"/>
      <c r="H1417" s="9" t="inlineStr">
        <is>
          <t>Co retail delivery fees</t>
        </is>
      </c>
      <c r="I1417" s="9" t="n">
        <v>2</v>
      </c>
      <c r="J1417" s="9" t="inlineStr">
        <is>
          <t>cnt</t>
        </is>
      </c>
      <c r="K1417" s="9" t="n">
        <v>0.28</v>
      </c>
    </row>
    <row r="1418" ht="15" customFormat="1" customHeight="1" s="5">
      <c r="A1418" s="81" t="n">
        <v>45916</v>
      </c>
      <c r="B1418" s="78" t="n">
        <v>0.7569444444444444</v>
      </c>
      <c r="C1418" s="5" t="inlineStr">
        <is>
          <t>AT&amp;T</t>
        </is>
      </c>
      <c r="D1418" s="5" t="n">
        <v>1</v>
      </c>
      <c r="F1418" s="6" t="inlineStr">
        <is>
          <t>8MK7MYW7O04WHVR</t>
        </is>
      </c>
      <c r="G1418" s="15" t="n"/>
      <c r="H1418" s="9" t="inlineStr">
        <is>
          <t>Monthly AT&amp;T Phone and Service cost for Eli's iPhone 16+</t>
        </is>
      </c>
      <c r="I1418" s="9" t="n"/>
      <c r="J1418" s="9" t="n"/>
      <c r="K1418" s="88" t="n">
        <v>40.16</v>
      </c>
    </row>
    <row r="1419" ht="15" customFormat="1" customHeight="1" s="5">
      <c r="A1419" s="81" t="n">
        <v>45915</v>
      </c>
      <c r="B1419" s="78" t="n">
        <v>0.9090277777777778</v>
      </c>
      <c r="C1419" s="5" t="inlineStr">
        <is>
          <t>Amazon</t>
        </is>
      </c>
      <c r="D1419" s="5" t="n">
        <v>1</v>
      </c>
      <c r="F1419" s="6" t="inlineStr">
        <is>
          <t>111-4690350-3797047</t>
        </is>
      </c>
      <c r="G1419" s="15" t="n"/>
      <c r="H1419" s="9" t="inlineStr">
        <is>
          <t>Boiron Tabacum 200Ck Homeopathic Medicine for Motion Sickness with Cold Sweat - 80 Pellets Sold by: Amazon.com Supplied by: Other</t>
        </is>
      </c>
      <c r="I1419" s="9" t="n">
        <v>80</v>
      </c>
      <c r="J1419" s="9" t="inlineStr">
        <is>
          <t>cnt</t>
        </is>
      </c>
      <c r="K1419" s="9" t="n">
        <v>9.35</v>
      </c>
    </row>
    <row r="1420" ht="15" customFormat="1" customHeight="1" s="5">
      <c r="A1420" s="81" t="n">
        <v>45915</v>
      </c>
      <c r="B1420" s="78" t="n">
        <v>0.9090277777777778</v>
      </c>
      <c r="C1420" s="5" t="inlineStr">
        <is>
          <t>Amazon</t>
        </is>
      </c>
      <c r="D1420" s="5" t="n">
        <v>1</v>
      </c>
      <c r="F1420" s="6" t="inlineStr">
        <is>
          <t>111-4690350-3797047</t>
        </is>
      </c>
      <c r="G1420" s="15" t="n"/>
      <c r="H1420" s="9" t="inlineStr">
        <is>
          <t>**DISCOUNT** Baby Registry 15% off!</t>
        </is>
      </c>
      <c r="I1420" s="9" t="n">
        <v>80</v>
      </c>
      <c r="J1420" s="9" t="inlineStr">
        <is>
          <t>cnt</t>
        </is>
      </c>
      <c r="K1420" s="9" t="n">
        <v>-1.4</v>
      </c>
    </row>
    <row r="1421" ht="15" customFormat="1" customHeight="1" s="5">
      <c r="A1421" s="81" t="n">
        <v>45915</v>
      </c>
      <c r="B1421" s="78" t="n">
        <v>0.9090277777777778</v>
      </c>
      <c r="C1421" s="5" t="inlineStr">
        <is>
          <t>Amazon</t>
        </is>
      </c>
      <c r="D1421" s="5" t="n">
        <v>1</v>
      </c>
      <c r="F1421" s="6" t="inlineStr">
        <is>
          <t>111-4690350-3797047</t>
        </is>
      </c>
      <c r="G1421" s="15" t="n"/>
      <c r="H1421" s="9" t="inlineStr">
        <is>
          <t>Tax</t>
        </is>
      </c>
      <c r="I1421" s="9" t="n">
        <v>80</v>
      </c>
      <c r="J1421" s="9" t="inlineStr">
        <is>
          <t>cnt</t>
        </is>
      </c>
      <c r="K1421" s="9" t="n">
        <v>0.64</v>
      </c>
    </row>
    <row r="1422" ht="15" customFormat="1" customHeight="1" s="5">
      <c r="A1422" s="81" t="n">
        <v>45915</v>
      </c>
      <c r="B1422" s="78" t="n">
        <v>0.9090277777777778</v>
      </c>
      <c r="C1422" s="5" t="inlineStr">
        <is>
          <t>Amazon</t>
        </is>
      </c>
      <c r="D1422" s="5" t="n">
        <v>1</v>
      </c>
      <c r="F1422" s="6" t="inlineStr">
        <is>
          <t>111-7359610-6449039</t>
        </is>
      </c>
      <c r="G1422" s="15" t="n"/>
      <c r="H1422" s="18" t="inlineStr">
        <is>
          <t>Boiron Arnicare Bruise Cream for Pain Relief from Bruising and Swelling or Discoloration from Injury - 1.4 oz</t>
        </is>
      </c>
      <c r="I1422" s="9" t="n">
        <v>1.4</v>
      </c>
      <c r="J1422" s="9" t="inlineStr">
        <is>
          <t>oz</t>
        </is>
      </c>
      <c r="K1422" s="9" t="n">
        <v>7.15</v>
      </c>
    </row>
    <row r="1423" ht="15" customFormat="1" customHeight="1" s="5">
      <c r="A1423" s="81" t="n">
        <v>45915</v>
      </c>
      <c r="B1423" s="78" t="n">
        <v>0.9090277777777778</v>
      </c>
      <c r="C1423" s="5" t="inlineStr">
        <is>
          <t>Amazon</t>
        </is>
      </c>
      <c r="D1423" s="5" t="n">
        <v>1</v>
      </c>
      <c r="F1423" s="6" t="inlineStr">
        <is>
          <t>111-7359610-6449039</t>
        </is>
      </c>
      <c r="G1423" s="15" t="n"/>
      <c r="H1423" s="18" t="inlineStr">
        <is>
          <t>VTech Upgraded Audio Baby Monitor with Rechargeable Battery, Long Range, and Crystal-Clear Sound Sold by: Amazon.com</t>
        </is>
      </c>
      <c r="I1423" s="9" t="n">
        <v>2</v>
      </c>
      <c r="J1423" s="9" t="inlineStr">
        <is>
          <t>cnt</t>
        </is>
      </c>
      <c r="K1423" s="9" t="n">
        <v>18.99</v>
      </c>
    </row>
    <row r="1424" ht="15" customFormat="1" customHeight="1" s="5">
      <c r="A1424" s="81" t="n">
        <v>45915</v>
      </c>
      <c r="B1424" s="78" t="n">
        <v>0.9090277777777778</v>
      </c>
      <c r="C1424" s="5" t="inlineStr">
        <is>
          <t>Amazon</t>
        </is>
      </c>
      <c r="D1424" s="5" t="n">
        <v>1</v>
      </c>
      <c r="F1424" s="6" t="inlineStr">
        <is>
          <t>111-7359610-6449039</t>
        </is>
      </c>
      <c r="G1424" s="15" t="n"/>
      <c r="H1424" s="9" t="inlineStr">
        <is>
          <t>**DISCOUNT** Baby Registry 15% off!</t>
        </is>
      </c>
      <c r="I1424" s="9" t="n">
        <v>2</v>
      </c>
      <c r="J1424" s="9" t="inlineStr">
        <is>
          <t>cnt</t>
        </is>
      </c>
      <c r="K1424" s="9" t="n">
        <v>-3.92</v>
      </c>
    </row>
    <row r="1425" ht="15" customFormat="1" customHeight="1" s="5">
      <c r="A1425" s="81" t="n">
        <v>45915</v>
      </c>
      <c r="B1425" s="78" t="n">
        <v>0.9090277777777778</v>
      </c>
      <c r="C1425" s="5" t="inlineStr">
        <is>
          <t>Amazon</t>
        </is>
      </c>
      <c r="D1425" s="5" t="n">
        <v>1</v>
      </c>
      <c r="F1425" s="6" t="inlineStr">
        <is>
          <t>111-7359610-6449039</t>
        </is>
      </c>
      <c r="G1425" s="15" t="n"/>
      <c r="H1425" s="9" t="inlineStr">
        <is>
          <t>Tax</t>
        </is>
      </c>
      <c r="I1425" s="9" t="n">
        <v>2</v>
      </c>
      <c r="J1425" s="9" t="inlineStr">
        <is>
          <t>cnt</t>
        </is>
      </c>
      <c r="K1425" s="9" t="n">
        <v>1.78</v>
      </c>
    </row>
    <row r="1426" ht="15" customFormat="1" customHeight="1" s="5">
      <c r="A1426" s="81" t="n">
        <v>45914</v>
      </c>
      <c r="B1426" s="82" t="n">
        <v>0.7115625</v>
      </c>
      <c r="C1426" s="5" t="inlineStr">
        <is>
          <t>Little Panda (Chen Lin LCC)</t>
        </is>
      </c>
      <c r="E1426" s="5" t="n">
        <v>1</v>
      </c>
      <c r="F1426" s="6" t="inlineStr">
        <is>
          <t>#35</t>
        </is>
      </c>
      <c r="G1426" s="17" t="n"/>
      <c r="H1426" s="9" t="inlineStr">
        <is>
          <t>Lo Mein Scoop</t>
        </is>
      </c>
      <c r="I1426" s="5" t="n">
        <v>1</v>
      </c>
      <c r="J1426" s="5" t="inlineStr">
        <is>
          <t>cnt</t>
        </is>
      </c>
      <c r="K1426" s="5" t="n">
        <v>2.5</v>
      </c>
    </row>
    <row r="1427" ht="15" customFormat="1" customHeight="1" s="5">
      <c r="A1427" s="81" t="n">
        <v>45914</v>
      </c>
      <c r="B1427" s="82" t="n">
        <v>0.7115625</v>
      </c>
      <c r="C1427" s="5" t="inlineStr">
        <is>
          <t>Little Panda (Chen Lin LCC)</t>
        </is>
      </c>
      <c r="E1427" s="5" t="n">
        <v>1</v>
      </c>
      <c r="F1427" s="6" t="inlineStr">
        <is>
          <t>#35</t>
        </is>
      </c>
      <c r="G1427" s="17" t="n"/>
      <c r="H1427" s="9" t="inlineStr">
        <is>
          <t>Honey Chicken Scoop</t>
        </is>
      </c>
      <c r="I1427" s="5" t="n">
        <v>1</v>
      </c>
      <c r="J1427" s="5" t="inlineStr">
        <is>
          <t>cnt</t>
        </is>
      </c>
      <c r="K1427" s="5" t="n">
        <v>3</v>
      </c>
    </row>
    <row r="1428" ht="15" customFormat="1" customHeight="1" s="5">
      <c r="A1428" s="81" t="n">
        <v>45914</v>
      </c>
      <c r="B1428" s="82" t="n">
        <v>0.7115625</v>
      </c>
      <c r="C1428" s="5" t="inlineStr">
        <is>
          <t>Little Panda (Chen Lin LCC)</t>
        </is>
      </c>
      <c r="E1428" s="5" t="n">
        <v>1</v>
      </c>
      <c r="F1428" s="6" t="inlineStr">
        <is>
          <t>#35</t>
        </is>
      </c>
      <c r="G1428" s="17" t="n"/>
      <c r="H1428" s="9" t="inlineStr">
        <is>
          <t>Beef and Broccoli Scoop</t>
        </is>
      </c>
      <c r="I1428" s="5" t="n">
        <v>1</v>
      </c>
      <c r="J1428" s="5" t="inlineStr">
        <is>
          <t>cnt</t>
        </is>
      </c>
      <c r="K1428" s="5" t="n">
        <v>3</v>
      </c>
    </row>
    <row r="1429" ht="15" customFormat="1" customHeight="1" s="5">
      <c r="A1429" s="81" t="n">
        <v>45914</v>
      </c>
      <c r="B1429" s="82" t="n">
        <v>0.7115625</v>
      </c>
      <c r="C1429" s="5" t="inlineStr">
        <is>
          <t>Little Panda (Chen Lin LCC)</t>
        </is>
      </c>
      <c r="E1429" s="5" t="n">
        <v>1</v>
      </c>
      <c r="F1429" s="6" t="inlineStr">
        <is>
          <t>#35</t>
        </is>
      </c>
      <c r="G1429" s="17" t="n"/>
      <c r="H1429" s="9" t="inlineStr">
        <is>
          <t>Lo Mein Scoop</t>
        </is>
      </c>
      <c r="I1429" s="5" t="n">
        <v>1</v>
      </c>
      <c r="J1429" s="5" t="inlineStr">
        <is>
          <t>cnt</t>
        </is>
      </c>
      <c r="K1429" s="5" t="n">
        <v>2.5</v>
      </c>
    </row>
    <row r="1430" ht="15" customFormat="1" customHeight="1" s="5">
      <c r="A1430" s="81" t="n">
        <v>45914</v>
      </c>
      <c r="B1430" s="82" t="n">
        <v>0.7115625</v>
      </c>
      <c r="C1430" s="5" t="inlineStr">
        <is>
          <t>Little Panda (Chen Lin LCC)</t>
        </is>
      </c>
      <c r="E1430" s="5" t="n">
        <v>1</v>
      </c>
      <c r="F1430" s="6" t="inlineStr">
        <is>
          <t>#35</t>
        </is>
      </c>
      <c r="G1430" s="17" t="n"/>
      <c r="H1430" s="9" t="inlineStr">
        <is>
          <t>Jalepeno Chicken Scoop ("very salty" -E)</t>
        </is>
      </c>
      <c r="I1430" s="5" t="n">
        <v>1</v>
      </c>
      <c r="J1430" s="5" t="inlineStr">
        <is>
          <t>cnt</t>
        </is>
      </c>
      <c r="K1430" s="5" t="n">
        <v>3</v>
      </c>
    </row>
    <row r="1431" ht="15" customFormat="1" customHeight="1" s="5">
      <c r="A1431" s="81" t="n">
        <v>45914</v>
      </c>
      <c r="B1431" s="82" t="n">
        <v>0.7115625</v>
      </c>
      <c r="C1431" s="5" t="inlineStr">
        <is>
          <t>Little Panda (Chen Lin LCC)</t>
        </is>
      </c>
      <c r="E1431" s="5" t="n">
        <v>1</v>
      </c>
      <c r="F1431" s="6" t="inlineStr">
        <is>
          <t>#35</t>
        </is>
      </c>
      <c r="G1431" s="17" t="n"/>
      <c r="H1431" s="9" t="inlineStr">
        <is>
          <t>Orange Chicken Scoop</t>
        </is>
      </c>
      <c r="I1431" s="5" t="n">
        <v>1</v>
      </c>
      <c r="J1431" s="5" t="inlineStr">
        <is>
          <t>cnt</t>
        </is>
      </c>
      <c r="K1431" s="5" t="n">
        <v>3</v>
      </c>
    </row>
    <row r="1432" ht="15" customFormat="1" customHeight="1" s="5">
      <c r="A1432" s="81" t="n">
        <v>45914</v>
      </c>
      <c r="B1432" s="82" t="n">
        <v>0.5493055555555556</v>
      </c>
      <c r="C1432" s="5" t="inlineStr">
        <is>
          <t>Costco</t>
        </is>
      </c>
      <c r="E1432" s="5" t="n">
        <v>1</v>
      </c>
      <c r="F1432" s="6" t="inlineStr">
        <is>
          <t>7092</t>
        </is>
      </c>
      <c r="G1432" s="15" t="inlineStr">
        <is>
          <t>11</t>
        </is>
      </c>
      <c r="H1432" s="9" t="inlineStr">
        <is>
          <t>Ford Gas 10.741 Gallons @ $2.689/gal</t>
        </is>
      </c>
      <c r="I1432" s="9" t="n">
        <v>10.741</v>
      </c>
      <c r="J1432" s="9" t="inlineStr">
        <is>
          <t>gal</t>
        </is>
      </c>
      <c r="K1432" s="9" t="n">
        <v>28.88</v>
      </c>
    </row>
    <row r="1433" ht="15" customFormat="1" customHeight="1" s="5">
      <c r="A1433" s="81" t="n">
        <v>45913</v>
      </c>
      <c r="B1433" s="78" t="n">
        <v>0.6698379629629629</v>
      </c>
      <c r="C1433" s="5" t="inlineStr">
        <is>
          <t>Ald Friends Foundation, Library</t>
        </is>
      </c>
      <c r="E1433" s="5" t="n">
        <v>1</v>
      </c>
      <c r="F1433" s="6" t="inlineStr">
        <is>
          <t>300280</t>
        </is>
      </c>
      <c r="G1433" s="15" t="n"/>
      <c r="H1433" s="9" t="inlineStr">
        <is>
          <t>USED BOOK "Teddy Bears' Counting Book" Brimax</t>
        </is>
      </c>
      <c r="I1433" s="9" t="n">
        <v>1</v>
      </c>
      <c r="J1433" s="9" t="inlineStr">
        <is>
          <t>cnt</t>
        </is>
      </c>
      <c r="K1433" s="9" t="n">
        <v>2</v>
      </c>
    </row>
    <row r="1434" ht="15" customFormat="1" customHeight="1" s="5">
      <c r="A1434" s="81" t="n">
        <v>45913</v>
      </c>
      <c r="B1434" s="78" t="n">
        <v>0.6698379629629629</v>
      </c>
      <c r="C1434" s="5" t="inlineStr">
        <is>
          <t>Ald Friends Foundation, Library</t>
        </is>
      </c>
      <c r="E1434" s="5" t="n">
        <v>1</v>
      </c>
      <c r="F1434" s="6" t="inlineStr">
        <is>
          <t>300280</t>
        </is>
      </c>
      <c r="G1434" s="15" t="n"/>
      <c r="H1434" s="9" t="inlineStr">
        <is>
          <t>USED BOOK "A Good Day for Abbey" Susan Yost-Filgate and Leonard Filgate</t>
        </is>
      </c>
      <c r="I1434" s="9" t="n">
        <v>1</v>
      </c>
      <c r="J1434" s="9" t="inlineStr">
        <is>
          <t>cnt</t>
        </is>
      </c>
      <c r="K1434" s="9" t="n">
        <v>2</v>
      </c>
    </row>
    <row r="1435" ht="15" customFormat="1" customHeight="1" s="5">
      <c r="A1435" s="81" t="n">
        <v>45913</v>
      </c>
      <c r="B1435" s="78" t="n">
        <v>0.6698379629629629</v>
      </c>
      <c r="C1435" s="5" t="inlineStr">
        <is>
          <t>Ald Friends Foundation, Library</t>
        </is>
      </c>
      <c r="E1435" s="5" t="n">
        <v>1</v>
      </c>
      <c r="F1435" s="6" t="inlineStr">
        <is>
          <t>300280</t>
        </is>
      </c>
      <c r="G1435" s="15" t="n"/>
      <c r="H1435" s="9" t="inlineStr">
        <is>
          <t>USED BOOK "You Are Special" Max Lucado</t>
        </is>
      </c>
      <c r="I1435" s="9" t="n">
        <v>1</v>
      </c>
      <c r="J1435" s="9" t="inlineStr">
        <is>
          <t>cnt</t>
        </is>
      </c>
      <c r="K1435" s="9" t="n">
        <v>1</v>
      </c>
    </row>
    <row r="1436" ht="15" customFormat="1" customHeight="1" s="5">
      <c r="A1436" s="81" t="n">
        <v>45913</v>
      </c>
      <c r="B1436" s="78" t="n">
        <v>0.6698379629629629</v>
      </c>
      <c r="C1436" s="5" t="inlineStr">
        <is>
          <t>Ald Friends Foundation, Library</t>
        </is>
      </c>
      <c r="E1436" s="5" t="n">
        <v>1</v>
      </c>
      <c r="F1436" s="6" t="inlineStr">
        <is>
          <t>300280</t>
        </is>
      </c>
      <c r="G1436" s="15" t="n"/>
      <c r="H1436" s="9" t="inlineStr">
        <is>
          <t>USED BOOK "Oh So Soft!" - Vendon</t>
        </is>
      </c>
      <c r="I1436" s="9" t="n">
        <v>1</v>
      </c>
      <c r="J1436" s="9" t="inlineStr">
        <is>
          <t>cnt</t>
        </is>
      </c>
      <c r="K1436" s="9" t="n">
        <v>1</v>
      </c>
    </row>
    <row r="1437" ht="15" customFormat="1" customHeight="1" s="5">
      <c r="A1437" s="81" t="n">
        <v>45913</v>
      </c>
      <c r="B1437" s="78" t="n">
        <v>0.6698379629629629</v>
      </c>
      <c r="C1437" s="5" t="inlineStr">
        <is>
          <t>Ald Friends Foundation, Library</t>
        </is>
      </c>
      <c r="E1437" s="5" t="n">
        <v>1</v>
      </c>
      <c r="F1437" s="6" t="inlineStr">
        <is>
          <t>300280</t>
        </is>
      </c>
      <c r="G1437" s="15" t="n"/>
      <c r="H1437" s="9" t="inlineStr">
        <is>
          <t>USED BOOK "Let's go to the Park!" tiny board book she wanted to eat the whole time</t>
        </is>
      </c>
      <c r="I1437" s="9" t="n">
        <v>1</v>
      </c>
      <c r="J1437" s="9" t="inlineStr">
        <is>
          <t>cnt</t>
        </is>
      </c>
      <c r="K1437" s="9" t="n">
        <v>0.5</v>
      </c>
    </row>
    <row r="1438" ht="15" customFormat="1" customHeight="1" s="5">
      <c r="A1438" s="81" t="n">
        <v>45913</v>
      </c>
      <c r="B1438" s="78" t="n">
        <v>0.6698379629629629</v>
      </c>
      <c r="C1438" s="5" t="inlineStr">
        <is>
          <t>Ald Friends Foundation, Library</t>
        </is>
      </c>
      <c r="E1438" s="5" t="n">
        <v>1</v>
      </c>
      <c r="F1438" s="6" t="inlineStr">
        <is>
          <t>300280</t>
        </is>
      </c>
      <c r="G1438" s="15" t="n"/>
      <c r="H1438" s="9" t="inlineStr">
        <is>
          <t>Tax 6.25%</t>
        </is>
      </c>
      <c r="I1438" s="9" t="n">
        <v>5</v>
      </c>
      <c r="J1438" s="9" t="inlineStr">
        <is>
          <t>cnt</t>
        </is>
      </c>
      <c r="K1438" s="9" t="n">
        <v>0.44</v>
      </c>
    </row>
    <row r="1439" ht="15" customFormat="1" customHeight="1" s="5">
      <c r="A1439" s="81" t="n">
        <v>45913</v>
      </c>
      <c r="B1439" s="78" t="n">
        <v>0.6603356481481482</v>
      </c>
      <c r="C1439" s="5" t="inlineStr">
        <is>
          <t>Koelbel Café, Kelbel Library</t>
        </is>
      </c>
      <c r="E1439" s="5" t="n">
        <v>1</v>
      </c>
      <c r="F1439" s="6" t="inlineStr">
        <is>
          <t>527798</t>
        </is>
      </c>
      <c r="G1439" s="15" t="n"/>
      <c r="H1439" s="9" t="inlineStr">
        <is>
          <t>8 oz kid's Hot Chocolate, whole milk, Ghiardelli, Whipped Cream</t>
        </is>
      </c>
      <c r="I1439" s="9" t="n">
        <v>8</v>
      </c>
      <c r="J1439" s="9" t="inlineStr">
        <is>
          <t>oz</t>
        </is>
      </c>
      <c r="K1439" s="9" t="n">
        <v>2.75</v>
      </c>
    </row>
    <row r="1440" ht="15" customFormat="1" customHeight="1" s="5">
      <c r="A1440" s="81" t="n">
        <v>45913</v>
      </c>
      <c r="B1440" s="78" t="n">
        <v>0.6603356481481482</v>
      </c>
      <c r="C1440" s="5" t="inlineStr">
        <is>
          <t>Koelbel Café, Kelbel Library</t>
        </is>
      </c>
      <c r="E1440" s="5" t="n">
        <v>1</v>
      </c>
      <c r="F1440" s="6" t="inlineStr">
        <is>
          <t>527798</t>
        </is>
      </c>
      <c r="G1440" s="15" t="n"/>
      <c r="H1440" s="9" t="inlineStr">
        <is>
          <t>City/State Tax 6.75%</t>
        </is>
      </c>
      <c r="I1440" s="9" t="n">
        <v>8</v>
      </c>
      <c r="J1440" s="9" t="inlineStr">
        <is>
          <t>oz</t>
        </is>
      </c>
      <c r="K1440" s="9" t="n">
        <v>0.19</v>
      </c>
    </row>
    <row r="1441" ht="15" customFormat="1" customHeight="1" s="5">
      <c r="A1441" s="81" t="n">
        <v>45912</v>
      </c>
      <c r="B1441" s="78" t="n">
        <v>0.7305555555555555</v>
      </c>
      <c r="C1441" s="5" t="inlineStr">
        <is>
          <t>Target</t>
        </is>
      </c>
      <c r="D1441" s="5" t="n">
        <v>1</v>
      </c>
      <c r="F1441" s="6" t="inlineStr">
        <is>
          <t>#912002243100703</t>
        </is>
      </c>
      <c r="G1441" s="15" t="inlineStr">
        <is>
          <t>75571823</t>
        </is>
      </c>
      <c r="H1441" s="9" t="inlineStr">
        <is>
          <t>Boobie Body Organic Pregnancy and Lactation Vegan Protein Shake Chocolate Bliss - 23.4oz/1 Tub</t>
        </is>
      </c>
      <c r="I1441" s="9" t="n">
        <v>23.4</v>
      </c>
      <c r="J1441" s="9" t="inlineStr">
        <is>
          <t>oz</t>
        </is>
      </c>
      <c r="K1441" s="9" t="n">
        <v>39.99</v>
      </c>
    </row>
    <row r="1442" ht="15" customFormat="1" customHeight="1" s="5">
      <c r="A1442" s="81" t="n">
        <v>45912</v>
      </c>
      <c r="B1442" s="78" t="n">
        <v>0.7305555555555555</v>
      </c>
      <c r="C1442" s="5" t="inlineStr">
        <is>
          <t>Target</t>
        </is>
      </c>
      <c r="D1442" s="5" t="n">
        <v>1</v>
      </c>
      <c r="F1442" s="6" t="inlineStr">
        <is>
          <t>#912002243100703</t>
        </is>
      </c>
      <c r="G1442" s="15" t="inlineStr">
        <is>
          <t>90618437</t>
        </is>
      </c>
      <c r="H1442" s="18" t="inlineStr">
        <is>
          <t>Nuby Silicone Sensory Tube Teetheres - Dino and Llama - 2pk</t>
        </is>
      </c>
      <c r="I1442" s="9" t="n">
        <v>2</v>
      </c>
      <c r="J1442" s="9" t="inlineStr">
        <is>
          <t>cnt</t>
        </is>
      </c>
      <c r="K1442" s="9" t="n">
        <v>6.79</v>
      </c>
    </row>
    <row r="1443" ht="15" customFormat="1" customHeight="1" s="5">
      <c r="A1443" s="81" t="n">
        <v>45912</v>
      </c>
      <c r="B1443" s="78" t="n">
        <v>0.7305555555555555</v>
      </c>
      <c r="C1443" s="5" t="inlineStr">
        <is>
          <t>Target</t>
        </is>
      </c>
      <c r="D1443" s="5" t="n">
        <v>1</v>
      </c>
      <c r="F1443" s="6" t="inlineStr">
        <is>
          <t>#912002243100703</t>
        </is>
      </c>
      <c r="G1443" s="15" t="n"/>
      <c r="H1443" s="9" t="inlineStr">
        <is>
          <t>**DISCOUNT** Student: Save 20% on one in-store or online purchase</t>
        </is>
      </c>
      <c r="I1443" s="9" t="n">
        <v>2</v>
      </c>
      <c r="J1443" s="9" t="inlineStr">
        <is>
          <t>cnt</t>
        </is>
      </c>
      <c r="K1443" s="9" t="n">
        <v>-9.16</v>
      </c>
    </row>
    <row r="1444" ht="15" customFormat="1" customHeight="1" s="5">
      <c r="A1444" s="81" t="n">
        <v>45912</v>
      </c>
      <c r="B1444" s="78" t="n">
        <v>0.7305555555555555</v>
      </c>
      <c r="C1444" s="5" t="inlineStr">
        <is>
          <t>Target</t>
        </is>
      </c>
      <c r="D1444" s="5" t="n">
        <v>1</v>
      </c>
      <c r="F1444" s="6" t="inlineStr">
        <is>
          <t>#912002243100703</t>
        </is>
      </c>
      <c r="G1444" s="15" t="n"/>
      <c r="H1444" s="9" t="inlineStr">
        <is>
          <t>**DISCOUNT** $1 shipping discount</t>
        </is>
      </c>
      <c r="I1444" s="9" t="n">
        <v>2</v>
      </c>
      <c r="J1444" s="9" t="inlineStr">
        <is>
          <t>cnt</t>
        </is>
      </c>
      <c r="K1444" s="9" t="n">
        <v>-1</v>
      </c>
    </row>
    <row r="1445" ht="15" customFormat="1" customHeight="1" s="5">
      <c r="A1445" s="81" t="n">
        <v>45912</v>
      </c>
      <c r="B1445" s="78" t="n">
        <v>0.7305555555555555</v>
      </c>
      <c r="C1445" s="5" t="inlineStr">
        <is>
          <t>Target</t>
        </is>
      </c>
      <c r="D1445" s="5" t="n">
        <v>1</v>
      </c>
      <c r="F1445" s="6" t="inlineStr">
        <is>
          <t>#912002243100703</t>
        </is>
      </c>
      <c r="G1445" s="15" t="n"/>
      <c r="H1445" s="9" t="inlineStr">
        <is>
          <t>Co retail delivery fees</t>
        </is>
      </c>
      <c r="I1445" s="9" t="n">
        <v>2</v>
      </c>
      <c r="J1445" s="9" t="inlineStr">
        <is>
          <t>cnt</t>
        </is>
      </c>
      <c r="K1445" s="9" t="n">
        <v>0.28</v>
      </c>
    </row>
    <row r="1446" ht="15" customFormat="1" customHeight="1" s="5">
      <c r="A1446" s="81" t="n">
        <v>45912</v>
      </c>
      <c r="B1446" s="78" t="n">
        <v>0.7305555555555555</v>
      </c>
      <c r="C1446" s="5" t="inlineStr">
        <is>
          <t>Target</t>
        </is>
      </c>
      <c r="D1446" s="5" t="n">
        <v>1</v>
      </c>
      <c r="F1446" s="6" t="inlineStr">
        <is>
          <t>#912002243100703</t>
        </is>
      </c>
      <c r="G1446" s="15" t="n"/>
      <c r="H1446" s="9" t="inlineStr">
        <is>
          <t>Local Sales and Use Tax</t>
        </is>
      </c>
      <c r="I1446" s="9" t="n">
        <v>2</v>
      </c>
      <c r="J1446" s="9" t="inlineStr">
        <is>
          <t>cnt</t>
        </is>
      </c>
      <c r="K1446" s="9" t="n">
        <v>1.87</v>
      </c>
    </row>
    <row r="1447" ht="15" customFormat="1" customHeight="1" s="5">
      <c r="A1447" s="81" t="n">
        <v>45912</v>
      </c>
      <c r="B1447" s="78" t="n">
        <v>0.7305555555555555</v>
      </c>
      <c r="C1447" s="5" t="inlineStr">
        <is>
          <t>Target</t>
        </is>
      </c>
      <c r="D1447" s="5" t="n">
        <v>1</v>
      </c>
      <c r="F1447" s="6" t="inlineStr">
        <is>
          <t>#912002243100703</t>
        </is>
      </c>
      <c r="G1447" s="15" t="n"/>
      <c r="H1447" s="9" t="inlineStr">
        <is>
          <t>Sales and Use Tax</t>
        </is>
      </c>
      <c r="I1447" s="9" t="n">
        <v>2</v>
      </c>
      <c r="J1447" s="9" t="inlineStr">
        <is>
          <t>cnt</t>
        </is>
      </c>
      <c r="K1447" s="9" t="n">
        <v>1.06</v>
      </c>
    </row>
    <row r="1448" ht="15" customFormat="1" customHeight="1" s="5">
      <c r="A1448" s="81" t="n">
        <v>45912</v>
      </c>
      <c r="B1448" s="78" t="n">
        <v>0.6263888888888889</v>
      </c>
      <c r="C1448" s="5" t="inlineStr">
        <is>
          <t>Venmo</t>
        </is>
      </c>
      <c r="D1448" s="5" t="n">
        <v>1</v>
      </c>
      <c r="F1448" s="6" t="inlineStr">
        <is>
          <t>4420317626268364804</t>
        </is>
      </c>
      <c r="G1448" s="15" t="n"/>
      <c r="H1448" s="9" t="inlineStr">
        <is>
          <t>Facebook 8-in-1 Gym resale (to Regan Brown) -- offset Lydia's parking fees</t>
        </is>
      </c>
      <c r="I1448" s="9" t="n"/>
      <c r="J1448" s="9" t="n"/>
      <c r="K1448" s="9" t="n">
        <v>-80</v>
      </c>
    </row>
    <row r="1449" ht="15" customFormat="1" customHeight="1" s="5">
      <c r="A1449" s="81" t="n">
        <v>45912</v>
      </c>
      <c r="B1449" s="78" t="n">
        <v>0.6263888888888889</v>
      </c>
      <c r="C1449" s="5" t="inlineStr">
        <is>
          <t>Venmo</t>
        </is>
      </c>
      <c r="D1449" s="5" t="n">
        <v>1</v>
      </c>
      <c r="F1449" s="6" t="inlineStr">
        <is>
          <t>4420317626268364804</t>
        </is>
      </c>
      <c r="G1449" s="15" t="n"/>
      <c r="H1449" s="9" t="inlineStr">
        <is>
          <t>Facebook 8-in-1 Gym resale (to Regan Brown) -- offset eating out budget!!</t>
        </is>
      </c>
      <c r="I1449" s="9" t="n"/>
      <c r="J1449" s="9" t="n"/>
      <c r="K1449" s="9" t="n">
        <v>-20</v>
      </c>
    </row>
    <row r="1450" ht="15" customFormat="1" customHeight="1" s="5">
      <c r="A1450" s="81" t="n">
        <v>45912</v>
      </c>
      <c r="B1450" s="78" t="n">
        <v>0.5048611111111111</v>
      </c>
      <c r="C1450" s="5" t="inlineStr">
        <is>
          <t>Walmart</t>
        </is>
      </c>
      <c r="F1450" s="6" t="inlineStr">
        <is>
          <t>6469968c31353918b9</t>
        </is>
      </c>
      <c r="G1450" s="15" t="n"/>
      <c r="H1450" s="9" t="inlineStr">
        <is>
          <t>Free Baby Box -- ended up coming in November; lots of travel baby wipe packets, yay!</t>
        </is>
      </c>
      <c r="I1450" s="9" t="n">
        <v>1</v>
      </c>
      <c r="J1450" s="9" t="inlineStr">
        <is>
          <t>cnt</t>
        </is>
      </c>
      <c r="K1450" s="9" t="n">
        <v>0</v>
      </c>
    </row>
    <row r="1451" ht="15" customFormat="1" customHeight="1" s="5">
      <c r="A1451" s="81" t="n">
        <v>45911</v>
      </c>
      <c r="B1451" s="78" t="n">
        <v>0.8715277777777778</v>
      </c>
      <c r="C1451" s="5" t="inlineStr">
        <is>
          <t>Walmart</t>
        </is>
      </c>
      <c r="D1451" s="5" t="n">
        <v>1</v>
      </c>
      <c r="F1451" s="6" t="inlineStr">
        <is>
          <t>#200013808903192</t>
        </is>
      </c>
      <c r="G1451" s="15" t="n"/>
      <c r="H1451" s="9" t="inlineStr">
        <is>
          <t>**REFUNDED** items opted to 'return' because needed to cancel tea party due to norovirus</t>
        </is>
      </c>
      <c r="I1451" s="9" t="n"/>
      <c r="J1451" s="9" t="n"/>
      <c r="K1451" s="9" t="n">
        <v>-16.78</v>
      </c>
    </row>
    <row r="1452" ht="15" customFormat="1" customHeight="1" s="5">
      <c r="A1452" s="81" t="n">
        <v>45911</v>
      </c>
      <c r="B1452" s="78" t="n">
        <v>0.4972222222222222</v>
      </c>
      <c r="C1452" s="5" t="inlineStr">
        <is>
          <t>Walmart</t>
        </is>
      </c>
      <c r="D1452" s="5" t="n">
        <v>1</v>
      </c>
      <c r="F1452" s="6" t="inlineStr">
        <is>
          <t>#200013808903192</t>
        </is>
      </c>
      <c r="G1452" s="15" t="n"/>
      <c r="H1452" s="9" t="inlineStr">
        <is>
          <t>Great Value Ground Mustard, 1.5 oz $1.58/oz</t>
        </is>
      </c>
      <c r="I1452" s="9" t="n">
        <v>1.5</v>
      </c>
      <c r="J1452" s="9" t="inlineStr">
        <is>
          <t>oz</t>
        </is>
      </c>
      <c r="K1452" s="9" t="n">
        <v>2.37</v>
      </c>
    </row>
    <row r="1453" ht="15" customFormat="1" customHeight="1" s="5">
      <c r="A1453" s="81" t="n">
        <v>45911</v>
      </c>
      <c r="B1453" s="78" t="n">
        <v>0.4972222222222222</v>
      </c>
      <c r="C1453" s="5" t="inlineStr">
        <is>
          <t>Walmart</t>
        </is>
      </c>
      <c r="D1453" s="5" t="n">
        <v>1</v>
      </c>
      <c r="F1453" s="6" t="inlineStr">
        <is>
          <t>#200013808903192</t>
        </is>
      </c>
      <c r="G1453" s="15" t="n"/>
      <c r="H1453" s="9" t="inlineStr">
        <is>
          <t>Great Value 8oz Pecan Baking Pieces 58.0¢/oz</t>
        </is>
      </c>
      <c r="I1453" s="9" t="n">
        <v>8</v>
      </c>
      <c r="J1453" s="9" t="inlineStr">
        <is>
          <t>oz</t>
        </is>
      </c>
      <c r="K1453" s="9" t="n">
        <v>4.64</v>
      </c>
    </row>
    <row r="1454" ht="15" customFormat="1" customHeight="1" s="5">
      <c r="A1454" s="81" t="n">
        <v>45911</v>
      </c>
      <c r="B1454" s="78" t="n">
        <v>0.4972222222222222</v>
      </c>
      <c r="C1454" s="5" t="inlineStr">
        <is>
          <t>Walmart</t>
        </is>
      </c>
      <c r="D1454" s="5" t="n">
        <v>1</v>
      </c>
      <c r="F1454" s="6" t="inlineStr">
        <is>
          <t>#200013808903192</t>
        </is>
      </c>
      <c r="G1454" s="15" t="n"/>
      <c r="H1454" s="9" t="inlineStr">
        <is>
          <t>Great Value 100% Pure Pumpkin, 15 oz 7.7¢/oz</t>
        </is>
      </c>
      <c r="I1454" s="9" t="n">
        <v>15</v>
      </c>
      <c r="J1454" s="9" t="inlineStr">
        <is>
          <t>oz</t>
        </is>
      </c>
      <c r="K1454" s="9" t="n">
        <v>1.16</v>
      </c>
    </row>
    <row r="1455" ht="15" customFormat="1" customHeight="1" s="5">
      <c r="A1455" s="81" t="n">
        <v>45911</v>
      </c>
      <c r="B1455" s="78" t="n">
        <v>0.4972222222222222</v>
      </c>
      <c r="C1455" s="5" t="inlineStr">
        <is>
          <t>Walmart</t>
        </is>
      </c>
      <c r="D1455" s="5" t="n">
        <v>1</v>
      </c>
      <c r="F1455" s="6" t="inlineStr">
        <is>
          <t>#200013808903192</t>
        </is>
      </c>
      <c r="G1455" s="15" t="n"/>
      <c r="H1455" s="9" t="inlineStr">
        <is>
          <t>Great Value 100% Pure Pumpkin, 15 oz 7.7¢/oz</t>
        </is>
      </c>
      <c r="I1455" s="9" t="n">
        <v>15</v>
      </c>
      <c r="J1455" s="9" t="inlineStr">
        <is>
          <t>oz</t>
        </is>
      </c>
      <c r="K1455" s="9" t="n">
        <v>1.16</v>
      </c>
    </row>
    <row r="1456" ht="15" customFormat="1" customHeight="1" s="5">
      <c r="A1456" s="81" t="n">
        <v>45911</v>
      </c>
      <c r="B1456" s="78" t="n">
        <v>0.4972222222222222</v>
      </c>
      <c r="C1456" s="5" t="inlineStr">
        <is>
          <t>Walmart</t>
        </is>
      </c>
      <c r="D1456" s="5" t="n">
        <v>1</v>
      </c>
      <c r="F1456" s="6" t="inlineStr">
        <is>
          <t>#200013808903192</t>
        </is>
      </c>
      <c r="G1456" s="15" t="n"/>
      <c r="H1456" s="9" t="inlineStr">
        <is>
          <t>Great Value 100% Pure Pumpkin, 15 oz 7.7¢/oz</t>
        </is>
      </c>
      <c r="I1456" s="9" t="n">
        <v>15</v>
      </c>
      <c r="J1456" s="9" t="inlineStr">
        <is>
          <t>oz</t>
        </is>
      </c>
      <c r="K1456" s="9" t="n">
        <v>1.16</v>
      </c>
    </row>
    <row r="1457" ht="15" customFormat="1" customHeight="1" s="5">
      <c r="A1457" s="81" t="n">
        <v>45911</v>
      </c>
      <c r="B1457" s="78" t="n">
        <v>0.4972222222222222</v>
      </c>
      <c r="C1457" s="5" t="inlineStr">
        <is>
          <t>Walmart</t>
        </is>
      </c>
      <c r="D1457" s="5" t="n">
        <v>1</v>
      </c>
      <c r="F1457" s="6" t="inlineStr">
        <is>
          <t>#200013808903192</t>
        </is>
      </c>
      <c r="G1457" s="15" t="n"/>
      <c r="H1457" s="9" t="inlineStr">
        <is>
          <t>Great Value 100% Pure Pumpkin, 15 oz 7.7¢/oz</t>
        </is>
      </c>
      <c r="I1457" s="9" t="n">
        <v>15</v>
      </c>
      <c r="J1457" s="9" t="inlineStr">
        <is>
          <t>oz</t>
        </is>
      </c>
      <c r="K1457" s="9" t="n">
        <v>1.16</v>
      </c>
    </row>
    <row r="1458" ht="15" customFormat="1" customHeight="1" s="5">
      <c r="A1458" s="81" t="n">
        <v>45911</v>
      </c>
      <c r="B1458" s="78" t="n">
        <v>0.4972222222222222</v>
      </c>
      <c r="C1458" s="5" t="inlineStr">
        <is>
          <t>Walmart</t>
        </is>
      </c>
      <c r="D1458" s="5" t="n">
        <v>1</v>
      </c>
      <c r="F1458" s="6" t="inlineStr">
        <is>
          <t>#200013808903192</t>
        </is>
      </c>
      <c r="G1458" s="15" t="n"/>
      <c r="H1458" s="9" t="inlineStr">
        <is>
          <t>Great Value Cream Cheese Brick, 8 oz Block, 2 Pack 22.8¢/oz</t>
        </is>
      </c>
      <c r="I1458" s="9" t="n">
        <v>16</v>
      </c>
      <c r="J1458" s="9" t="inlineStr">
        <is>
          <t>oz</t>
        </is>
      </c>
      <c r="K1458" s="9" t="n">
        <v>3.64</v>
      </c>
    </row>
    <row r="1459" ht="15" customFormat="1" customHeight="1" s="5">
      <c r="A1459" s="81" t="n">
        <v>45911</v>
      </c>
      <c r="B1459" s="78" t="n">
        <v>0.4972222222222222</v>
      </c>
      <c r="C1459" s="5" t="inlineStr">
        <is>
          <t>Walmart</t>
        </is>
      </c>
      <c r="D1459" s="5" t="n">
        <v>1</v>
      </c>
      <c r="F1459" s="6" t="inlineStr">
        <is>
          <t>#200013808903192</t>
        </is>
      </c>
      <c r="G1459" s="15" t="n"/>
      <c r="H1459" s="9" t="inlineStr">
        <is>
          <t>Fresh Cucumber, Each 67.0¢/ea</t>
        </is>
      </c>
      <c r="I1459" s="9" t="n">
        <v>3</v>
      </c>
      <c r="J1459" s="9" t="inlineStr">
        <is>
          <t>cnt</t>
        </is>
      </c>
      <c r="K1459" s="9" t="n">
        <v>2.01</v>
      </c>
    </row>
    <row r="1460" ht="15" customFormat="1" customHeight="1" s="5">
      <c r="A1460" s="81" t="n">
        <v>45911</v>
      </c>
      <c r="B1460" s="78" t="n">
        <v>0.4972222222222222</v>
      </c>
      <c r="C1460" s="5" t="inlineStr">
        <is>
          <t>Walmart</t>
        </is>
      </c>
      <c r="D1460" s="5" t="n">
        <v>1</v>
      </c>
      <c r="F1460" s="6" t="inlineStr">
        <is>
          <t>#200013808903192</t>
        </is>
      </c>
      <c r="G1460" s="15" t="n"/>
      <c r="H1460" s="9" t="inlineStr">
        <is>
          <t>Great Value White Round Top Bread Loaf, 20 oz 7.1¢/oz</t>
        </is>
      </c>
      <c r="I1460" s="9" t="n">
        <v>20</v>
      </c>
      <c r="J1460" s="9" t="inlineStr">
        <is>
          <t>oz</t>
        </is>
      </c>
      <c r="K1460" s="9" t="n">
        <v>1.42</v>
      </c>
    </row>
    <row r="1461" ht="15" customFormat="1" customHeight="1" s="5">
      <c r="A1461" s="81" t="n">
        <v>45911</v>
      </c>
      <c r="B1461" s="78" t="n">
        <v>0.4972222222222222</v>
      </c>
      <c r="C1461" s="5" t="inlineStr">
        <is>
          <t>Walmart</t>
        </is>
      </c>
      <c r="D1461" s="5" t="n">
        <v>1</v>
      </c>
      <c r="F1461" s="6" t="inlineStr">
        <is>
          <t>#200013808903192</t>
        </is>
      </c>
      <c r="G1461" s="15" t="n"/>
      <c r="H1461" s="58" t="inlineStr">
        <is>
          <t>Fresh Slicing Tomato, Each $1.87/lb -- 2 count</t>
        </is>
      </c>
      <c r="I1461" s="9" t="n">
        <v>0.4</v>
      </c>
      <c r="J1461" s="9" t="inlineStr">
        <is>
          <t>lb</t>
        </is>
      </c>
      <c r="K1461" s="9" t="n">
        <v>0.72</v>
      </c>
    </row>
    <row r="1462" ht="15" customFormat="1" customHeight="1" s="5">
      <c r="A1462" s="81" t="n">
        <v>45911</v>
      </c>
      <c r="B1462" s="78" t="n">
        <v>0.4972222222222222</v>
      </c>
      <c r="C1462" s="5" t="inlineStr">
        <is>
          <t>Walmart</t>
        </is>
      </c>
      <c r="D1462" s="5" t="n">
        <v>1</v>
      </c>
      <c r="F1462" s="6" t="inlineStr">
        <is>
          <t>#200013808903192</t>
        </is>
      </c>
      <c r="G1462" s="15" t="n"/>
      <c r="H1462" s="9" t="inlineStr">
        <is>
          <t>Prego Basil Pesto Sauce, 8 oz Jar 43.5¢/oz</t>
        </is>
      </c>
      <c r="I1462" s="9" t="n">
        <v>8</v>
      </c>
      <c r="J1462" s="9" t="inlineStr">
        <is>
          <t>oz</t>
        </is>
      </c>
      <c r="K1462" s="9" t="n">
        <v>3.48</v>
      </c>
    </row>
    <row r="1463" ht="15" customFormat="1" customHeight="1" s="5">
      <c r="A1463" s="81" t="n">
        <v>45911</v>
      </c>
      <c r="B1463" s="78" t="n">
        <v>0.4972222222222222</v>
      </c>
      <c r="C1463" s="5" t="inlineStr">
        <is>
          <t>Walmart</t>
        </is>
      </c>
      <c r="D1463" s="5" t="n">
        <v>1</v>
      </c>
      <c r="F1463" s="6" t="inlineStr">
        <is>
          <t>#200013808903192</t>
        </is>
      </c>
      <c r="G1463" s="15" t="n"/>
      <c r="H1463" s="9" t="inlineStr">
        <is>
          <t>Great Value Chunk Light Tuna in Water, 5 oz, 4 Pack 18.1¢/oz</t>
        </is>
      </c>
      <c r="I1463" s="9" t="n">
        <v>20</v>
      </c>
      <c r="J1463" s="9" t="inlineStr">
        <is>
          <t>oz</t>
        </is>
      </c>
      <c r="K1463" s="9" t="n">
        <v>3.62</v>
      </c>
    </row>
    <row r="1464" ht="15" customFormat="1" customHeight="1" s="5">
      <c r="A1464" s="81" t="n">
        <v>45911</v>
      </c>
      <c r="B1464" s="78" t="n">
        <v>0.4972222222222222</v>
      </c>
      <c r="C1464" s="5" t="inlineStr">
        <is>
          <t>Walmart</t>
        </is>
      </c>
      <c r="D1464" s="5" t="n">
        <v>1</v>
      </c>
      <c r="F1464" s="6" t="inlineStr">
        <is>
          <t>#200013808903192</t>
        </is>
      </c>
      <c r="G1464" s="15" t="n"/>
      <c r="H1464" s="9" t="inlineStr">
        <is>
          <t>Great Value Non-Pareil Capers, 3.5 fl oz 56.3¢/fl oz</t>
        </is>
      </c>
      <c r="I1464" s="9" t="n">
        <v>3.5</v>
      </c>
      <c r="J1464" s="9" t="inlineStr">
        <is>
          <t>fl oz</t>
        </is>
      </c>
      <c r="K1464" s="9" t="n">
        <v>1.97</v>
      </c>
    </row>
    <row r="1465" ht="15" customFormat="1" customHeight="1" s="5">
      <c r="A1465" s="81" t="n">
        <v>45911</v>
      </c>
      <c r="B1465" s="78" t="n">
        <v>0.4972222222222222</v>
      </c>
      <c r="C1465" s="5" t="inlineStr">
        <is>
          <t>Walmart</t>
        </is>
      </c>
      <c r="D1465" s="5" t="n">
        <v>1</v>
      </c>
      <c r="F1465" s="6" t="inlineStr">
        <is>
          <t>#200013808903192</t>
        </is>
      </c>
      <c r="G1465" s="15" t="n"/>
      <c r="H1465" s="9" t="inlineStr">
        <is>
          <t>Fresh Celery Stalk, Each $2.12/ea</t>
        </is>
      </c>
      <c r="I1465" s="9" t="n">
        <v>1</v>
      </c>
      <c r="J1465" s="9" t="inlineStr">
        <is>
          <t>cnt</t>
        </is>
      </c>
      <c r="K1465" s="9" t="n">
        <v>2.12</v>
      </c>
    </row>
    <row r="1466" ht="15" customFormat="1" customHeight="1" s="5">
      <c r="A1466" s="81" t="n">
        <v>45911</v>
      </c>
      <c r="B1466" s="78" t="n">
        <v>0.4972222222222222</v>
      </c>
      <c r="C1466" s="5" t="inlineStr">
        <is>
          <t>Walmart</t>
        </is>
      </c>
      <c r="D1466" s="5" t="n">
        <v>1</v>
      </c>
      <c r="F1466" s="6" t="inlineStr">
        <is>
          <t>#200013808903192</t>
        </is>
      </c>
      <c r="G1466" s="15" t="n"/>
      <c r="H1466" s="9" t="inlineStr">
        <is>
          <t>Fresh Cantaloupe, Each $2.78/ea</t>
        </is>
      </c>
      <c r="I1466" s="9" t="n">
        <v>1</v>
      </c>
      <c r="J1466" s="9" t="inlineStr">
        <is>
          <t>cnt</t>
        </is>
      </c>
      <c r="K1466" s="9" t="n">
        <v>2.78</v>
      </c>
    </row>
    <row r="1467" ht="15" customFormat="1" customHeight="1" s="5">
      <c r="A1467" s="81" t="n">
        <v>45911</v>
      </c>
      <c r="B1467" s="78" t="n">
        <v>0.4972222222222222</v>
      </c>
      <c r="C1467" s="5" t="inlineStr">
        <is>
          <t>Walmart</t>
        </is>
      </c>
      <c r="D1467" s="5" t="n">
        <v>1</v>
      </c>
      <c r="F1467" s="6" t="inlineStr">
        <is>
          <t>#200013808903192</t>
        </is>
      </c>
      <c r="G1467" s="15" t="n"/>
      <c r="H1467" s="9" t="inlineStr">
        <is>
          <t>Bag fee (though I did get 4 bags)</t>
        </is>
      </c>
      <c r="I1467" s="9" t="n">
        <v>4</v>
      </c>
      <c r="J1467" s="9" t="inlineStr">
        <is>
          <t>cnt</t>
        </is>
      </c>
      <c r="K1467" s="9" t="n">
        <v>0.2</v>
      </c>
    </row>
    <row r="1468" ht="15" customFormat="1" customHeight="1" s="5">
      <c r="A1468" s="81" t="n">
        <v>45911</v>
      </c>
      <c r="B1468" s="78" t="n">
        <v>0.4972222222222222</v>
      </c>
      <c r="C1468" s="5" t="inlineStr">
        <is>
          <t>Walmart</t>
        </is>
      </c>
      <c r="D1468" s="5" t="n">
        <v>1</v>
      </c>
      <c r="F1468" s="6" t="inlineStr">
        <is>
          <t>#200013808903192</t>
        </is>
      </c>
      <c r="G1468" s="15" t="n"/>
      <c r="H1468" s="9" t="inlineStr">
        <is>
          <t>TEMPORARY HOLD</t>
        </is>
      </c>
      <c r="I1468" s="9" t="n">
        <v>1</v>
      </c>
      <c r="J1468" s="9" t="inlineStr">
        <is>
          <t>cnt</t>
        </is>
      </c>
      <c r="K1468" s="9" t="n">
        <v>1.47</v>
      </c>
    </row>
    <row r="1469" ht="15" customFormat="1" customHeight="1" s="5">
      <c r="A1469" s="81" t="n">
        <v>45911</v>
      </c>
      <c r="B1469" s="78" t="n">
        <v>0.4972222222222222</v>
      </c>
      <c r="C1469" s="5" t="inlineStr">
        <is>
          <t>Walmart</t>
        </is>
      </c>
      <c r="D1469" s="5" t="n">
        <v>1</v>
      </c>
      <c r="F1469" s="6" t="inlineStr">
        <is>
          <t>#200013808903192</t>
        </is>
      </c>
      <c r="G1469" s="15" t="n"/>
      <c r="H1469" s="9" t="inlineStr">
        <is>
          <t>TEMPORARY HOLD REFUNDED</t>
        </is>
      </c>
      <c r="I1469" s="9" t="n">
        <v>1</v>
      </c>
      <c r="J1469" s="9" t="inlineStr">
        <is>
          <t>cnt</t>
        </is>
      </c>
      <c r="K1469" s="9" t="n">
        <v>-1.47</v>
      </c>
    </row>
    <row r="1470" ht="15" customFormat="1" customHeight="1" s="5">
      <c r="A1470" s="81" t="n">
        <v>45911</v>
      </c>
      <c r="B1470" s="82" t="n">
        <v>0.3916666666666667</v>
      </c>
      <c r="C1470" s="5" t="inlineStr">
        <is>
          <t>Costco</t>
        </is>
      </c>
      <c r="E1470" s="5" t="n">
        <v>1</v>
      </c>
      <c r="F1470" s="6" t="inlineStr">
        <is>
          <t>439 209 8 709</t>
        </is>
      </c>
      <c r="G1470" s="17" t="inlineStr">
        <is>
          <t>E 47825</t>
        </is>
      </c>
      <c r="H1470" s="9" t="inlineStr">
        <is>
          <t>Green Grapes Sweet Globe Seedless</t>
        </is>
      </c>
      <c r="I1470" s="5" t="n">
        <v>3</v>
      </c>
      <c r="J1470" s="5" t="inlineStr">
        <is>
          <t>lb</t>
        </is>
      </c>
      <c r="K1470" s="5" t="n">
        <v>5.99</v>
      </c>
    </row>
    <row r="1471" ht="15" customFormat="1" customHeight="1" s="5">
      <c r="A1471" s="81" t="n">
        <v>45911</v>
      </c>
      <c r="B1471" s="82" t="n">
        <v>0.3916666666666667</v>
      </c>
      <c r="C1471" s="5" t="inlineStr">
        <is>
          <t>Costco</t>
        </is>
      </c>
      <c r="E1471" s="5" t="n">
        <v>1</v>
      </c>
      <c r="F1471" s="6" t="inlineStr">
        <is>
          <t>439 209 8 709</t>
        </is>
      </c>
      <c r="G1471" s="17" t="inlineStr">
        <is>
          <t>E 39036</t>
        </is>
      </c>
      <c r="H1471" s="9" t="inlineStr">
        <is>
          <t>Romaine Lettuce</t>
        </is>
      </c>
      <c r="K1471" s="5" t="n">
        <v>3.69</v>
      </c>
    </row>
    <row r="1472" ht="15" customFormat="1" customHeight="1" s="5">
      <c r="A1472" s="81" t="n">
        <v>45911</v>
      </c>
      <c r="B1472" s="82" t="n">
        <v>0.3916666666666667</v>
      </c>
      <c r="C1472" s="5" t="inlineStr">
        <is>
          <t>Costco</t>
        </is>
      </c>
      <c r="E1472" s="5" t="n">
        <v>1</v>
      </c>
      <c r="F1472" s="6" t="inlineStr">
        <is>
          <t>439 209 8 709</t>
        </is>
      </c>
      <c r="G1472" s="17" t="inlineStr">
        <is>
          <t>E 657554</t>
        </is>
      </c>
      <c r="H1472" s="9" t="inlineStr">
        <is>
          <t>Blueberries</t>
        </is>
      </c>
      <c r="I1472" s="5" t="n">
        <v>18</v>
      </c>
      <c r="J1472" s="5" t="inlineStr">
        <is>
          <t>oz</t>
        </is>
      </c>
      <c r="K1472" s="5" t="n">
        <v>5.59</v>
      </c>
    </row>
    <row r="1473" ht="15" customFormat="1" customHeight="1" s="5">
      <c r="A1473" s="81" t="n">
        <v>45911</v>
      </c>
      <c r="B1473" s="82" t="n">
        <v>0.3916666666666667</v>
      </c>
      <c r="C1473" s="5" t="inlineStr">
        <is>
          <t>Costco</t>
        </is>
      </c>
      <c r="E1473" s="5" t="n">
        <v>1</v>
      </c>
      <c r="F1473" s="6" t="inlineStr">
        <is>
          <t>439 209 8 709</t>
        </is>
      </c>
      <c r="G1473" s="17" t="inlineStr">
        <is>
          <t>E 27003</t>
        </is>
      </c>
      <c r="H1473" s="9" t="inlineStr">
        <is>
          <t>Strawberries, 2 lb</t>
        </is>
      </c>
      <c r="I1473" s="5" t="n">
        <v>32</v>
      </c>
      <c r="J1473" s="5" t="inlineStr">
        <is>
          <t>oz</t>
        </is>
      </c>
      <c r="K1473" s="5" t="n">
        <v>4.99</v>
      </c>
    </row>
    <row r="1474" ht="15" customFormat="1" customHeight="1" s="5">
      <c r="A1474" s="81" t="n">
        <v>45911</v>
      </c>
      <c r="B1474" s="82" t="n">
        <v>0.3916666666666667</v>
      </c>
      <c r="C1474" s="5" t="inlineStr">
        <is>
          <t>Costco</t>
        </is>
      </c>
      <c r="E1474" s="5" t="n">
        <v>1</v>
      </c>
      <c r="F1474" s="6" t="inlineStr">
        <is>
          <t>439 209 8 709</t>
        </is>
      </c>
      <c r="G1474" s="17" t="inlineStr">
        <is>
          <t>1814790</t>
        </is>
      </c>
      <c r="H1474" s="9" t="inlineStr">
        <is>
          <t>Zena Greens organic supergreens fruits and vegetables 45 packets</t>
        </is>
      </c>
      <c r="I1474" s="5" t="n">
        <v>18.25</v>
      </c>
      <c r="J1474" s="5" t="inlineStr">
        <is>
          <t>oz</t>
        </is>
      </c>
      <c r="K1474" s="5" t="inlineStr">
        <is>
          <t>34.99 A</t>
        </is>
      </c>
    </row>
    <row r="1475" ht="15" customFormat="1" customHeight="1" s="5">
      <c r="A1475" s="81" t="n">
        <v>45911</v>
      </c>
      <c r="B1475" s="82" t="n">
        <v>0.3916666666666667</v>
      </c>
      <c r="C1475" s="5" t="inlineStr">
        <is>
          <t>Costco</t>
        </is>
      </c>
      <c r="E1475" s="5" t="n">
        <v>1</v>
      </c>
      <c r="F1475" s="6" t="inlineStr">
        <is>
          <t>439 209 8 709</t>
        </is>
      </c>
      <c r="G1475" s="17" t="inlineStr">
        <is>
          <t>0000359684</t>
        </is>
      </c>
      <c r="H1475" s="9" t="inlineStr">
        <is>
          <t>**DISCOUNT** /1814790 Zena Greens</t>
        </is>
      </c>
      <c r="I1475" s="5" t="n">
        <v>18.25</v>
      </c>
      <c r="J1475" s="5" t="inlineStr">
        <is>
          <t>oz</t>
        </is>
      </c>
      <c r="K1475" s="5" t="inlineStr">
        <is>
          <t>7.00-A</t>
        </is>
      </c>
    </row>
    <row r="1476" ht="15" customFormat="1" customHeight="1" s="5">
      <c r="A1476" s="81" t="n">
        <v>45911</v>
      </c>
      <c r="B1476" s="82" t="n">
        <v>0.3916666666666667</v>
      </c>
      <c r="C1476" s="5" t="inlineStr">
        <is>
          <t>Costco</t>
        </is>
      </c>
      <c r="E1476" s="5" t="n">
        <v>1</v>
      </c>
      <c r="F1476" s="6" t="inlineStr">
        <is>
          <t>439 209 8 709</t>
        </is>
      </c>
      <c r="G1476" s="17" t="inlineStr">
        <is>
          <t>1796266</t>
        </is>
      </c>
      <c r="H1476" s="9" t="inlineStr">
        <is>
          <t>Kitchen Mats Set of 4 Drying (Two 20inx30in)(Two 15inx20in) Subtle Grid Gray --- Creative Home Ideas a YMF Company</t>
        </is>
      </c>
      <c r="I1476" s="5" t="n">
        <v>4</v>
      </c>
      <c r="J1476" s="5" t="inlineStr">
        <is>
          <t>cnt</t>
        </is>
      </c>
      <c r="K1476" s="5" t="inlineStr">
        <is>
          <t>14.99 A</t>
        </is>
      </c>
    </row>
    <row r="1477" ht="15" customFormat="1" customHeight="1" s="5">
      <c r="A1477" s="81" t="n">
        <v>45911</v>
      </c>
      <c r="B1477" s="82" t="n">
        <v>0.3916666666666667</v>
      </c>
      <c r="C1477" s="5" t="inlineStr">
        <is>
          <t>Costco</t>
        </is>
      </c>
      <c r="E1477" s="5" t="n">
        <v>1</v>
      </c>
      <c r="F1477" s="6" t="inlineStr">
        <is>
          <t>439 209 8 709</t>
        </is>
      </c>
      <c r="G1477" s="17" t="n"/>
      <c r="H1477" s="9" t="inlineStr">
        <is>
          <t>Tax A 8.00%</t>
        </is>
      </c>
      <c r="K1477" s="5" t="n">
        <v>3.44</v>
      </c>
    </row>
    <row r="1478" ht="15" customFormat="1" customHeight="1" s="5">
      <c r="A1478" s="81" t="n">
        <v>45911</v>
      </c>
      <c r="B1478" s="82" t="n">
        <v>0.3791666666666667</v>
      </c>
      <c r="C1478" s="5" t="inlineStr">
        <is>
          <t>Costco</t>
        </is>
      </c>
      <c r="E1478" s="5" t="n">
        <v>1</v>
      </c>
      <c r="F1478" s="6" t="inlineStr">
        <is>
          <t>1221201508</t>
        </is>
      </c>
      <c r="G1478" s="10" t="n"/>
      <c r="H1478" s="9" t="inlineStr">
        <is>
          <t>**RETURNED** GRAY KitchenAid Kitchen Towels, 8-pack</t>
        </is>
      </c>
      <c r="I1478" s="9" t="n">
        <v>8</v>
      </c>
      <c r="J1478" s="9" t="inlineStr">
        <is>
          <t>cnt</t>
        </is>
      </c>
      <c r="K1478" s="9" t="n">
        <v>-23.74</v>
      </c>
    </row>
    <row r="1479" ht="15" customFormat="1" customHeight="1" s="5">
      <c r="A1479" s="81" t="n">
        <v>45911</v>
      </c>
      <c r="B1479" s="82" t="n">
        <v>0.2916666666666667</v>
      </c>
      <c r="C1479" s="5" t="inlineStr">
        <is>
          <t>Amazon</t>
        </is>
      </c>
      <c r="D1479" s="5" t="n">
        <v>1</v>
      </c>
      <c r="F1479" s="16" t="inlineStr">
        <is>
          <t>NA_butOn10/24 statement</t>
        </is>
      </c>
      <c r="G1479" s="10" t="n"/>
      <c r="H1479" s="9" t="inlineStr">
        <is>
          <t>$25 Statement Credit to add authorized user before end of August 2025</t>
        </is>
      </c>
      <c r="I1479" s="9" t="n">
        <v>1</v>
      </c>
      <c r="J1479" s="9" t="inlineStr">
        <is>
          <t>cnt</t>
        </is>
      </c>
      <c r="K1479" s="9" t="n">
        <v>-25</v>
      </c>
    </row>
    <row r="1480" ht="15" customFormat="1" customHeight="1" s="5">
      <c r="A1480" s="81" t="n">
        <v>45911</v>
      </c>
      <c r="B1480" s="82" t="n">
        <v>0.1270833333333333</v>
      </c>
      <c r="C1480" s="5" t="inlineStr">
        <is>
          <t>Overland Missions</t>
        </is>
      </c>
      <c r="D1480" s="5" t="n">
        <v>1</v>
      </c>
      <c r="F1480" s="6" t="inlineStr">
        <is>
          <t>121232978404</t>
        </is>
      </c>
      <c r="G1480" s="10" t="n"/>
      <c r="H1480" s="9" t="inlineStr">
        <is>
          <t>Pelletier - Monthly missions donation</t>
        </is>
      </c>
      <c r="I1480" s="9" t="n">
        <v>1</v>
      </c>
      <c r="J1480" s="9" t="inlineStr">
        <is>
          <t>cnt</t>
        </is>
      </c>
      <c r="K1480" s="9" t="n">
        <v>250</v>
      </c>
    </row>
    <row r="1481" ht="15" customFormat="1" customHeight="1" s="5">
      <c r="A1481" s="81" t="n">
        <v>45910</v>
      </c>
      <c r="B1481" s="82" t="n">
        <v>0.6166666666666667</v>
      </c>
      <c r="C1481" s="5" t="inlineStr">
        <is>
          <t>Amazon</t>
        </is>
      </c>
      <c r="D1481" s="5" t="n">
        <v>1</v>
      </c>
      <c r="F1481" s="6" t="inlineStr">
        <is>
          <t>111-1738209-0878665</t>
        </is>
      </c>
      <c r="G1481" s="17" t="n"/>
      <c r="H1481" s="9" t="inlineStr">
        <is>
          <t>**REFUNDED** Garden of Life Dr. Formulated Probiotics Once Daily Prenatal - Acidophilus &amp; Bifidobacteria Probiotic Support for Mom &amp; Baby - Gluten, Dairy &amp; Soy Free - 30 Count Vegetarian Capsules</t>
        </is>
      </c>
      <c r="I1481" s="5" t="n">
        <v>30</v>
      </c>
      <c r="J1481" s="5" t="inlineStr">
        <is>
          <t>cnt</t>
        </is>
      </c>
      <c r="K1481" s="5" t="n">
        <v>-9.24</v>
      </c>
    </row>
    <row r="1482" ht="15" customFormat="1" customHeight="1" s="5">
      <c r="A1482" s="81" t="n">
        <v>45910</v>
      </c>
      <c r="B1482" s="82" t="n">
        <v>0.6166666666666667</v>
      </c>
      <c r="C1482" s="5" t="inlineStr">
        <is>
          <t>Amazon</t>
        </is>
      </c>
      <c r="D1482" s="5" t="n">
        <v>1</v>
      </c>
      <c r="F1482" s="6" t="inlineStr">
        <is>
          <t>111-1738209-0878665</t>
        </is>
      </c>
      <c r="G1482" s="17" t="n"/>
      <c r="H1482" s="9" t="inlineStr">
        <is>
          <t>**REFUNDED** Garden of Life Dr. Formulated Probiotics Once Daily Prenatal - Acidophilus &amp; Bifidobacteria Probiotic Support for Mom &amp; Baby - Gluten, Dairy &amp; Soy Free - 30 Count Vegetarian Capsules</t>
        </is>
      </c>
      <c r="I1482" s="5" t="n">
        <v>30</v>
      </c>
      <c r="J1482" s="5" t="inlineStr">
        <is>
          <t>cnt</t>
        </is>
      </c>
      <c r="K1482" s="5" t="n">
        <v>-12.67</v>
      </c>
    </row>
    <row r="1483" ht="15" customFormat="1" customHeight="1" s="5">
      <c r="A1483" s="81" t="n">
        <v>45910</v>
      </c>
      <c r="B1483" s="82" t="n">
        <v>0.44375</v>
      </c>
      <c r="C1483" s="5" t="inlineStr">
        <is>
          <t>CBS</t>
        </is>
      </c>
      <c r="D1483" s="5" t="n">
        <v>1</v>
      </c>
      <c r="F1483" s="6" t="inlineStr">
        <is>
          <t>exbmzctk</t>
        </is>
      </c>
      <c r="G1483" s="15" t="inlineStr">
        <is>
          <t>1142774</t>
        </is>
      </c>
      <c r="H1483" s="9" t="inlineStr">
        <is>
          <t>CBS Fall/Spring Group: Psalms</t>
        </is>
      </c>
      <c r="I1483" s="9" t="n">
        <v>1</v>
      </c>
      <c r="J1483" s="9" t="inlineStr">
        <is>
          <t>cnt</t>
        </is>
      </c>
      <c r="K1483" s="9" t="n">
        <v>35</v>
      </c>
    </row>
    <row r="1484" ht="15" customFormat="1" customHeight="1" s="5">
      <c r="A1484" s="81" t="n">
        <v>45910</v>
      </c>
      <c r="B1484" s="82" t="n">
        <v>0.4291666666666666</v>
      </c>
      <c r="C1484" s="5" t="inlineStr">
        <is>
          <t>PayPal</t>
        </is>
      </c>
      <c r="D1484" s="5" t="n">
        <v>1</v>
      </c>
      <c r="F1484" s="6" t="inlineStr">
        <is>
          <t>61G65125FS993945G</t>
        </is>
      </c>
      <c r="G1484" s="17" t="n"/>
      <c r="H1484" s="9" t="inlineStr">
        <is>
          <t>Doula Payment 3/4 (should have been 9/9! Oops!)</t>
        </is>
      </c>
      <c r="K1484" s="5" t="n">
        <v>500</v>
      </c>
    </row>
    <row r="1485" ht="15" customFormat="1" customHeight="1" s="5">
      <c r="A1485" s="81" t="n">
        <v>45909</v>
      </c>
      <c r="B1485" s="82" t="n">
        <v>0.7291666666666666</v>
      </c>
      <c r="C1485" s="5" t="inlineStr">
        <is>
          <t>McDonald's</t>
        </is>
      </c>
      <c r="E1485" s="5" t="n">
        <v>1</v>
      </c>
      <c r="F1485" s="6" t="inlineStr">
        <is>
          <t>#19</t>
        </is>
      </c>
      <c r="G1485" s="10" t="n"/>
      <c r="H1485" s="9" t="inlineStr">
        <is>
          <t>Daily Double Cheeseburger</t>
        </is>
      </c>
      <c r="I1485" s="9" t="n">
        <v>1</v>
      </c>
      <c r="J1485" s="9" t="inlineStr">
        <is>
          <t>cnt</t>
        </is>
      </c>
      <c r="K1485" s="9" t="n">
        <v>4.19</v>
      </c>
    </row>
    <row r="1486" ht="15" customFormat="1" customHeight="1" s="5">
      <c r="A1486" s="81" t="n">
        <v>45909</v>
      </c>
      <c r="B1486" s="82" t="n">
        <v>0.7291666666666666</v>
      </c>
      <c r="C1486" s="5" t="inlineStr">
        <is>
          <t>McDonald's</t>
        </is>
      </c>
      <c r="E1486" s="5" t="n">
        <v>1</v>
      </c>
      <c r="F1486" s="6" t="inlineStr">
        <is>
          <t>#19</t>
        </is>
      </c>
      <c r="G1486" s="10" t="n"/>
      <c r="H1486" s="9" t="inlineStr">
        <is>
          <t>Medium Fries, no salt ++ Salt packets</t>
        </is>
      </c>
      <c r="I1486" s="9" t="n">
        <v>1</v>
      </c>
      <c r="J1486" s="9" t="inlineStr">
        <is>
          <t>cnt</t>
        </is>
      </c>
      <c r="K1486" s="9" t="n">
        <v>3.59</v>
      </c>
    </row>
    <row r="1487" ht="15" customFormat="1" customHeight="1" s="5">
      <c r="A1487" s="81" t="n">
        <v>45909</v>
      </c>
      <c r="B1487" s="82" t="n">
        <v>0.7291666666666666</v>
      </c>
      <c r="C1487" s="5" t="inlineStr">
        <is>
          <t>McDonald's</t>
        </is>
      </c>
      <c r="E1487" s="5" t="n">
        <v>1</v>
      </c>
      <c r="F1487" s="6" t="inlineStr">
        <is>
          <t>#19</t>
        </is>
      </c>
      <c r="G1487" s="10" t="n"/>
      <c r="H1487" s="9" t="inlineStr">
        <is>
          <t>**DISCOUNT** Free Fries with $3 purchase</t>
        </is>
      </c>
      <c r="I1487" s="9" t="n">
        <v>1</v>
      </c>
      <c r="J1487" s="9" t="inlineStr">
        <is>
          <t>cnt</t>
        </is>
      </c>
      <c r="K1487" s="9" t="n">
        <v>-3.59</v>
      </c>
    </row>
    <row r="1488" ht="15" customFormat="1" customHeight="1" s="5">
      <c r="A1488" s="81" t="n">
        <v>45909</v>
      </c>
      <c r="B1488" s="82" t="n">
        <v>0.7291666666666666</v>
      </c>
      <c r="C1488" s="5" t="inlineStr">
        <is>
          <t>McDonald's</t>
        </is>
      </c>
      <c r="E1488" s="5" t="n">
        <v>1</v>
      </c>
      <c r="F1488" s="6" t="inlineStr">
        <is>
          <t>#19</t>
        </is>
      </c>
      <c r="G1488" s="10" t="n"/>
      <c r="H1488" s="9" t="inlineStr">
        <is>
          <t>Tax</t>
        </is>
      </c>
      <c r="I1488" s="9" t="n">
        <v>2</v>
      </c>
      <c r="J1488" s="9" t="inlineStr">
        <is>
          <t>cnt</t>
        </is>
      </c>
      <c r="K1488" s="9" t="n">
        <v>0.12</v>
      </c>
    </row>
    <row r="1489" ht="15" customFormat="1" customHeight="1" s="5">
      <c r="A1489" s="81" t="n">
        <v>45909</v>
      </c>
      <c r="B1489" s="82" t="n">
        <v>0.6391319444444444</v>
      </c>
      <c r="C1489" s="5" t="inlineStr">
        <is>
          <t>Ya Ya Farms</t>
        </is>
      </c>
      <c r="E1489" s="5" t="n">
        <v>1</v>
      </c>
      <c r="F1489" s="6" t="inlineStr">
        <is>
          <t>#024249</t>
        </is>
      </c>
      <c r="G1489" s="10" t="n"/>
      <c r="H1489" s="9" t="inlineStr">
        <is>
          <t>Home recipe PUMPKIN BUTTER (pumpkin, sugar, pure apple juice, spices)</t>
        </is>
      </c>
      <c r="I1489" s="9" t="n">
        <v>9</v>
      </c>
      <c r="J1489" s="9" t="inlineStr">
        <is>
          <t>oz</t>
        </is>
      </c>
      <c r="K1489" s="9" t="n">
        <v>6</v>
      </c>
    </row>
    <row r="1490" ht="15" customFormat="1" customHeight="1" s="5">
      <c r="A1490" s="81" t="n">
        <v>45909</v>
      </c>
      <c r="B1490" s="82" t="n">
        <v>0.6391319444444444</v>
      </c>
      <c r="C1490" s="5" t="inlineStr">
        <is>
          <t>Ya Ya Farms</t>
        </is>
      </c>
      <c r="E1490" s="5" t="n">
        <v>1</v>
      </c>
      <c r="F1490" s="6" t="inlineStr">
        <is>
          <t>#024249</t>
        </is>
      </c>
      <c r="G1490" s="10" t="n"/>
      <c r="H1490" s="9" t="inlineStr">
        <is>
          <t>Natural Apple Cidar (no added sugar, no preservatives)</t>
        </is>
      </c>
      <c r="I1490" s="9" t="n">
        <v>16</v>
      </c>
      <c r="J1490" s="9" t="inlineStr">
        <is>
          <t>oz</t>
        </is>
      </c>
      <c r="K1490" s="9" t="n">
        <v>5</v>
      </c>
    </row>
    <row r="1491" ht="15" customFormat="1" customHeight="1" s="5">
      <c r="A1491" s="81" t="n">
        <v>45909</v>
      </c>
      <c r="B1491" s="82" t="n">
        <v>0.6391319444444444</v>
      </c>
      <c r="C1491" s="5" t="inlineStr">
        <is>
          <t>Ya Ya Farms</t>
        </is>
      </c>
      <c r="E1491" s="5" t="n">
        <v>1</v>
      </c>
      <c r="F1491" s="6" t="inlineStr">
        <is>
          <t>#024249</t>
        </is>
      </c>
      <c r="G1491" s="10" t="n"/>
      <c r="H1491" s="9" t="inlineStr">
        <is>
          <t>Homemade Apple Cidar Donut</t>
        </is>
      </c>
      <c r="I1491" s="9" t="n">
        <v>1</v>
      </c>
      <c r="J1491" s="9" t="inlineStr">
        <is>
          <t>cnt</t>
        </is>
      </c>
      <c r="K1491" s="9" t="n">
        <v>2</v>
      </c>
    </row>
    <row r="1492" ht="15" customFormat="1" customHeight="1" s="5">
      <c r="A1492" s="81" t="n">
        <v>45909</v>
      </c>
      <c r="B1492" s="82" t="n">
        <v>0.6180555555555556</v>
      </c>
      <c r="C1492" s="5" t="inlineStr">
        <is>
          <t>Ya Ya Farms</t>
        </is>
      </c>
      <c r="E1492" s="5" t="n">
        <v>1</v>
      </c>
      <c r="F1492" s="6" t="inlineStr">
        <is>
          <t>#PfKZ</t>
        </is>
      </c>
      <c r="G1492" s="10" t="n"/>
      <c r="H1492" s="9" t="inlineStr">
        <is>
          <t>1 bag for picking apples: 8 Wealthy, 10 Liberty, 15 Northern Spy</t>
        </is>
      </c>
      <c r="I1492" s="9" t="n">
        <v>33</v>
      </c>
      <c r="J1492" s="9" t="inlineStr">
        <is>
          <t>cnt</t>
        </is>
      </c>
      <c r="K1492" s="9" t="n">
        <v>16</v>
      </c>
    </row>
    <row r="1493" ht="15" customFormat="1" customHeight="1" s="5">
      <c r="A1493" s="81" t="n">
        <v>45909</v>
      </c>
      <c r="B1493" s="82" t="n">
        <v>0.6180555555555556</v>
      </c>
      <c r="C1493" s="5" t="inlineStr">
        <is>
          <t>Ya Ya Farms</t>
        </is>
      </c>
      <c r="E1493" s="5" t="n">
        <v>1</v>
      </c>
      <c r="F1493" s="6" t="inlineStr">
        <is>
          <t>#PfKZ</t>
        </is>
      </c>
      <c r="G1493" s="10" t="n"/>
      <c r="H1493" s="9" t="inlineStr">
        <is>
          <t>Picking Fee per adult (babies free)</t>
        </is>
      </c>
      <c r="I1493" s="9" t="n">
        <v>1</v>
      </c>
      <c r="J1493" s="9" t="inlineStr">
        <is>
          <t>cnt</t>
        </is>
      </c>
      <c r="K1493" s="9" t="n">
        <v>4</v>
      </c>
    </row>
    <row r="1494" ht="15" customFormat="1" customHeight="1" s="5">
      <c r="A1494" s="81" t="n">
        <v>45909</v>
      </c>
      <c r="B1494" s="82" t="n">
        <v>0.6180555555555556</v>
      </c>
      <c r="C1494" s="5" t="inlineStr">
        <is>
          <t>Ya Ya Farms</t>
        </is>
      </c>
      <c r="E1494" s="5" t="n">
        <v>1</v>
      </c>
      <c r="F1494" s="6" t="inlineStr">
        <is>
          <t>#PfKZ</t>
        </is>
      </c>
      <c r="G1494" s="10" t="n"/>
      <c r="H1494" s="9" t="inlineStr">
        <is>
          <t>Credit Card Transcation Charge</t>
        </is>
      </c>
      <c r="I1494" s="9" t="n">
        <v>1</v>
      </c>
      <c r="J1494" s="9" t="inlineStr">
        <is>
          <t>cnt</t>
        </is>
      </c>
      <c r="K1494" s="9" t="n">
        <v>0.5</v>
      </c>
    </row>
    <row r="1495" ht="15" customFormat="1" customHeight="1" s="5">
      <c r="A1495" s="81" t="n">
        <v>45909</v>
      </c>
      <c r="B1495" s="82" t="n">
        <v>0.5916666666666667</v>
      </c>
      <c r="C1495" s="5" t="inlineStr">
        <is>
          <t>Cheese Importers, Longmont CO</t>
        </is>
      </c>
      <c r="E1495" s="5" t="n">
        <v>1</v>
      </c>
      <c r="F1495" s="6" t="inlineStr">
        <is>
          <t>577897</t>
        </is>
      </c>
      <c r="G1495" s="15" t="inlineStr">
        <is>
          <t>54203</t>
        </is>
      </c>
      <c r="H1495" s="9" t="inlineStr">
        <is>
          <t>Clawson "Scarlet White Stilton Cheese with Cranberries" England Cow Past  Somerdale @$22.99/lb</t>
        </is>
      </c>
      <c r="I1495" s="9" t="n">
        <v>0.44</v>
      </c>
      <c r="J1495" s="9" t="inlineStr">
        <is>
          <t>lb</t>
        </is>
      </c>
      <c r="K1495" s="9" t="n">
        <v>10.12</v>
      </c>
    </row>
    <row r="1496" ht="15" customFormat="1" customHeight="1" s="5">
      <c r="A1496" s="81" t="n">
        <v>45909</v>
      </c>
      <c r="B1496" s="82" t="n">
        <v>0.5916666666666667</v>
      </c>
      <c r="C1496" s="5" t="inlineStr">
        <is>
          <t>Cheese Importers, Longmont CO</t>
        </is>
      </c>
      <c r="E1496" s="5" t="n">
        <v>1</v>
      </c>
      <c r="F1496" s="6" t="inlineStr">
        <is>
          <t>577897</t>
        </is>
      </c>
      <c r="G1496" s="15" t="inlineStr">
        <is>
          <t>49319</t>
        </is>
      </c>
      <c r="H1496" s="9" t="inlineStr">
        <is>
          <t>"Amber Mist Aged Cheddar with Whisky" Snowdonia Cheese Co</t>
        </is>
      </c>
      <c r="I1496" s="9" t="n">
        <v>7</v>
      </c>
      <c r="J1496" s="9" t="inlineStr">
        <is>
          <t>oz</t>
        </is>
      </c>
      <c r="K1496" s="9" t="n">
        <v>10.99</v>
      </c>
    </row>
    <row r="1497" ht="15" customFormat="1" customHeight="1" s="5">
      <c r="A1497" s="81" t="n">
        <v>45909</v>
      </c>
      <c r="B1497" s="82" t="n">
        <v>0.5916666666666667</v>
      </c>
      <c r="C1497" s="5" t="inlineStr">
        <is>
          <t>Cheese Importers, Longmont CO</t>
        </is>
      </c>
      <c r="E1497" s="5" t="n">
        <v>1</v>
      </c>
      <c r="F1497" s="6" t="inlineStr">
        <is>
          <t>577897</t>
        </is>
      </c>
      <c r="G1497" s="15" t="inlineStr">
        <is>
          <t>49736</t>
        </is>
      </c>
      <c r="H1497" s="9" t="inlineStr">
        <is>
          <t>Plymouth Cheese Vermont "Black Truffle -- truffle cheddar made with Italian black truffles aged 60 days"</t>
        </is>
      </c>
      <c r="I1497" s="9" t="n">
        <v>8</v>
      </c>
      <c r="J1497" s="9" t="inlineStr">
        <is>
          <t>oz</t>
        </is>
      </c>
      <c r="K1497" s="9" t="n">
        <v>10.99</v>
      </c>
    </row>
    <row r="1498" ht="15" customFormat="1" customHeight="1" s="5">
      <c r="A1498" s="81" t="n">
        <v>45909</v>
      </c>
      <c r="B1498" s="82" t="n">
        <v>0.5916666666666667</v>
      </c>
      <c r="C1498" s="5" t="inlineStr">
        <is>
          <t>Cheese Importers, Longmont CO</t>
        </is>
      </c>
      <c r="E1498" s="5" t="n">
        <v>1</v>
      </c>
      <c r="F1498" s="6" t="inlineStr">
        <is>
          <t>577897</t>
        </is>
      </c>
      <c r="G1498" s="15" t="inlineStr">
        <is>
          <t>31209</t>
        </is>
      </c>
      <c r="H1498" s="9" t="inlineStr">
        <is>
          <t>"Truffle Tremor" USA Goat Cheese -- Cypress Grove @$36.99/lb</t>
        </is>
      </c>
      <c r="I1498" s="9" t="n">
        <v>0.14</v>
      </c>
      <c r="J1498" s="9" t="inlineStr">
        <is>
          <t>lb</t>
        </is>
      </c>
      <c r="K1498" s="9" t="n">
        <v>5.18</v>
      </c>
    </row>
    <row r="1499" ht="15" customFormat="1" customHeight="1" s="5">
      <c r="A1499" s="81" t="n">
        <v>45909</v>
      </c>
      <c r="B1499" s="82" t="n">
        <v>0.5916666666666667</v>
      </c>
      <c r="C1499" s="5" t="inlineStr">
        <is>
          <t>Cheese Importers, Longmont CO</t>
        </is>
      </c>
      <c r="E1499" s="5" t="n">
        <v>1</v>
      </c>
      <c r="F1499" s="6" t="inlineStr">
        <is>
          <t>577897</t>
        </is>
      </c>
      <c r="G1499" s="15" t="inlineStr">
        <is>
          <t>47245</t>
        </is>
      </c>
      <c r="H1499" s="9" t="inlineStr">
        <is>
          <t>"Cardona Sweet Vanilla" Goat Cheese -- Carr Valley Cheese @$26.99/lb</t>
        </is>
      </c>
      <c r="I1499" s="9" t="n">
        <v>0.41</v>
      </c>
      <c r="J1499" s="9" t="inlineStr">
        <is>
          <t>lb</t>
        </is>
      </c>
      <c r="K1499" s="9" t="n">
        <v>11.07</v>
      </c>
    </row>
    <row r="1500" ht="15" customFormat="1" customHeight="1" s="5">
      <c r="A1500" s="81" t="n">
        <v>45909</v>
      </c>
      <c r="B1500" s="82" t="n">
        <v>0.5916666666666667</v>
      </c>
      <c r="C1500" s="5" t="inlineStr">
        <is>
          <t>Cheese Importers, Longmont CO</t>
        </is>
      </c>
      <c r="E1500" s="5" t="n">
        <v>1</v>
      </c>
      <c r="F1500" s="6" t="inlineStr">
        <is>
          <t>577897</t>
        </is>
      </c>
      <c r="G1500" s="15" t="inlineStr">
        <is>
          <t>10453</t>
        </is>
      </c>
      <c r="H1500" s="9" t="inlineStr">
        <is>
          <t>"Chandoka" Mixed cow and goat milk, dry -- La Clare Farms @$14.99/lb</t>
        </is>
      </c>
      <c r="I1500" s="9" t="n">
        <v>0.52</v>
      </c>
      <c r="J1500" s="9" t="inlineStr">
        <is>
          <t>lb</t>
        </is>
      </c>
      <c r="K1500" s="9" t="n">
        <v>7.79</v>
      </c>
    </row>
    <row r="1501" ht="15" customFormat="1" customHeight="1" s="5">
      <c r="A1501" s="81" t="n">
        <v>45909</v>
      </c>
      <c r="B1501" s="82" t="n">
        <v>0.5916666666666667</v>
      </c>
      <c r="C1501" s="5" t="inlineStr">
        <is>
          <t>Cheese Importers, Longmont CO</t>
        </is>
      </c>
      <c r="E1501" s="5" t="n">
        <v>1</v>
      </c>
      <c r="F1501" s="6" t="inlineStr">
        <is>
          <t>577897</t>
        </is>
      </c>
      <c r="G1501" s="15" t="inlineStr">
        <is>
          <t>18307</t>
        </is>
      </c>
      <c r="H1501" s="9" t="inlineStr">
        <is>
          <t>Red Dragon "Cheddar Cheese with Wholegrain Mustard and Ale" -- Somerdale @$21.99/lb</t>
        </is>
      </c>
      <c r="I1501" s="9" t="n">
        <v>0.35</v>
      </c>
      <c r="J1501" s="9" t="inlineStr">
        <is>
          <t>lb</t>
        </is>
      </c>
      <c r="K1501" s="9" t="n">
        <v>7.7</v>
      </c>
    </row>
    <row r="1502" ht="15" customFormat="1" customHeight="1" s="5">
      <c r="A1502" s="81" t="n">
        <v>45909</v>
      </c>
      <c r="B1502" s="82" t="n">
        <v>0.5916666666666667</v>
      </c>
      <c r="C1502" s="5" t="inlineStr">
        <is>
          <t>Cheese Importers, Longmont CO</t>
        </is>
      </c>
      <c r="E1502" s="5" t="n">
        <v>1</v>
      </c>
      <c r="F1502" s="6" t="inlineStr">
        <is>
          <t>577897</t>
        </is>
      </c>
      <c r="G1502" s="10" t="n"/>
      <c r="H1502" s="9" t="inlineStr">
        <is>
          <t>Local Food Tax @3.5300%</t>
        </is>
      </c>
      <c r="I1502" s="9" t="n">
        <v>7</v>
      </c>
      <c r="J1502" s="9" t="inlineStr">
        <is>
          <t>cnt</t>
        </is>
      </c>
      <c r="K1502" s="9" t="n">
        <v>2.25</v>
      </c>
    </row>
    <row r="1503" ht="15" customFormat="1" customHeight="1" s="5">
      <c r="A1503" s="81" t="n">
        <v>45908</v>
      </c>
      <c r="B1503" s="82" t="n">
        <v>0.85625</v>
      </c>
      <c r="C1503" s="5" t="inlineStr">
        <is>
          <t>Costco</t>
        </is>
      </c>
      <c r="E1503" s="5" t="n">
        <v>1</v>
      </c>
      <c r="F1503" s="6" t="inlineStr">
        <is>
          <t>79914</t>
        </is>
      </c>
      <c r="G1503" s="17" t="inlineStr">
        <is>
          <t>9</t>
        </is>
      </c>
      <c r="H1503" s="9" t="inlineStr">
        <is>
          <t>Subaru Gas 14.545 Gallons @ $2.959/gal</t>
        </is>
      </c>
      <c r="I1503" s="5" t="n">
        <v>14.545</v>
      </c>
      <c r="J1503" s="5" t="inlineStr">
        <is>
          <t>gal</t>
        </is>
      </c>
      <c r="K1503" s="5" t="n">
        <v>43.04</v>
      </c>
    </row>
    <row r="1504" ht="15" customFormat="1" customHeight="1" s="5">
      <c r="A1504" s="81" t="n">
        <v>45908</v>
      </c>
      <c r="B1504" s="82" t="n">
        <v>0.5402777777777777</v>
      </c>
      <c r="C1504" s="5" t="inlineStr">
        <is>
          <t>Milk Moon Tonics</t>
        </is>
      </c>
      <c r="D1504" s="5" t="n">
        <v>1</v>
      </c>
      <c r="F1504" s="6" t="inlineStr">
        <is>
          <t>#M1L8VVEDQ</t>
        </is>
      </c>
      <c r="G1504" s="17" t="n"/>
      <c r="H1504" s="9" t="inlineStr">
        <is>
          <t>No Worries</t>
        </is>
      </c>
      <c r="I1504" s="5" t="n">
        <v>1</v>
      </c>
      <c r="J1504" s="5" t="inlineStr">
        <is>
          <t>fl oz</t>
        </is>
      </c>
      <c r="K1504" s="5" t="n">
        <v>28</v>
      </c>
    </row>
    <row r="1505" ht="15" customFormat="1" customHeight="1" s="5">
      <c r="A1505" s="81" t="n">
        <v>45908</v>
      </c>
      <c r="B1505" s="82" t="n">
        <v>0.5402777777777777</v>
      </c>
      <c r="C1505" s="5" t="inlineStr">
        <is>
          <t>Milk Moon Tonics</t>
        </is>
      </c>
      <c r="D1505" s="5" t="n">
        <v>1</v>
      </c>
      <c r="F1505" s="6" t="inlineStr">
        <is>
          <t>#M1L8VVEDQ</t>
        </is>
      </c>
      <c r="G1505" s="17" t="n"/>
      <c r="H1505" s="9" t="inlineStr">
        <is>
          <t>The Milky Way</t>
        </is>
      </c>
      <c r="I1505" s="5" t="n">
        <v>1</v>
      </c>
      <c r="J1505" s="5" t="inlineStr">
        <is>
          <t>fl oz</t>
        </is>
      </c>
      <c r="K1505" s="5" t="n">
        <v>28</v>
      </c>
    </row>
    <row r="1506" ht="15" customFormat="1" customHeight="1" s="5">
      <c r="A1506" s="81" t="n">
        <v>45908</v>
      </c>
      <c r="B1506" s="82" t="n">
        <v>0.5402777777777777</v>
      </c>
      <c r="C1506" s="5" t="inlineStr">
        <is>
          <t>Milk Moon Tonics</t>
        </is>
      </c>
      <c r="D1506" s="5" t="n">
        <v>1</v>
      </c>
      <c r="F1506" s="6" t="inlineStr">
        <is>
          <t>#M1L8VVEDQ</t>
        </is>
      </c>
      <c r="G1506" s="17" t="n"/>
      <c r="H1506" s="9" t="inlineStr">
        <is>
          <t>Bundle of 3 Postpartum Restorative Tonics</t>
        </is>
      </c>
      <c r="I1506" s="5" t="n">
        <v>48</v>
      </c>
      <c r="J1506" s="5" t="inlineStr">
        <is>
          <t>fl oz</t>
        </is>
      </c>
      <c r="K1506" s="5" t="n">
        <v>115</v>
      </c>
    </row>
    <row r="1507" ht="15" customFormat="1" customHeight="1" s="5">
      <c r="A1507" s="81" t="n">
        <v>45908</v>
      </c>
      <c r="B1507" s="82" t="n">
        <v>0.5402777777777777</v>
      </c>
      <c r="C1507" s="5" t="inlineStr">
        <is>
          <t>Milk Moon Tonics</t>
        </is>
      </c>
      <c r="D1507" s="5" t="n">
        <v>1</v>
      </c>
      <c r="F1507" s="6" t="inlineStr">
        <is>
          <t>#M1L8VVEDQ</t>
        </is>
      </c>
      <c r="G1507" s="17" t="n"/>
      <c r="H1507" s="9" t="inlineStr">
        <is>
          <t>**DISCOUNT** Welcome15</t>
        </is>
      </c>
      <c r="I1507" s="5" t="n">
        <v>50</v>
      </c>
      <c r="J1507" s="5" t="inlineStr">
        <is>
          <t>fl oz</t>
        </is>
      </c>
      <c r="K1507" s="5" t="n">
        <v>-25.65</v>
      </c>
    </row>
    <row r="1508" ht="15" customFormat="1" customHeight="1" s="5">
      <c r="A1508" s="81" t="n">
        <v>45908</v>
      </c>
      <c r="B1508" s="82" t="n">
        <v>0.5402777777777777</v>
      </c>
      <c r="C1508" s="5" t="inlineStr">
        <is>
          <t>Milk Moon Tonics</t>
        </is>
      </c>
      <c r="D1508" s="5" t="n">
        <v>1</v>
      </c>
      <c r="F1508" s="6" t="inlineStr">
        <is>
          <t>#M1L8VVEDQ</t>
        </is>
      </c>
      <c r="G1508" s="17" t="n"/>
      <c r="H1508" s="9" t="inlineStr">
        <is>
          <t>Tax and Shipping</t>
        </is>
      </c>
      <c r="I1508" s="5" t="n">
        <v>3</v>
      </c>
      <c r="J1508" s="5" t="inlineStr">
        <is>
          <t>cnt</t>
        </is>
      </c>
      <c r="K1508" s="5" t="n">
        <v>0</v>
      </c>
    </row>
    <row r="1509" ht="15" customFormat="1" customHeight="1" s="5">
      <c r="A1509" s="81" t="n">
        <v>45908</v>
      </c>
      <c r="B1509" s="78" t="n">
        <v>0.4791666666666667</v>
      </c>
      <c r="C1509" s="5" t="inlineStr">
        <is>
          <t>Accelerate Health</t>
        </is>
      </c>
      <c r="E1509" s="5" t="n">
        <v>1</v>
      </c>
      <c r="F1509" s="54" t="inlineStr">
        <is>
          <t>Na_noReceipt</t>
        </is>
      </c>
      <c r="G1509" s="53" t="inlineStr">
        <is>
          <t>2025238BF9107</t>
        </is>
      </c>
      <c r="H1509" s="9" t="inlineStr">
        <is>
          <t>8/25 Insurance shows that I owe $135.74 total, but I only paid $103 (and also did not receive a massage on this visit) -- confirmed on phone on 9/8 that this is not due</t>
        </is>
      </c>
      <c r="I1509" s="9" t="n"/>
      <c r="J1509" s="9" t="n"/>
      <c r="K1509" s="9" t="n">
        <v>-31.86</v>
      </c>
    </row>
    <row r="1510" ht="15" customFormat="1" customHeight="1" s="5">
      <c r="A1510" s="81" t="n">
        <v>45908</v>
      </c>
      <c r="B1510" s="78" t="n">
        <v>0.4791666666666667</v>
      </c>
      <c r="C1510" s="5" t="inlineStr">
        <is>
          <t>Accelerate Health</t>
        </is>
      </c>
      <c r="E1510" s="5" t="n">
        <v>1</v>
      </c>
      <c r="F1510" s="54" t="inlineStr">
        <is>
          <t>Na_noReceipt</t>
        </is>
      </c>
      <c r="G1510" s="53" t="inlineStr">
        <is>
          <t>2025238BF9107</t>
        </is>
      </c>
      <c r="H1510" s="9" t="inlineStr">
        <is>
          <t>8/25 Insurance shows that I owe $135.74 total, but I only paid $103 (and also did not receive a massage on this visit)</t>
        </is>
      </c>
      <c r="I1510" s="9" t="n"/>
      <c r="J1510" s="9" t="n"/>
      <c r="K1510" s="9" t="n">
        <v>31.86</v>
      </c>
    </row>
    <row r="1511" ht="15" customFormat="1" customHeight="1" s="5">
      <c r="A1511" s="81" t="n">
        <v>45908</v>
      </c>
      <c r="B1511" s="82" t="n">
        <v>0.3986111111111111</v>
      </c>
      <c r="C1511" s="5" t="inlineStr">
        <is>
          <t>Costco</t>
        </is>
      </c>
      <c r="E1511" s="5" t="n">
        <v>1</v>
      </c>
      <c r="F1511" s="6" t="inlineStr">
        <is>
          <t>439 205 8 705</t>
        </is>
      </c>
      <c r="G1511" s="17" t="inlineStr">
        <is>
          <t>E 4164501</t>
        </is>
      </c>
      <c r="H1511" s="9" t="inlineStr">
        <is>
          <t>KS Sparkling water 35 pack x 355 mL (12 fl oz)</t>
        </is>
      </c>
      <c r="I1511" s="5" t="n">
        <v>3.28</v>
      </c>
      <c r="J1511" s="5" t="inlineStr">
        <is>
          <t>gal</t>
        </is>
      </c>
      <c r="K1511" s="5" t="inlineStr">
        <is>
          <t>11.99 A</t>
        </is>
      </c>
    </row>
    <row r="1512" ht="15" customFormat="1" customHeight="1" s="5">
      <c r="A1512" s="81" t="n">
        <v>45908</v>
      </c>
      <c r="B1512" s="82" t="n">
        <v>0.3986111111111111</v>
      </c>
      <c r="C1512" s="5" t="inlineStr">
        <is>
          <t>Costco</t>
        </is>
      </c>
      <c r="E1512" s="5" t="n">
        <v>1</v>
      </c>
      <c r="F1512" s="6" t="inlineStr">
        <is>
          <t>439 205 8 705</t>
        </is>
      </c>
      <c r="G1512" s="17" t="inlineStr">
        <is>
          <t>E 2</t>
        </is>
      </c>
      <c r="H1512" s="9" t="inlineStr">
        <is>
          <t>Whole Milk, 2 pack</t>
        </is>
      </c>
      <c r="I1512" s="5" t="n">
        <v>2</v>
      </c>
      <c r="J1512" s="5" t="inlineStr">
        <is>
          <t>gal</t>
        </is>
      </c>
      <c r="K1512" s="5" t="n">
        <v>6.39</v>
      </c>
    </row>
    <row r="1513" ht="15" customFormat="1" customHeight="1" s="5">
      <c r="A1513" s="81" t="n">
        <v>45908</v>
      </c>
      <c r="B1513" s="82" t="n">
        <v>0.3986111111111111</v>
      </c>
      <c r="C1513" s="5" t="inlineStr">
        <is>
          <t>Costco</t>
        </is>
      </c>
      <c r="E1513" s="5" t="n">
        <v>1</v>
      </c>
      <c r="F1513" s="6" t="inlineStr">
        <is>
          <t>439 205 8 705</t>
        </is>
      </c>
      <c r="G1513" s="17" t="inlineStr">
        <is>
          <t>1796267</t>
        </is>
      </c>
      <c r="H1513" s="9" t="inlineStr">
        <is>
          <t>KitchenAid 8-Pack Kitchen Towels, Gray 43 cm x 71 cm</t>
        </is>
      </c>
      <c r="I1513" s="5" t="n">
        <v>8</v>
      </c>
      <c r="J1513" s="5" t="inlineStr">
        <is>
          <t>cnt</t>
        </is>
      </c>
      <c r="K1513" s="5" t="inlineStr">
        <is>
          <t>14.99 A</t>
        </is>
      </c>
    </row>
    <row r="1514" ht="15" customFormat="1" customHeight="1" s="5">
      <c r="A1514" s="81" t="n">
        <v>45908</v>
      </c>
      <c r="B1514" s="82" t="n">
        <v>0.3986111111111111</v>
      </c>
      <c r="C1514" s="5" t="inlineStr">
        <is>
          <t>Costco</t>
        </is>
      </c>
      <c r="E1514" s="5" t="n">
        <v>1</v>
      </c>
      <c r="F1514" s="6" t="inlineStr">
        <is>
          <t>439 205 8 705</t>
        </is>
      </c>
      <c r="G1514" s="17" t="inlineStr">
        <is>
          <t>E 647465</t>
        </is>
      </c>
      <c r="H1514" s="9" t="inlineStr">
        <is>
          <t>Peru Avocados</t>
        </is>
      </c>
      <c r="I1514" s="5" t="n">
        <v>6</v>
      </c>
      <c r="J1514" s="5" t="inlineStr">
        <is>
          <t>cnt</t>
        </is>
      </c>
      <c r="K1514" s="5" t="n">
        <v>5.69</v>
      </c>
    </row>
    <row r="1515" ht="15" customFormat="1" customHeight="1" s="5">
      <c r="A1515" s="81" t="n">
        <v>45908</v>
      </c>
      <c r="B1515" s="82" t="n">
        <v>0.3986111111111111</v>
      </c>
      <c r="C1515" s="5" t="inlineStr">
        <is>
          <t>Costco</t>
        </is>
      </c>
      <c r="E1515" s="5" t="n">
        <v>1</v>
      </c>
      <c r="F1515" s="6" t="inlineStr">
        <is>
          <t>439 205 8 705</t>
        </is>
      </c>
      <c r="G1515" s="17" t="n"/>
      <c r="H1515" s="9" t="inlineStr">
        <is>
          <t>Tax A 8.00%</t>
        </is>
      </c>
      <c r="I1515" s="5" t="n">
        <v>4</v>
      </c>
      <c r="J1515" s="5" t="inlineStr">
        <is>
          <t>cnt</t>
        </is>
      </c>
      <c r="K1515" s="5" t="n">
        <v>2.16</v>
      </c>
    </row>
    <row r="1516" ht="15" customFormat="1" customHeight="1" s="5">
      <c r="A1516" s="81" t="n">
        <v>45908</v>
      </c>
      <c r="B1516" s="82" t="n">
        <v>0.3770833333333333</v>
      </c>
      <c r="C1516" s="5" t="inlineStr">
        <is>
          <t>Costco</t>
        </is>
      </c>
      <c r="E1516" s="5" t="n">
        <v>1</v>
      </c>
      <c r="F1516" s="6" t="inlineStr">
        <is>
          <t>1219335892_439 121 4 614</t>
        </is>
      </c>
      <c r="G1516" s="15" t="inlineStr">
        <is>
          <t>955486</t>
        </is>
      </c>
      <c r="H1516" s="9" t="inlineStr">
        <is>
          <t>**RETURNED** Huggies Little Snugglers Plus Diapers Size 2, 174-count</t>
        </is>
      </c>
      <c r="I1516" s="9" t="n">
        <v>174</v>
      </c>
      <c r="J1516" s="9" t="inlineStr">
        <is>
          <t>cnt</t>
        </is>
      </c>
      <c r="K1516" s="9" t="n">
        <v>-39.99</v>
      </c>
    </row>
    <row r="1517" ht="15" customFormat="1" customHeight="1" s="5">
      <c r="A1517" s="81" t="n">
        <v>45908</v>
      </c>
      <c r="B1517" s="82" t="n">
        <v>0.3770833333333333</v>
      </c>
      <c r="C1517" s="5" t="inlineStr">
        <is>
          <t>Costco</t>
        </is>
      </c>
      <c r="E1517" s="5" t="n">
        <v>1</v>
      </c>
      <c r="F1517" s="6" t="inlineStr">
        <is>
          <t>1219335892_439 121 4 614</t>
        </is>
      </c>
      <c r="G1517" s="15" t="inlineStr">
        <is>
          <t>955486</t>
        </is>
      </c>
      <c r="H1517" s="9" t="inlineStr">
        <is>
          <t>**RETURNED** Huggies Little Snugglers Plus Diapers Size 2, 174-count</t>
        </is>
      </c>
      <c r="I1517" s="9" t="n">
        <v>174</v>
      </c>
      <c r="J1517" s="9" t="inlineStr">
        <is>
          <t>cnt</t>
        </is>
      </c>
      <c r="K1517" s="9" t="n">
        <v>-39.99</v>
      </c>
    </row>
    <row r="1518" ht="15" customFormat="1" customHeight="1" s="5">
      <c r="A1518" s="81" t="n">
        <v>45908</v>
      </c>
      <c r="B1518" s="82" t="n">
        <v>0.3770833333333333</v>
      </c>
      <c r="C1518" s="5" t="inlineStr">
        <is>
          <t>Costco</t>
        </is>
      </c>
      <c r="E1518" s="5" t="n">
        <v>1</v>
      </c>
      <c r="F1518" s="6" t="inlineStr">
        <is>
          <t>1219335892_439 121 4 614</t>
        </is>
      </c>
      <c r="G1518" s="15" t="inlineStr">
        <is>
          <t>955483</t>
        </is>
      </c>
      <c r="H1518" s="9" t="inlineStr">
        <is>
          <t>**RETURNED** Huggies Little Snugglers Plus Diapers Size 2, 174-count</t>
        </is>
      </c>
      <c r="I1518" s="9" t="n">
        <v>192</v>
      </c>
      <c r="J1518" s="9" t="inlineStr">
        <is>
          <t>cnt</t>
        </is>
      </c>
      <c r="K1518" s="9" t="n">
        <v>-39.99</v>
      </c>
    </row>
    <row r="1519" ht="15" customFormat="1" customHeight="1" s="5">
      <c r="A1519" s="81" t="n">
        <v>45908</v>
      </c>
      <c r="B1519" s="82" t="n">
        <v>0.3770833333333333</v>
      </c>
      <c r="C1519" s="5" t="inlineStr">
        <is>
          <t>Costco</t>
        </is>
      </c>
      <c r="E1519" s="5" t="n">
        <v>1</v>
      </c>
      <c r="F1519" s="6" t="inlineStr">
        <is>
          <t>1219335892_439 121 4 614</t>
        </is>
      </c>
      <c r="G1519" s="15" t="inlineStr">
        <is>
          <t>955483</t>
        </is>
      </c>
      <c r="H1519" s="9" t="inlineStr">
        <is>
          <t>**RETURNED** Huggies Little Snugglers Plus Diapers Size 2, 174-count</t>
        </is>
      </c>
      <c r="I1519" s="9" t="n">
        <v>192</v>
      </c>
      <c r="J1519" s="9" t="inlineStr">
        <is>
          <t>cnt</t>
        </is>
      </c>
      <c r="K1519" s="9" t="n">
        <v>-39.99</v>
      </c>
    </row>
    <row r="1520" ht="15" customFormat="1" customHeight="1" s="5">
      <c r="A1520" s="81" t="n">
        <v>45908</v>
      </c>
      <c r="B1520" s="82" t="n">
        <v>0.3770833333333333</v>
      </c>
      <c r="C1520" s="5" t="inlineStr">
        <is>
          <t>Costco</t>
        </is>
      </c>
      <c r="E1520" s="5" t="n">
        <v>1</v>
      </c>
      <c r="F1520" s="6" t="inlineStr">
        <is>
          <t>1219335892_439 121 4 614</t>
        </is>
      </c>
      <c r="G1520" s="10" t="n"/>
      <c r="H1520" s="9" t="inlineStr">
        <is>
          <t>**REFUNDED** $10/off per box online deal</t>
        </is>
      </c>
      <c r="I1520" s="9" t="n">
        <v>-732</v>
      </c>
      <c r="J1520" s="9" t="inlineStr">
        <is>
          <t>cnt</t>
        </is>
      </c>
      <c r="K1520" s="9" t="n">
        <v>40</v>
      </c>
    </row>
    <row r="1521" ht="15" customFormat="1" customHeight="1" s="5">
      <c r="A1521" s="81" t="n">
        <v>45907</v>
      </c>
      <c r="B1521" s="82" t="n">
        <v>0.6958333333333333</v>
      </c>
      <c r="C1521" s="5" t="inlineStr">
        <is>
          <t>Mt. Fuji Hibachi and Sushi</t>
        </is>
      </c>
      <c r="E1521" s="5" t="n">
        <v>1</v>
      </c>
      <c r="F1521" s="6" t="inlineStr">
        <is>
          <t>#40</t>
        </is>
      </c>
      <c r="G1521" s="17" t="n"/>
      <c r="H1521" s="9" t="inlineStr">
        <is>
          <t>Tuna Tartare AP</t>
        </is>
      </c>
      <c r="K1521" s="5" t="n">
        <v>9.5</v>
      </c>
    </row>
    <row r="1522" ht="15" customFormat="1" customHeight="1" s="5">
      <c r="A1522" s="81" t="n">
        <v>45907</v>
      </c>
      <c r="B1522" s="82" t="n">
        <v>0.6958333333333333</v>
      </c>
      <c r="C1522" s="5" t="inlineStr">
        <is>
          <t>Mt. Fuji Hibachi and Sushi</t>
        </is>
      </c>
      <c r="E1522" s="5" t="n">
        <v>1</v>
      </c>
      <c r="F1522" s="6" t="inlineStr">
        <is>
          <t>#40</t>
        </is>
      </c>
      <c r="G1522" s="17" t="n"/>
      <c r="H1522" s="9" t="inlineStr">
        <is>
          <t>Miso Soup</t>
        </is>
      </c>
      <c r="K1522" s="5" t="n">
        <v>2.95</v>
      </c>
    </row>
    <row r="1523" ht="15" customFormat="1" customHeight="1" s="5">
      <c r="A1523" s="81" t="n">
        <v>45907</v>
      </c>
      <c r="B1523" s="82" t="n">
        <v>0.6958333333333333</v>
      </c>
      <c r="C1523" s="5" t="inlineStr">
        <is>
          <t>Mt. Fuji Hibachi and Sushi</t>
        </is>
      </c>
      <c r="E1523" s="5" t="n">
        <v>1</v>
      </c>
      <c r="F1523" s="6" t="inlineStr">
        <is>
          <t>#40</t>
        </is>
      </c>
      <c r="G1523" s="17" t="n"/>
      <c r="H1523" s="9" t="inlineStr">
        <is>
          <t>Salmon Lover Plate</t>
        </is>
      </c>
      <c r="K1523" s="5" t="n">
        <v>21.95</v>
      </c>
    </row>
    <row r="1524" ht="15" customFormat="1" customHeight="1" s="5">
      <c r="A1524" s="81" t="n">
        <v>45907</v>
      </c>
      <c r="B1524" s="82" t="n">
        <v>0.6958333333333333</v>
      </c>
      <c r="C1524" s="5" t="inlineStr">
        <is>
          <t>Mt. Fuji Hibachi and Sushi</t>
        </is>
      </c>
      <c r="E1524" s="5" t="n">
        <v>1</v>
      </c>
      <c r="F1524" s="6" t="inlineStr">
        <is>
          <t>#40</t>
        </is>
      </c>
      <c r="G1524" s="17" t="inlineStr">
        <is>
          <t>S07</t>
        </is>
      </c>
      <c r="H1524" s="9" t="inlineStr">
        <is>
          <t>I Love Eel Roll</t>
        </is>
      </c>
      <c r="K1524" s="5" t="n">
        <v>13.5</v>
      </c>
    </row>
    <row r="1525" ht="15" customFormat="1" customHeight="1" s="5">
      <c r="A1525" s="81" t="n">
        <v>45907</v>
      </c>
      <c r="B1525" s="82" t="n">
        <v>0.6958333333333333</v>
      </c>
      <c r="C1525" s="5" t="inlineStr">
        <is>
          <t>Mt. Fuji Hibachi and Sushi</t>
        </is>
      </c>
      <c r="E1525" s="5" t="n">
        <v>1</v>
      </c>
      <c r="F1525" s="6" t="inlineStr">
        <is>
          <t>#40</t>
        </is>
      </c>
      <c r="G1525" s="17" t="n"/>
      <c r="H1525" s="9" t="inlineStr">
        <is>
          <t>Tip</t>
        </is>
      </c>
      <c r="K1525" s="5" t="n">
        <v>7.27</v>
      </c>
    </row>
    <row r="1526" ht="15" customFormat="1" customHeight="1" s="5">
      <c r="A1526" s="81" t="n">
        <v>45907</v>
      </c>
      <c r="B1526" s="82" t="n">
        <v>0.6958333333333333</v>
      </c>
      <c r="C1526" s="5" t="inlineStr">
        <is>
          <t>Mt. Fuji Hibachi and Sushi</t>
        </is>
      </c>
      <c r="E1526" s="5" t="n">
        <v>1</v>
      </c>
      <c r="F1526" s="6" t="inlineStr">
        <is>
          <t>#40</t>
        </is>
      </c>
      <c r="G1526" s="17" t="n"/>
      <c r="H1526" s="9" t="inlineStr">
        <is>
          <t>Tax (8.00%)</t>
        </is>
      </c>
      <c r="K1526" s="5" t="n">
        <v>3.83</v>
      </c>
    </row>
    <row r="1527" ht="15" customFormat="1" customHeight="1" s="5">
      <c r="A1527" s="81" t="n">
        <v>45906</v>
      </c>
      <c r="B1527" s="82" t="n">
        <v>0.8069444444444445</v>
      </c>
      <c r="C1527" s="5" t="inlineStr">
        <is>
          <t>Venmo</t>
        </is>
      </c>
      <c r="D1527" s="5" t="n">
        <v>1</v>
      </c>
      <c r="F1527" s="6" t="inlineStr">
        <is>
          <t>4416099841522529672</t>
        </is>
      </c>
      <c r="G1527" s="10" t="n"/>
      <c r="H1527" s="9" t="inlineStr">
        <is>
          <t>AT&amp;T Eli Phone Bill 1</t>
        </is>
      </c>
      <c r="I1527" s="9" t="n">
        <v>1</v>
      </c>
      <c r="J1527" s="9" t="inlineStr">
        <is>
          <t>cnt</t>
        </is>
      </c>
      <c r="K1527" s="85" t="n">
        <v>84.59</v>
      </c>
    </row>
    <row r="1528" ht="15" customFormat="1" customHeight="1" s="5">
      <c r="A1528" s="81" t="n">
        <v>45906</v>
      </c>
      <c r="B1528" s="82" t="n">
        <v>0.8069444444444445</v>
      </c>
      <c r="C1528" s="5" t="inlineStr">
        <is>
          <t>Venmo</t>
        </is>
      </c>
      <c r="D1528" s="5" t="n">
        <v>1</v>
      </c>
      <c r="F1528" s="6" t="inlineStr">
        <is>
          <t>4416099841522529672</t>
        </is>
      </c>
      <c r="G1528" s="10" t="n"/>
      <c r="H1528" s="9" t="inlineStr">
        <is>
          <t>AT&amp;T Eli Phone Bill 2</t>
        </is>
      </c>
      <c r="I1528" s="9" t="n">
        <v>1</v>
      </c>
      <c r="J1528" s="9" t="inlineStr">
        <is>
          <t>cnt</t>
        </is>
      </c>
      <c r="K1528" s="85" t="n">
        <v>50.21</v>
      </c>
    </row>
    <row r="1529" ht="15" customFormat="1" customHeight="1" s="5">
      <c r="A1529" s="81" t="n">
        <v>45906</v>
      </c>
      <c r="B1529" s="82" t="n">
        <v>0.8069444444444445</v>
      </c>
      <c r="C1529" s="5" t="inlineStr">
        <is>
          <t>Venmo</t>
        </is>
      </c>
      <c r="D1529" s="5" t="n">
        <v>1</v>
      </c>
      <c r="F1529" s="6" t="inlineStr">
        <is>
          <t>4416099841522529672</t>
        </is>
      </c>
      <c r="G1529" s="10" t="n"/>
      <c r="H1529" s="9" t="inlineStr">
        <is>
          <t>AT&amp;T Eli Phone Bill 3</t>
        </is>
      </c>
      <c r="I1529" s="9" t="n">
        <v>1</v>
      </c>
      <c r="J1529" s="9" t="inlineStr">
        <is>
          <t>cnt</t>
        </is>
      </c>
      <c r="K1529" s="85" t="n">
        <v>50.21</v>
      </c>
    </row>
    <row r="1530" ht="15" customFormat="1" customHeight="1" s="5">
      <c r="A1530" s="81" t="n">
        <v>45906</v>
      </c>
      <c r="B1530" s="82" t="n">
        <v>0.8069444444444445</v>
      </c>
      <c r="C1530" s="5" t="inlineStr">
        <is>
          <t>Venmo</t>
        </is>
      </c>
      <c r="D1530" s="5" t="n">
        <v>1</v>
      </c>
      <c r="F1530" s="6" t="inlineStr">
        <is>
          <t>4416099841522529672</t>
        </is>
      </c>
      <c r="G1530" s="10" t="n"/>
      <c r="H1530" s="9" t="inlineStr">
        <is>
          <t>Monthly AT&amp;T Phone and Service cost for Eli's iPhone 16+ [what was already paid]</t>
        </is>
      </c>
      <c r="I1530" s="9" t="n">
        <v>3</v>
      </c>
      <c r="J1530" s="9" t="inlineStr">
        <is>
          <t>cnt</t>
        </is>
      </c>
      <c r="K1530" s="85" t="n">
        <v>-104.69</v>
      </c>
    </row>
    <row r="1531" ht="15" customFormat="1" customHeight="1" s="5">
      <c r="A1531" s="81" t="n">
        <v>45906</v>
      </c>
      <c r="B1531" s="78" t="n">
        <v>0.7763888888888889</v>
      </c>
      <c r="C1531" s="5" t="inlineStr">
        <is>
          <t>Labcorp OnDemand</t>
        </is>
      </c>
      <c r="D1531" s="5" t="n">
        <v>1</v>
      </c>
      <c r="F1531" s="6" t="inlineStr">
        <is>
          <t>202509067662160_95333769</t>
        </is>
      </c>
      <c r="G1531" s="15" t="inlineStr">
        <is>
          <t>2025223BB9896</t>
        </is>
      </c>
      <c r="H1531" s="9" t="inlineStr">
        <is>
          <t>8/7 Lydia GD blood panel test</t>
        </is>
      </c>
      <c r="I1531" s="9" t="n">
        <v>1</v>
      </c>
      <c r="J1531" s="9" t="inlineStr">
        <is>
          <t>cnt</t>
        </is>
      </c>
      <c r="K1531" s="9" t="n">
        <v>5.7</v>
      </c>
    </row>
    <row r="1532" ht="15" customFormat="1" customHeight="1" s="5">
      <c r="A1532" s="81" t="n">
        <v>45906</v>
      </c>
      <c r="B1532" s="82" t="n">
        <v>0.7513888888888889</v>
      </c>
      <c r="C1532" s="5" t="inlineStr">
        <is>
          <t>Safeway</t>
        </is>
      </c>
      <c r="E1532" s="5" t="n">
        <v>1</v>
      </c>
      <c r="F1532" s="6" t="inlineStr">
        <is>
          <t>00261202501592509061802</t>
        </is>
      </c>
      <c r="G1532" s="7" t="n"/>
      <c r="H1532" s="9" t="inlineStr">
        <is>
          <t>Lucerne Shredded Mexican Style Four Cheese 32 Oz</t>
        </is>
      </c>
      <c r="I1532" s="5" t="n">
        <v>32</v>
      </c>
      <c r="J1532" s="5" t="inlineStr">
        <is>
          <t>oz</t>
        </is>
      </c>
      <c r="K1532" s="5" t="n">
        <v>7.99</v>
      </c>
    </row>
    <row r="1533" ht="15" customFormat="1" customHeight="1" s="5">
      <c r="A1533" s="81" t="n">
        <v>45906</v>
      </c>
      <c r="B1533" s="82" t="n">
        <v>0.7513888888888889</v>
      </c>
      <c r="C1533" s="5" t="inlineStr">
        <is>
          <t>Safeway</t>
        </is>
      </c>
      <c r="E1533" s="5" t="n">
        <v>1</v>
      </c>
      <c r="F1533" s="6" t="inlineStr">
        <is>
          <t>00261202501592509061802</t>
        </is>
      </c>
      <c r="G1533" s="7" t="n"/>
      <c r="H1533" s="9" t="inlineStr">
        <is>
          <t>**DISCOUNT** Eli went to customer service</t>
        </is>
      </c>
      <c r="I1533" s="5" t="n">
        <v>32</v>
      </c>
      <c r="J1533" s="5" t="inlineStr">
        <is>
          <t>oz</t>
        </is>
      </c>
      <c r="K1533" s="5" t="n">
        <v>-4.22</v>
      </c>
    </row>
    <row r="1534" ht="15" customFormat="1" customHeight="1" s="5">
      <c r="A1534" s="81" t="n">
        <v>45906</v>
      </c>
      <c r="B1534" s="82" t="n">
        <v>0.7513888888888889</v>
      </c>
      <c r="C1534" s="5" t="inlineStr">
        <is>
          <t>Safeway</t>
        </is>
      </c>
      <c r="E1534" s="5" t="n">
        <v>1</v>
      </c>
      <c r="F1534" s="6" t="inlineStr">
        <is>
          <t>00261202501592509061802</t>
        </is>
      </c>
      <c r="G1534" s="7" t="n"/>
      <c r="H1534" s="9" t="inlineStr">
        <is>
          <t>Tax</t>
        </is>
      </c>
      <c r="I1534" s="5" t="n">
        <v>32</v>
      </c>
      <c r="J1534" s="5" t="inlineStr">
        <is>
          <t>oz</t>
        </is>
      </c>
      <c r="K1534" s="5" t="n">
        <v>0</v>
      </c>
    </row>
    <row r="1535" ht="15" customFormat="1" customHeight="1" s="5">
      <c r="A1535" s="81" t="n">
        <v>45906</v>
      </c>
      <c r="B1535" s="82" t="n">
        <v>0.7486111111111111</v>
      </c>
      <c r="C1535" s="5" t="inlineStr">
        <is>
          <t>Amazon</t>
        </is>
      </c>
      <c r="D1535" s="5" t="n">
        <v>1</v>
      </c>
      <c r="F1535" s="6" t="inlineStr">
        <is>
          <t>111-7329216-7235433</t>
        </is>
      </c>
      <c r="G1535" s="17" t="n"/>
      <c r="H1535" s="9" t="inlineStr">
        <is>
          <t>Vovoly 4-Pcs Pro Set Zester Grater Set, Cheese Grater with Razor-Sharp Stainless Steel Blade, Fine/Coarse/Extra Coarse/Slider Attachment Sold by: Vovoly</t>
        </is>
      </c>
      <c r="I1535" s="5" t="n">
        <v>4</v>
      </c>
      <c r="J1535" s="5" t="inlineStr">
        <is>
          <t>cnt</t>
        </is>
      </c>
      <c r="K1535" s="5" t="n">
        <v>16.99</v>
      </c>
    </row>
    <row r="1536" ht="15" customFormat="1" customHeight="1" s="5">
      <c r="A1536" s="81" t="n">
        <v>45906</v>
      </c>
      <c r="B1536" s="82" t="n">
        <v>0.7486111111111111</v>
      </c>
      <c r="C1536" s="5" t="inlineStr">
        <is>
          <t>Amazon</t>
        </is>
      </c>
      <c r="D1536" s="5" t="n">
        <v>1</v>
      </c>
      <c r="F1536" s="6" t="inlineStr">
        <is>
          <t>111-7329216-7235433</t>
        </is>
      </c>
      <c r="G1536" s="17" t="n"/>
      <c r="H1536" s="9" t="inlineStr">
        <is>
          <t>Co retail delivery fees</t>
        </is>
      </c>
      <c r="I1536" s="5" t="n">
        <v>1</v>
      </c>
      <c r="J1536" s="5" t="inlineStr">
        <is>
          <t>cnt</t>
        </is>
      </c>
      <c r="K1536" s="5" t="n">
        <v>0.28</v>
      </c>
    </row>
    <row r="1537" ht="15" customFormat="1" customHeight="1" s="5">
      <c r="A1537" s="81" t="n">
        <v>45906</v>
      </c>
      <c r="B1537" s="82" t="n">
        <v>0.7486111111111111</v>
      </c>
      <c r="C1537" s="5" t="inlineStr">
        <is>
          <t>Amazon</t>
        </is>
      </c>
      <c r="D1537" s="5" t="n">
        <v>1</v>
      </c>
      <c r="F1537" s="6" t="inlineStr">
        <is>
          <t>111-7329216-7235433</t>
        </is>
      </c>
      <c r="G1537" s="17" t="n"/>
      <c r="H1537" s="9" t="inlineStr">
        <is>
          <t>Tax</t>
        </is>
      </c>
      <c r="I1537" s="5" t="n">
        <v>1</v>
      </c>
      <c r="J1537" s="5" t="inlineStr">
        <is>
          <t>cnt</t>
        </is>
      </c>
      <c r="K1537" s="5" t="n">
        <v>1.36</v>
      </c>
    </row>
    <row r="1538" ht="15" customFormat="1" customHeight="1" s="5">
      <c r="A1538" s="81" t="n">
        <v>45906</v>
      </c>
      <c r="B1538" s="82" t="n">
        <v>0.5118055555555555</v>
      </c>
      <c r="C1538" s="5" t="inlineStr">
        <is>
          <t>Amazon</t>
        </is>
      </c>
      <c r="D1538" s="5" t="n">
        <v>1</v>
      </c>
      <c r="F1538" s="6" t="inlineStr">
        <is>
          <t>111-1738209-0878665</t>
        </is>
      </c>
      <c r="G1538" s="7" t="n"/>
      <c r="H1538" s="9" t="inlineStr">
        <is>
          <t>Garden of Life Dr. Formulated Probiotics Once Daily Prenatal - Acidophilus &amp; Bifidobacteria Probiotic Support for Mom &amp; Baby - Gluten, Dairy &amp; Soy Free - 30 Count Vegetarian Capsules</t>
        </is>
      </c>
      <c r="I1538" s="5" t="n">
        <v>30</v>
      </c>
      <c r="J1538" s="5" t="inlineStr">
        <is>
          <t>cnt</t>
        </is>
      </c>
      <c r="K1538" s="5" t="n">
        <v>20.29</v>
      </c>
    </row>
    <row r="1539" ht="15" customFormat="1" customHeight="1" s="5">
      <c r="A1539" s="81" t="n">
        <v>45906</v>
      </c>
      <c r="B1539" s="82" t="n">
        <v>0.5118055555555555</v>
      </c>
      <c r="C1539" s="5" t="inlineStr">
        <is>
          <t>Amazon</t>
        </is>
      </c>
      <c r="D1539" s="5" t="n">
        <v>1</v>
      </c>
      <c r="F1539" s="6" t="inlineStr">
        <is>
          <t>111-1738209-0878665</t>
        </is>
      </c>
      <c r="G1539" s="7" t="n"/>
      <c r="H1539" s="9" t="inlineStr">
        <is>
          <t>Tax</t>
        </is>
      </c>
      <c r="I1539" s="5" t="n">
        <v>30</v>
      </c>
      <c r="J1539" s="5" t="inlineStr">
        <is>
          <t>cnt</t>
        </is>
      </c>
      <c r="K1539" s="5" t="n">
        <v>1.62</v>
      </c>
    </row>
    <row r="1540" ht="15" customFormat="1" customHeight="1" s="5">
      <c r="A1540" s="81" t="n">
        <v>45906</v>
      </c>
      <c r="B1540" s="82" t="n">
        <v>0.5118055555555555</v>
      </c>
      <c r="C1540" s="5" t="inlineStr">
        <is>
          <t>Amazon</t>
        </is>
      </c>
      <c r="D1540" s="5" t="n">
        <v>1</v>
      </c>
      <c r="F1540" s="6" t="inlineStr">
        <is>
          <t>111-1738209-0878665</t>
        </is>
      </c>
      <c r="G1540" s="7" t="n"/>
      <c r="H1540" s="9" t="inlineStr">
        <is>
          <t>Co retail delivery fees</t>
        </is>
      </c>
      <c r="I1540" s="5" t="n">
        <v>30</v>
      </c>
      <c r="J1540" s="5" t="inlineStr">
        <is>
          <t>cnt</t>
        </is>
      </c>
      <c r="K1540" s="5" t="n">
        <v>0.28</v>
      </c>
    </row>
    <row r="1541" ht="15" customFormat="1" customHeight="1" s="5">
      <c r="A1541" s="81" t="n">
        <v>45906</v>
      </c>
      <c r="B1541" s="82" t="n">
        <v>0.5118055555555555</v>
      </c>
      <c r="C1541" s="5" t="inlineStr">
        <is>
          <t>Amazon</t>
        </is>
      </c>
      <c r="D1541" s="5" t="n">
        <v>1</v>
      </c>
      <c r="F1541" s="6" t="inlineStr">
        <is>
          <t>111-1738209-0878665</t>
        </is>
      </c>
      <c r="G1541" s="7" t="n"/>
      <c r="H1541" s="9" t="inlineStr">
        <is>
          <t>Amazon gift card</t>
        </is>
      </c>
      <c r="I1541" s="5" t="n">
        <v>30</v>
      </c>
      <c r="J1541" s="5" t="inlineStr">
        <is>
          <t>cnt</t>
        </is>
      </c>
      <c r="K1541" s="5" t="n">
        <v>-12.95</v>
      </c>
    </row>
    <row r="1542" ht="15" customFormat="1" customHeight="1" s="5">
      <c r="A1542" s="81" t="n">
        <v>45906</v>
      </c>
      <c r="B1542" s="82" t="n">
        <v>0.5118055555555555</v>
      </c>
      <c r="C1542" s="5" t="inlineStr">
        <is>
          <t>Amazon</t>
        </is>
      </c>
      <c r="D1542" s="5" t="n">
        <v>1</v>
      </c>
      <c r="F1542" s="6" t="inlineStr">
        <is>
          <t>111-1738209-0878665</t>
        </is>
      </c>
      <c r="G1542" s="7" t="n"/>
      <c r="H1542" s="9" t="inlineStr">
        <is>
          <t>Amazon gift card</t>
        </is>
      </c>
      <c r="I1542" s="5" t="n">
        <v>30</v>
      </c>
      <c r="J1542" s="5" t="inlineStr">
        <is>
          <t>cnt</t>
        </is>
      </c>
      <c r="K1542" s="5" t="n">
        <v>12.95</v>
      </c>
    </row>
    <row r="1543" ht="15" customFormat="1" customHeight="1" s="5">
      <c r="A1543" s="81" t="n">
        <v>45905</v>
      </c>
      <c r="B1543" s="82" t="n">
        <v>0.7979166666666667</v>
      </c>
      <c r="C1543" s="5" t="inlineStr">
        <is>
          <t>Costco</t>
        </is>
      </c>
      <c r="E1543" s="5" t="n">
        <v>1</v>
      </c>
      <c r="F1543" s="6" t="inlineStr">
        <is>
          <t>1027 205 359 705</t>
        </is>
      </c>
      <c r="G1543" s="17" t="n"/>
      <c r="H1543" s="9" t="inlineStr">
        <is>
          <t>Graco 4Ever DLX Grad 5-in-1 Car Seat</t>
        </is>
      </c>
      <c r="I1543" s="5" t="n">
        <v>1</v>
      </c>
      <c r="J1543" s="5" t="inlineStr">
        <is>
          <t>cnt</t>
        </is>
      </c>
      <c r="K1543" s="5" t="inlineStr">
        <is>
          <t>279.99 AB</t>
        </is>
      </c>
    </row>
    <row r="1544" ht="15" customFormat="1" customHeight="1" s="5">
      <c r="A1544" s="81" t="n">
        <v>45905</v>
      </c>
      <c r="B1544" s="82" t="n">
        <v>0.7979166666666667</v>
      </c>
      <c r="C1544" s="5" t="inlineStr">
        <is>
          <t>Costco</t>
        </is>
      </c>
      <c r="E1544" s="5" t="n">
        <v>1</v>
      </c>
      <c r="F1544" s="6" t="inlineStr">
        <is>
          <t>1027 205 359 705</t>
        </is>
      </c>
      <c r="G1544" s="17" t="n"/>
      <c r="H1544" s="9" t="inlineStr">
        <is>
          <t xml:space="preserve">**DISCOUNT** Graco forever carseat </t>
        </is>
      </c>
      <c r="I1544" s="5" t="n">
        <v>1</v>
      </c>
      <c r="J1544" s="5" t="inlineStr">
        <is>
          <t>cnt</t>
        </is>
      </c>
      <c r="K1544" s="5" t="inlineStr">
        <is>
          <t>60-AB</t>
        </is>
      </c>
    </row>
    <row r="1545" ht="15" customFormat="1" customHeight="1" s="5">
      <c r="A1545" s="81" t="n">
        <v>45905</v>
      </c>
      <c r="B1545" s="82" t="n">
        <v>0.7979166666666667</v>
      </c>
      <c r="C1545" s="5" t="inlineStr">
        <is>
          <t>Costco</t>
        </is>
      </c>
      <c r="E1545" s="5" t="n">
        <v>1</v>
      </c>
      <c r="F1545" s="6" t="inlineStr">
        <is>
          <t>1027 205 359 705</t>
        </is>
      </c>
      <c r="G1545" s="17" t="n"/>
      <c r="H1545" s="9" t="inlineStr">
        <is>
          <t>Filtrete Air Filter 4-pack 16x25x1</t>
        </is>
      </c>
      <c r="I1545" s="5" t="n">
        <v>4</v>
      </c>
      <c r="J1545" s="5" t="inlineStr">
        <is>
          <t>cnt</t>
        </is>
      </c>
      <c r="K1545" s="5" t="inlineStr">
        <is>
          <t>44.99 AB</t>
        </is>
      </c>
    </row>
    <row r="1546" ht="15" customFormat="1" customHeight="1" s="5">
      <c r="A1546" s="81" t="n">
        <v>45905</v>
      </c>
      <c r="B1546" s="82" t="n">
        <v>0.7979166666666667</v>
      </c>
      <c r="C1546" s="5" t="inlineStr">
        <is>
          <t>Costco</t>
        </is>
      </c>
      <c r="E1546" s="5" t="n">
        <v>1</v>
      </c>
      <c r="F1546" s="6" t="inlineStr">
        <is>
          <t>1027 205 359 705</t>
        </is>
      </c>
      <c r="G1546" s="17" t="n"/>
      <c r="H1546" s="9" t="inlineStr">
        <is>
          <t>Perricone Farms California Tangerine Juice not from concentrate 2 x 59 oz</t>
        </is>
      </c>
      <c r="I1546" s="5" t="n">
        <v>118</v>
      </c>
      <c r="J1546" s="5" t="inlineStr">
        <is>
          <t>oz</t>
        </is>
      </c>
      <c r="K1546" s="5" t="inlineStr">
        <is>
          <t>9.99 B</t>
        </is>
      </c>
    </row>
    <row r="1547" ht="15" customFormat="1" customHeight="1" s="5">
      <c r="A1547" s="81" t="n">
        <v>45905</v>
      </c>
      <c r="B1547" s="82" t="n">
        <v>0.7979166666666667</v>
      </c>
      <c r="C1547" s="5" t="inlineStr">
        <is>
          <t>Costco</t>
        </is>
      </c>
      <c r="E1547" s="5" t="n">
        <v>1</v>
      </c>
      <c r="F1547" s="6" t="inlineStr">
        <is>
          <t>1027 205 359 705</t>
        </is>
      </c>
      <c r="G1547" s="17" t="n"/>
      <c r="H1547" s="9" t="inlineStr">
        <is>
          <t>Prawn Hacao Royal Asia</t>
        </is>
      </c>
      <c r="I1547" s="5" t="n">
        <v>2.45</v>
      </c>
      <c r="J1547" s="5" t="inlineStr">
        <is>
          <t>lb</t>
        </is>
      </c>
      <c r="K1547" s="5" t="inlineStr">
        <is>
          <t>15.49 B</t>
        </is>
      </c>
    </row>
    <row r="1548" ht="15" customFormat="1" customHeight="1" s="5">
      <c r="A1548" s="81" t="n">
        <v>45905</v>
      </c>
      <c r="B1548" s="82" t="n">
        <v>0.7979166666666667</v>
      </c>
      <c r="C1548" s="5" t="inlineStr">
        <is>
          <t>Costco</t>
        </is>
      </c>
      <c r="E1548" s="5" t="n">
        <v>1</v>
      </c>
      <c r="F1548" s="6" t="inlineStr">
        <is>
          <t>1027 205 359 705</t>
        </is>
      </c>
      <c r="G1548" s="17" t="n"/>
      <c r="H1548" s="9" t="inlineStr">
        <is>
          <t>**DISCOUNT&amp;&amp; Prawn Hacao</t>
        </is>
      </c>
      <c r="I1548" s="5" t="n">
        <v>2.45</v>
      </c>
      <c r="J1548" s="5" t="inlineStr">
        <is>
          <t>lb</t>
        </is>
      </c>
      <c r="K1548" s="5" t="inlineStr">
        <is>
          <t>4.0-B</t>
        </is>
      </c>
    </row>
    <row r="1549" ht="15" customFormat="1" customHeight="1" s="5">
      <c r="A1549" s="81" t="n">
        <v>45905</v>
      </c>
      <c r="B1549" s="82" t="n">
        <v>0.7979166666666667</v>
      </c>
      <c r="C1549" s="5" t="inlineStr">
        <is>
          <t>Costco</t>
        </is>
      </c>
      <c r="E1549" s="5" t="n">
        <v>1</v>
      </c>
      <c r="F1549" s="6" t="inlineStr">
        <is>
          <t>1027 205 359 705</t>
        </is>
      </c>
      <c r="G1549" s="17" t="n"/>
      <c r="H1549" s="9" t="inlineStr">
        <is>
          <t>KS Chewy Protein Bars Gluten-Free 42 x 1.41 oz bars</t>
        </is>
      </c>
      <c r="I1549" s="5" t="n">
        <v>59.2</v>
      </c>
      <c r="J1549" s="5" t="inlineStr">
        <is>
          <t>oz</t>
        </is>
      </c>
      <c r="K1549" s="5" t="inlineStr">
        <is>
          <t>14.99 B</t>
        </is>
      </c>
    </row>
    <row r="1550" ht="15" customFormat="1" customHeight="1" s="5">
      <c r="A1550" s="81" t="n">
        <v>45905</v>
      </c>
      <c r="B1550" s="82" t="n">
        <v>0.7979166666666667</v>
      </c>
      <c r="C1550" s="5" t="inlineStr">
        <is>
          <t>Costco</t>
        </is>
      </c>
      <c r="E1550" s="5" t="n">
        <v>1</v>
      </c>
      <c r="F1550" s="6" t="inlineStr">
        <is>
          <t>1027 205 359 705</t>
        </is>
      </c>
      <c r="G1550" s="17" t="n"/>
      <c r="H1550" s="9" t="inlineStr">
        <is>
          <t>KS Bath Tissue 30 rolls x 380 sheets/roll</t>
        </is>
      </c>
      <c r="I1550" s="5" t="n">
        <v>30</v>
      </c>
      <c r="J1550" s="5" t="inlineStr">
        <is>
          <t>cnt</t>
        </is>
      </c>
      <c r="K1550" s="5" t="inlineStr">
        <is>
          <t>20.99 AB</t>
        </is>
      </c>
    </row>
    <row r="1551" ht="15" customFormat="1" customHeight="1" s="5">
      <c r="A1551" s="81" t="n">
        <v>45905</v>
      </c>
      <c r="B1551" s="82" t="n">
        <v>0.7979166666666667</v>
      </c>
      <c r="C1551" s="5" t="inlineStr">
        <is>
          <t>Costco</t>
        </is>
      </c>
      <c r="E1551" s="5" t="n">
        <v>1</v>
      </c>
      <c r="F1551" s="6" t="inlineStr">
        <is>
          <t>1027 205 359 705</t>
        </is>
      </c>
      <c r="G1551" s="17" t="n"/>
      <c r="H1551" s="9" t="inlineStr">
        <is>
          <t>A 7.75% Tax</t>
        </is>
      </c>
      <c r="I1551" s="5" t="n">
        <v>3</v>
      </c>
      <c r="J1551" s="5" t="inlineStr">
        <is>
          <t>cnt</t>
        </is>
      </c>
      <c r="K1551" s="5" t="n">
        <v>22.38</v>
      </c>
    </row>
    <row r="1552" ht="15" customFormat="1" customHeight="1" s="5">
      <c r="A1552" s="81" t="n">
        <v>45905</v>
      </c>
      <c r="B1552" s="82" t="n">
        <v>0.7979166666666667</v>
      </c>
      <c r="C1552" s="5" t="inlineStr">
        <is>
          <t>Costco</t>
        </is>
      </c>
      <c r="E1552" s="5" t="n">
        <v>1</v>
      </c>
      <c r="F1552" s="6" t="inlineStr">
        <is>
          <t>1027 205 359 705</t>
        </is>
      </c>
      <c r="G1552" s="17" t="n"/>
      <c r="H1552" s="9" t="inlineStr">
        <is>
          <t>B 1.00% PIF Tax</t>
        </is>
      </c>
      <c r="I1552" s="5" t="n">
        <v>7</v>
      </c>
      <c r="J1552" s="5" t="inlineStr">
        <is>
          <t>cnt</t>
        </is>
      </c>
      <c r="K1552" s="5" t="n">
        <v>3.22</v>
      </c>
    </row>
    <row r="1553" ht="15" customFormat="1" customHeight="1" s="5">
      <c r="A1553" s="81" t="n">
        <v>45905</v>
      </c>
      <c r="B1553" s="82" t="n">
        <v>0.7201388888888889</v>
      </c>
      <c r="C1553" s="5" t="inlineStr">
        <is>
          <t>Wahoo Tacos</t>
        </is>
      </c>
      <c r="E1553" s="5" t="n">
        <v>1</v>
      </c>
      <c r="F1553" s="6" t="inlineStr">
        <is>
          <t>123767</t>
        </is>
      </c>
      <c r="G1553" s="17" t="n"/>
      <c r="H1553" s="9" t="inlineStr">
        <is>
          <t>Loaded Grilled Chicken Both Beans Quesadilla</t>
        </is>
      </c>
      <c r="I1553" s="5" t="n">
        <v>1</v>
      </c>
      <c r="J1553" s="5" t="inlineStr">
        <is>
          <t>cnt</t>
        </is>
      </c>
      <c r="K1553" s="5" t="n">
        <v>5.9</v>
      </c>
    </row>
    <row r="1554" ht="15" customFormat="1" customHeight="1" s="5">
      <c r="A1554" s="81" t="n">
        <v>45905</v>
      </c>
      <c r="B1554" s="82" t="n">
        <v>0.7201388888888889</v>
      </c>
      <c r="C1554" s="5" t="inlineStr">
        <is>
          <t>Wahoo Tacos</t>
        </is>
      </c>
      <c r="E1554" s="5" t="n">
        <v>1</v>
      </c>
      <c r="F1554" s="6" t="inlineStr">
        <is>
          <t>123767</t>
        </is>
      </c>
      <c r="G1554" s="17" t="n"/>
      <c r="H1554" s="9" t="inlineStr">
        <is>
          <t>Loaded Carne Asada Black Beans Quesadilla</t>
        </is>
      </c>
      <c r="I1554" s="5" t="n">
        <v>1</v>
      </c>
      <c r="J1554" s="5" t="inlineStr">
        <is>
          <t>cnt</t>
        </is>
      </c>
      <c r="K1554" s="5" t="n">
        <v>6.9</v>
      </c>
    </row>
    <row r="1555" ht="15" customFormat="1" customHeight="1" s="5">
      <c r="A1555" s="81" t="n">
        <v>45905</v>
      </c>
      <c r="B1555" s="82" t="n">
        <v>0.7201388888888889</v>
      </c>
      <c r="C1555" s="5" t="inlineStr">
        <is>
          <t>Wahoo Tacos</t>
        </is>
      </c>
      <c r="E1555" s="5" t="n">
        <v>1</v>
      </c>
      <c r="F1555" s="6" t="inlineStr">
        <is>
          <t>123767</t>
        </is>
      </c>
      <c r="G1555" s="17" t="n"/>
      <c r="H1555" s="9" t="inlineStr">
        <is>
          <t>Maui Onion Rings w/ ketchup and spicy mayo</t>
        </is>
      </c>
      <c r="I1555" s="5" t="n">
        <v>1</v>
      </c>
      <c r="J1555" s="5" t="inlineStr">
        <is>
          <t>cnt</t>
        </is>
      </c>
      <c r="K1555" s="5" t="n">
        <v>3</v>
      </c>
    </row>
    <row r="1556" ht="15" customFormat="1" customHeight="1" s="5">
      <c r="A1556" s="81" t="n">
        <v>45905</v>
      </c>
      <c r="B1556" s="82" t="n">
        <v>0.7201388888888889</v>
      </c>
      <c r="C1556" s="5" t="inlineStr">
        <is>
          <t>Wahoo Tacos</t>
        </is>
      </c>
      <c r="E1556" s="5" t="n">
        <v>1</v>
      </c>
      <c r="F1556" s="6" t="inlineStr">
        <is>
          <t>123767</t>
        </is>
      </c>
      <c r="G1556" s="17" t="n"/>
      <c r="H1556" s="9" t="inlineStr">
        <is>
          <t>5% service charge</t>
        </is>
      </c>
      <c r="I1556" s="5" t="n">
        <v>3</v>
      </c>
      <c r="J1556" s="5" t="inlineStr">
        <is>
          <t>cnt</t>
        </is>
      </c>
      <c r="K1556" s="5" t="n">
        <v>0.79</v>
      </c>
    </row>
    <row r="1557" ht="15" customFormat="1" customHeight="1" s="5">
      <c r="A1557" s="81" t="n">
        <v>45905</v>
      </c>
      <c r="B1557" s="82" t="n">
        <v>0.7201388888888889</v>
      </c>
      <c r="C1557" s="5" t="inlineStr">
        <is>
          <t>Wahoo Tacos</t>
        </is>
      </c>
      <c r="E1557" s="5" t="n">
        <v>1</v>
      </c>
      <c r="F1557" s="6" t="inlineStr">
        <is>
          <t>123767</t>
        </is>
      </c>
      <c r="G1557" s="17" t="n"/>
      <c r="H1557" s="9" t="inlineStr">
        <is>
          <t>Sales Tax</t>
        </is>
      </c>
      <c r="I1557" s="5" t="n">
        <v>3</v>
      </c>
      <c r="J1557" s="5" t="inlineStr">
        <is>
          <t>cnt</t>
        </is>
      </c>
      <c r="K1557" s="5" t="n">
        <v>1.32</v>
      </c>
    </row>
    <row r="1558" ht="15" customFormat="1" customHeight="1" s="5">
      <c r="A1558" s="81" t="n">
        <v>45905</v>
      </c>
      <c r="B1558" s="78" t="n">
        <v>0.6652777777777777</v>
      </c>
      <c r="C1558" s="5" t="inlineStr">
        <is>
          <t>Accelerate Health</t>
        </is>
      </c>
      <c r="E1558" s="5" t="n">
        <v>1</v>
      </c>
      <c r="F1558" s="6" t="inlineStr">
        <is>
          <t>905215855</t>
        </is>
      </c>
      <c r="G1558" s="15" t="inlineStr">
        <is>
          <t>2025254BC9116</t>
        </is>
      </c>
      <c r="H1558" s="9" t="inlineStr">
        <is>
          <t>BCBS says $135.74 due, but we already paid $103.88</t>
        </is>
      </c>
      <c r="K1558" s="5" t="n">
        <v>-31.86</v>
      </c>
    </row>
    <row r="1559" ht="15" customFormat="1" customHeight="1" s="5">
      <c r="A1559" s="81" t="n">
        <v>45905</v>
      </c>
      <c r="B1559" s="78" t="n">
        <v>0.6652777777777777</v>
      </c>
      <c r="C1559" s="5" t="inlineStr">
        <is>
          <t>Accelerate Health</t>
        </is>
      </c>
      <c r="E1559" s="5" t="n">
        <v>1</v>
      </c>
      <c r="F1559" s="6" t="inlineStr">
        <is>
          <t>905215855</t>
        </is>
      </c>
      <c r="G1559" s="15" t="inlineStr">
        <is>
          <t>2025254BC9116</t>
        </is>
      </c>
      <c r="H1559" s="9" t="inlineStr">
        <is>
          <t>BCBS says $135.74 due, but we already paid $103.88</t>
        </is>
      </c>
      <c r="K1559" s="5" t="n">
        <v>31.86</v>
      </c>
    </row>
    <row r="1560" ht="15" customFormat="1" customHeight="1" s="5">
      <c r="A1560" s="81" t="n">
        <v>45905</v>
      </c>
      <c r="B1560" s="78" t="n">
        <v>0.6652777777777777</v>
      </c>
      <c r="C1560" s="5" t="inlineStr">
        <is>
          <t>Accelerate Health</t>
        </is>
      </c>
      <c r="E1560" s="5" t="n">
        <v>1</v>
      </c>
      <c r="F1560" s="6" t="inlineStr">
        <is>
          <t>905215855</t>
        </is>
      </c>
      <c r="G1560" s="15" t="inlineStr">
        <is>
          <t>2025254BC9116</t>
        </is>
      </c>
      <c r="H1560" s="9" t="inlineStr">
        <is>
          <t>9/8 Lydia Chiro 20 minute follow up Dr. Kelly -- proactive payment</t>
        </is>
      </c>
      <c r="I1560" s="9" t="n"/>
      <c r="J1560" s="9" t="n"/>
      <c r="K1560" s="9" t="n">
        <v>103.88</v>
      </c>
    </row>
    <row r="1561" ht="15" customFormat="1" customHeight="1" s="5">
      <c r="A1561" s="81" t="n">
        <v>45905</v>
      </c>
      <c r="B1561" s="78" t="n">
        <v>0.6652777777777777</v>
      </c>
      <c r="C1561" s="5" t="inlineStr">
        <is>
          <t>Accelerate Health</t>
        </is>
      </c>
      <c r="E1561" s="5" t="n">
        <v>1</v>
      </c>
      <c r="F1561" s="6" t="inlineStr">
        <is>
          <t>905215855</t>
        </is>
      </c>
      <c r="G1561" s="15" t="n"/>
      <c r="H1561" s="9" t="inlineStr">
        <is>
          <t>9/5 Eli Chiro 20 minute follow up Dr. Matt</t>
        </is>
      </c>
      <c r="I1561" s="9" t="n"/>
      <c r="J1561" s="9" t="n"/>
      <c r="K1561" s="9" t="n">
        <v>118.4</v>
      </c>
    </row>
    <row r="1562" ht="15" customFormat="1" customHeight="1" s="5">
      <c r="A1562" s="81" t="n">
        <v>45905</v>
      </c>
      <c r="B1562" s="78" t="n">
        <v>0.6652777777777777</v>
      </c>
      <c r="C1562" s="5" t="inlineStr">
        <is>
          <t>Accelerate Health</t>
        </is>
      </c>
      <c r="E1562" s="5" t="n">
        <v>1</v>
      </c>
      <c r="F1562" s="6" t="inlineStr">
        <is>
          <t>905215855</t>
        </is>
      </c>
      <c r="G1562" s="15" t="n"/>
      <c r="H1562" s="9" t="inlineStr">
        <is>
          <t>9/5 Insurance shows that I owe $118.40 total, but I only paid $103.88 -- confirmed on phone on 9/8 that this is not due</t>
        </is>
      </c>
      <c r="I1562" s="9" t="n"/>
      <c r="J1562" s="9" t="n"/>
      <c r="K1562" s="9">
        <f>-14.52</f>
        <v/>
      </c>
    </row>
    <row r="1563" ht="15" customFormat="1" customHeight="1" s="5">
      <c r="A1563" s="81" t="n">
        <v>45905</v>
      </c>
      <c r="B1563" s="78" t="n">
        <v>0.6638888888888889</v>
      </c>
      <c r="C1563" s="35" t="inlineStr">
        <is>
          <t>Accelerate Health</t>
        </is>
      </c>
      <c r="E1563" s="5" t="n">
        <v>1</v>
      </c>
      <c r="F1563" s="6" t="inlineStr">
        <is>
          <t>905215658</t>
        </is>
      </c>
      <c r="G1563" s="15" t="inlineStr">
        <is>
          <t>#2025247BG0255</t>
        </is>
      </c>
      <c r="H1563" s="9" t="inlineStr">
        <is>
          <t>9/3 Lydia Chiro (retroactive payment bc in a rush last time to go to gardens)</t>
        </is>
      </c>
      <c r="I1563" s="9" t="n"/>
      <c r="J1563" s="9" t="n"/>
      <c r="K1563" s="9" t="n">
        <v>103.88</v>
      </c>
    </row>
    <row r="1564" ht="15" customFormat="1" customHeight="1" s="5">
      <c r="A1564" s="81" t="n">
        <v>45905</v>
      </c>
      <c r="B1564" s="78" t="n">
        <v>0.6638888888888889</v>
      </c>
      <c r="C1564" s="35" t="inlineStr">
        <is>
          <t>Accelerate Health</t>
        </is>
      </c>
      <c r="E1564" s="5" t="n">
        <v>1</v>
      </c>
      <c r="F1564" s="6" t="inlineStr">
        <is>
          <t>905215658</t>
        </is>
      </c>
      <c r="G1564" s="15" t="inlineStr">
        <is>
          <t>2025252BG9297</t>
        </is>
      </c>
      <c r="H1564" s="9" t="inlineStr">
        <is>
          <t>BCBS says $118.4+33.88 (152.28) due, but we already paid $150.26</t>
        </is>
      </c>
      <c r="I1564" s="9" t="n"/>
      <c r="J1564" s="9" t="n"/>
      <c r="K1564" s="9" t="n">
        <v>-2.02</v>
      </c>
    </row>
    <row r="1565" ht="15" customFormat="1" customHeight="1" s="5">
      <c r="A1565" s="81" t="n">
        <v>45905</v>
      </c>
      <c r="B1565" s="78" t="n">
        <v>0.6638888888888889</v>
      </c>
      <c r="C1565" s="35" t="inlineStr">
        <is>
          <t>Accelerate Health</t>
        </is>
      </c>
      <c r="E1565" s="5" t="n">
        <v>1</v>
      </c>
      <c r="F1565" s="6" t="inlineStr">
        <is>
          <t>905215658</t>
        </is>
      </c>
      <c r="G1565" s="15" t="inlineStr">
        <is>
          <t>2025252BG9297</t>
        </is>
      </c>
      <c r="H1565" s="9" t="inlineStr">
        <is>
          <t>BCBS says $118.4+33.88 (152.28) due, but we already paid $150.26</t>
        </is>
      </c>
      <c r="I1565" s="9" t="n"/>
      <c r="J1565" s="9" t="n"/>
      <c r="K1565" s="9">
        <f>118.4+33.88-103.88-46.38</f>
        <v/>
      </c>
    </row>
    <row r="1566" ht="15" customFormat="1" customHeight="1" s="5">
      <c r="A1566" s="81" t="n">
        <v>45905</v>
      </c>
      <c r="B1566" s="78" t="n">
        <v>0.6638888888888889</v>
      </c>
      <c r="C1566" s="35" t="inlineStr">
        <is>
          <t>Accelerate Health</t>
        </is>
      </c>
      <c r="E1566" s="5" t="n">
        <v>1</v>
      </c>
      <c r="F1566" s="6" t="inlineStr">
        <is>
          <t>905215658</t>
        </is>
      </c>
      <c r="G1566" s="15" t="inlineStr">
        <is>
          <t>2025252BG9297</t>
        </is>
      </c>
      <c r="H1566" s="9" t="inlineStr">
        <is>
          <t>9/5 Lydia Chiro 20 minute folllow up Dr. Matt</t>
        </is>
      </c>
      <c r="I1566" s="9" t="n">
        <v>20.37</v>
      </c>
      <c r="J1566" s="9" t="n"/>
      <c r="K1566" s="9" t="n">
        <v>103.88</v>
      </c>
    </row>
    <row r="1567" ht="15" customFormat="1" customHeight="1" s="5">
      <c r="A1567" s="81" t="n">
        <v>45905</v>
      </c>
      <c r="B1567" s="78" t="n">
        <v>0.6638888888888889</v>
      </c>
      <c r="C1567" s="35" t="inlineStr">
        <is>
          <t>Accelerate Health</t>
        </is>
      </c>
      <c r="E1567" s="5" t="n">
        <v>1</v>
      </c>
      <c r="F1567" s="6" t="inlineStr">
        <is>
          <t>905215658</t>
        </is>
      </c>
      <c r="G1567" s="15" t="inlineStr">
        <is>
          <t>2025252BG9849</t>
        </is>
      </c>
      <c r="H1567" s="9" t="inlineStr">
        <is>
          <t>9/5 Lydia Spot massage 20 minutes</t>
        </is>
      </c>
      <c r="I1567" s="9" t="n">
        <v>33.88</v>
      </c>
      <c r="J1567" s="9" t="n"/>
      <c r="K1567" s="9" t="n">
        <v>46.38</v>
      </c>
    </row>
    <row r="1568" ht="15" customFormat="1" customHeight="1" s="5">
      <c r="A1568" s="81" t="n">
        <v>45905</v>
      </c>
      <c r="B1568" s="82" t="n">
        <v>0.4833333333333333</v>
      </c>
      <c r="C1568" s="5" t="inlineStr">
        <is>
          <t>Denver Public Works</t>
        </is>
      </c>
      <c r="D1568" s="5" t="n">
        <v>1</v>
      </c>
      <c r="F1568" s="6" t="inlineStr">
        <is>
          <t>134532085</t>
        </is>
      </c>
      <c r="G1568" s="10" t="n"/>
      <c r="H1568" s="18" t="inlineStr">
        <is>
          <t>S100557412 Lydia Speeding (40 in a 30mph zone; otw home from Chiro in that neigborhood that is so easy to speed in) 08/25/2025 10:06:37 AM, 3400 BLK E 6TH AVE/EB, Denver Revised Municipal Code 54-156</t>
        </is>
      </c>
      <c r="I1568" s="9" t="n">
        <v>1</v>
      </c>
      <c r="J1568" s="9" t="inlineStr">
        <is>
          <t>cnt</t>
        </is>
      </c>
      <c r="K1568" s="85" t="n">
        <v>40</v>
      </c>
    </row>
    <row r="1569" ht="15" customFormat="1" customHeight="1" s="5">
      <c r="A1569" s="81" t="n">
        <v>45905</v>
      </c>
      <c r="B1569" s="82" t="n">
        <v>0.4694444444444444</v>
      </c>
      <c r="C1569" s="5" t="inlineStr">
        <is>
          <t>Amazon</t>
        </is>
      </c>
      <c r="D1569" s="5" t="n">
        <v>1</v>
      </c>
      <c r="F1569" s="16" t="inlineStr">
        <is>
          <t>111-7248187-5999457</t>
        </is>
      </c>
      <c r="G1569" s="10" t="n"/>
      <c r="H1569" s="9" t="inlineStr">
        <is>
          <t>**RETURNED** 2025 Upgraded Dryer Repair Kit by Beaquicy Replacement for Samsung Dryer Includes DC97-16782A Samsung Dryer Roller, 6602-001655/5ph2337 Dryer Belt, DC93-00634A Idler Pulley and DC61-01215B Spring Sold by: YKZ SUPPLIER</t>
        </is>
      </c>
      <c r="I1569" s="9" t="n"/>
      <c r="J1569" s="9" t="n"/>
      <c r="K1569" s="9" t="n">
        <v>-23.06</v>
      </c>
    </row>
    <row r="1570" ht="15" customFormat="1" customHeight="1" s="5">
      <c r="A1570" s="81" t="n">
        <v>45905</v>
      </c>
      <c r="B1570" s="78" t="n">
        <v>0.3979166666666666</v>
      </c>
      <c r="C1570" s="5" t="inlineStr">
        <is>
          <t>Safeway</t>
        </is>
      </c>
      <c r="D1570" s="5" t="n">
        <v>1</v>
      </c>
      <c r="F1570" s="16" t="inlineStr">
        <is>
          <t>#138995292</t>
        </is>
      </c>
      <c r="G1570" s="10" t="n"/>
      <c r="H1570" s="18" t="inlineStr">
        <is>
          <t>Lucerne Cheese Sharp Cheddar - 32 Oz</t>
        </is>
      </c>
      <c r="I1570" s="9" t="n">
        <v>32</v>
      </c>
      <c r="J1570" s="9" t="inlineStr">
        <is>
          <t>oz</t>
        </is>
      </c>
      <c r="K1570" s="9" t="n">
        <v>7.99</v>
      </c>
    </row>
    <row r="1571" ht="15" customFormat="1" customHeight="1" s="5">
      <c r="A1571" s="81" t="n">
        <v>45905</v>
      </c>
      <c r="B1571" s="78" t="n">
        <v>0.3979166666666666</v>
      </c>
      <c r="C1571" s="5" t="inlineStr">
        <is>
          <t>Safeway</t>
        </is>
      </c>
      <c r="D1571" s="5" t="n">
        <v>1</v>
      </c>
      <c r="F1571" s="16" t="inlineStr">
        <is>
          <t>#138995292</t>
        </is>
      </c>
      <c r="G1571" s="10" t="n"/>
      <c r="H1571" s="9" t="inlineStr">
        <is>
          <t>**DISCOUNT** Cheese</t>
        </is>
      </c>
      <c r="I1571" s="9" t="n">
        <v>32</v>
      </c>
      <c r="J1571" s="9" t="inlineStr">
        <is>
          <t>oz</t>
        </is>
      </c>
      <c r="K1571" s="9" t="n">
        <v>-4.28</v>
      </c>
    </row>
    <row r="1572" ht="15" customFormat="1" customHeight="1" s="5">
      <c r="A1572" s="81" t="n">
        <v>45905</v>
      </c>
      <c r="B1572" s="78" t="n">
        <v>0.3979166666666666</v>
      </c>
      <c r="C1572" s="5" t="inlineStr">
        <is>
          <t>Safeway</t>
        </is>
      </c>
      <c r="D1572" s="5" t="n">
        <v>1</v>
      </c>
      <c r="F1572" s="16" t="inlineStr">
        <is>
          <t>#138995292</t>
        </is>
      </c>
      <c r="G1572" s="10" t="n"/>
      <c r="H1572" s="9" t="inlineStr">
        <is>
          <t>Strawberries Prepacked - 1 Lb</t>
        </is>
      </c>
      <c r="I1572" s="9" t="n">
        <v>1</v>
      </c>
      <c r="J1572" s="9" t="inlineStr">
        <is>
          <t>lb</t>
        </is>
      </c>
      <c r="K1572" s="9" t="n">
        <v>3.99</v>
      </c>
    </row>
    <row r="1573" ht="15" customFormat="1" customHeight="1" s="5">
      <c r="A1573" s="81" t="n">
        <v>45905</v>
      </c>
      <c r="B1573" s="78" t="n">
        <v>0.3979166666666666</v>
      </c>
      <c r="C1573" s="5" t="inlineStr">
        <is>
          <t>Safeway</t>
        </is>
      </c>
      <c r="D1573" s="5" t="n">
        <v>1</v>
      </c>
      <c r="F1573" s="16" t="inlineStr">
        <is>
          <t>#138995292</t>
        </is>
      </c>
      <c r="G1573" s="10" t="n"/>
      <c r="H1573" s="9" t="inlineStr">
        <is>
          <t>**DISCOUNT** Strawberries</t>
        </is>
      </c>
      <c r="I1573" s="9" t="n">
        <v>1</v>
      </c>
      <c r="J1573" s="9" t="inlineStr">
        <is>
          <t>lb</t>
        </is>
      </c>
      <c r="K1573" s="9" t="n">
        <v>-3.25</v>
      </c>
    </row>
    <row r="1574" ht="15" customFormat="1" customHeight="1" s="5">
      <c r="A1574" s="81" t="n">
        <v>45905</v>
      </c>
      <c r="B1574" s="78" t="n">
        <v>0.3979166666666666</v>
      </c>
      <c r="C1574" s="5" t="inlineStr">
        <is>
          <t>Safeway</t>
        </is>
      </c>
      <c r="D1574" s="5" t="n">
        <v>1</v>
      </c>
      <c r="F1574" s="16" t="inlineStr">
        <is>
          <t>#138995292</t>
        </is>
      </c>
      <c r="G1574" s="10" t="n"/>
      <c r="H1574" s="9" t="inlineStr">
        <is>
          <t>FOUR Signature SELECT Stewed Mexican Style Tomatoes - 14.5 Oz</t>
        </is>
      </c>
      <c r="I1574" s="9" t="n">
        <v>58</v>
      </c>
      <c r="J1574" s="9" t="inlineStr">
        <is>
          <t>oz</t>
        </is>
      </c>
      <c r="K1574" s="9" t="n">
        <v>5.56</v>
      </c>
    </row>
    <row r="1575" ht="15" customFormat="1" customHeight="1" s="5">
      <c r="A1575" s="81" t="n">
        <v>45905</v>
      </c>
      <c r="B1575" s="78" t="n">
        <v>0.3979166666666666</v>
      </c>
      <c r="C1575" s="5" t="inlineStr">
        <is>
          <t>Safeway</t>
        </is>
      </c>
      <c r="D1575" s="5" t="n">
        <v>1</v>
      </c>
      <c r="F1575" s="16" t="inlineStr">
        <is>
          <t>#138995292</t>
        </is>
      </c>
      <c r="G1575" s="10" t="n"/>
      <c r="H1575" s="9" t="inlineStr">
        <is>
          <t>**DISCOUNT** Tomatoes Canned</t>
        </is>
      </c>
      <c r="I1575" s="9" t="n">
        <v>58</v>
      </c>
      <c r="J1575" s="9" t="inlineStr">
        <is>
          <t>oz</t>
        </is>
      </c>
      <c r="K1575" s="9" t="n">
        <v>-2.22</v>
      </c>
    </row>
    <row r="1576" ht="15" customFormat="1" customHeight="1" s="5">
      <c r="A1576" s="81" t="n">
        <v>45905</v>
      </c>
      <c r="B1576" s="78" t="n">
        <v>0.3979166666666666</v>
      </c>
      <c r="C1576" s="5" t="inlineStr">
        <is>
          <t>Safeway</t>
        </is>
      </c>
      <c r="D1576" s="5" t="n">
        <v>1</v>
      </c>
      <c r="F1576" s="16" t="inlineStr">
        <is>
          <t>#138995292</t>
        </is>
      </c>
      <c r="G1576" s="10" t="n"/>
      <c r="H1576" s="9" t="inlineStr">
        <is>
          <t>TWO Signature Select Green Peas Steam in Bag - 12 Oz</t>
        </is>
      </c>
      <c r="I1576" s="9" t="n">
        <v>24</v>
      </c>
      <c r="J1576" s="9" t="inlineStr">
        <is>
          <t>oz</t>
        </is>
      </c>
      <c r="K1576" s="9" t="n">
        <v>3.98</v>
      </c>
    </row>
    <row r="1577" ht="15" customFormat="1" customHeight="1" s="5">
      <c r="A1577" s="81" t="n">
        <v>45905</v>
      </c>
      <c r="B1577" s="78" t="n">
        <v>0.3979166666666666</v>
      </c>
      <c r="C1577" s="5" t="inlineStr">
        <is>
          <t>Safeway</t>
        </is>
      </c>
      <c r="D1577" s="5" t="n">
        <v>1</v>
      </c>
      <c r="F1577" s="16" t="inlineStr">
        <is>
          <t>#138995292</t>
        </is>
      </c>
      <c r="G1577" s="10" t="n"/>
      <c r="H1577" s="9" t="inlineStr">
        <is>
          <t>**DISCOUNT** Frozen Peas</t>
        </is>
      </c>
      <c r="I1577" s="9" t="n">
        <v>24</v>
      </c>
      <c r="J1577" s="9" t="inlineStr">
        <is>
          <t>oz</t>
        </is>
      </c>
      <c r="K1577" s="9" t="n">
        <v>-1.51</v>
      </c>
    </row>
    <row r="1578" ht="15" customFormat="1" customHeight="1" s="5">
      <c r="A1578" s="81" t="n">
        <v>45905</v>
      </c>
      <c r="B1578" s="78" t="n">
        <v>0.3979166666666666</v>
      </c>
      <c r="C1578" s="5" t="inlineStr">
        <is>
          <t>Safeway</t>
        </is>
      </c>
      <c r="D1578" s="5" t="n">
        <v>1</v>
      </c>
      <c r="F1578" s="16" t="inlineStr">
        <is>
          <t>#138995292</t>
        </is>
      </c>
      <c r="G1578" s="10" t="n"/>
      <c r="H1578" s="18" t="inlineStr">
        <is>
          <t>TWO White Onion</t>
        </is>
      </c>
      <c r="I1578" s="9" t="n">
        <v>2</v>
      </c>
      <c r="J1578" s="9" t="inlineStr">
        <is>
          <t>cnt</t>
        </is>
      </c>
      <c r="K1578" s="9" t="n">
        <v>1.61</v>
      </c>
    </row>
    <row r="1579" ht="15" customFormat="1" customHeight="1" s="5">
      <c r="A1579" s="81" t="n">
        <v>45905</v>
      </c>
      <c r="B1579" s="78" t="n">
        <v>0.3979166666666666</v>
      </c>
      <c r="C1579" s="5" t="inlineStr">
        <is>
          <t>Safeway</t>
        </is>
      </c>
      <c r="D1579" s="5" t="n">
        <v>1</v>
      </c>
      <c r="F1579" s="16" t="inlineStr">
        <is>
          <t>#138995292</t>
        </is>
      </c>
      <c r="G1579" s="10" t="n"/>
      <c r="H1579" s="9" t="inlineStr">
        <is>
          <t>**DISCOUNT** Onion</t>
        </is>
      </c>
      <c r="I1579" s="9" t="n">
        <v>2</v>
      </c>
      <c r="J1579" s="9" t="inlineStr">
        <is>
          <t>cnt</t>
        </is>
      </c>
      <c r="K1579" s="9" t="n">
        <v>-0.68</v>
      </c>
    </row>
    <row r="1580" ht="15" customFormat="1" customHeight="1" s="5">
      <c r="A1580" s="81" t="n">
        <v>45905</v>
      </c>
      <c r="B1580" s="78" t="n">
        <v>0.3979166666666666</v>
      </c>
      <c r="C1580" s="5" t="inlineStr">
        <is>
          <t>Safeway</t>
        </is>
      </c>
      <c r="D1580" s="5" t="n">
        <v>1</v>
      </c>
      <c r="F1580" s="16" t="inlineStr">
        <is>
          <t>#138995292</t>
        </is>
      </c>
      <c r="G1580" s="10" t="n"/>
      <c r="H1580" s="18" t="inlineStr">
        <is>
          <t>Lucerne Cream Cheese - 8 Oz</t>
        </is>
      </c>
      <c r="I1580" s="9" t="n">
        <v>8</v>
      </c>
      <c r="J1580" s="9" t="inlineStr">
        <is>
          <t>oz</t>
        </is>
      </c>
      <c r="K1580" s="9" t="n">
        <v>2.29</v>
      </c>
    </row>
    <row r="1581" ht="15" customFormat="1" customHeight="1" s="5">
      <c r="A1581" s="81" t="n">
        <v>45905</v>
      </c>
      <c r="B1581" s="78" t="n">
        <v>0.3979166666666666</v>
      </c>
      <c r="C1581" s="5" t="inlineStr">
        <is>
          <t>Safeway</t>
        </is>
      </c>
      <c r="D1581" s="5" t="n">
        <v>1</v>
      </c>
      <c r="F1581" s="16" t="inlineStr">
        <is>
          <t>#138995292</t>
        </is>
      </c>
      <c r="G1581" s="10" t="n"/>
      <c r="H1581" s="9" t="inlineStr">
        <is>
          <t>**DISCOUNT** Cream Cheese</t>
        </is>
      </c>
      <c r="I1581" s="9" t="n">
        <v>8</v>
      </c>
      <c r="J1581" s="9" t="inlineStr">
        <is>
          <t>oz</t>
        </is>
      </c>
      <c r="K1581" s="9" t="n">
        <v>-0.59</v>
      </c>
    </row>
    <row r="1582" ht="15" customFormat="1" customHeight="1" s="5">
      <c r="A1582" s="81" t="n">
        <v>45905</v>
      </c>
      <c r="B1582" s="78" t="n">
        <v>0.3979166666666666</v>
      </c>
      <c r="C1582" s="5" t="inlineStr">
        <is>
          <t>Safeway</t>
        </is>
      </c>
      <c r="D1582" s="5" t="n">
        <v>1</v>
      </c>
      <c r="F1582" s="16" t="inlineStr">
        <is>
          <t>#138995292</t>
        </is>
      </c>
      <c r="G1582" s="10" t="n"/>
      <c r="H1582" s="18" t="inlineStr">
        <is>
          <t>THREE Jimmy Dean All Natural Pork Sausage Roll - 16 Oz</t>
        </is>
      </c>
      <c r="I1582" s="9" t="n">
        <v>32</v>
      </c>
      <c r="J1582" s="9" t="inlineStr">
        <is>
          <t>oz</t>
        </is>
      </c>
      <c r="K1582" s="9" t="n">
        <v>17.97</v>
      </c>
    </row>
    <row r="1583" ht="15" customFormat="1" customHeight="1" s="5">
      <c r="A1583" s="81" t="n">
        <v>45905</v>
      </c>
      <c r="B1583" s="78" t="n">
        <v>0.3979166666666666</v>
      </c>
      <c r="C1583" s="5" t="inlineStr">
        <is>
          <t>Safeway</t>
        </is>
      </c>
      <c r="D1583" s="5" t="n">
        <v>1</v>
      </c>
      <c r="F1583" s="16" t="inlineStr">
        <is>
          <t>#138995292</t>
        </is>
      </c>
      <c r="G1583" s="10" t="n"/>
      <c r="H1583" s="9" t="inlineStr">
        <is>
          <t>**DISCOUNT** Sausage</t>
        </is>
      </c>
      <c r="I1583" s="9" t="n">
        <v>32</v>
      </c>
      <c r="J1583" s="9" t="inlineStr">
        <is>
          <t>oz</t>
        </is>
      </c>
      <c r="K1583" s="9" t="n">
        <v>-7.57</v>
      </c>
    </row>
    <row r="1584" ht="15" customFormat="1" customHeight="1" s="5">
      <c r="A1584" s="81" t="n">
        <v>45905</v>
      </c>
      <c r="B1584" s="78" t="n">
        <v>0.3979166666666666</v>
      </c>
      <c r="C1584" s="5" t="inlineStr">
        <is>
          <t>Safeway</t>
        </is>
      </c>
      <c r="D1584" s="5" t="n">
        <v>1</v>
      </c>
      <c r="F1584" s="16" t="inlineStr">
        <is>
          <t>#138995292</t>
        </is>
      </c>
      <c r="G1584" s="10" t="n"/>
      <c r="H1584" s="18" t="inlineStr">
        <is>
          <t>Signature SELECT Medium Fresca Salsa - 16 Oz</t>
        </is>
      </c>
      <c r="I1584" s="9" t="n">
        <v>16</v>
      </c>
      <c r="J1584" s="9" t="inlineStr">
        <is>
          <t>oz</t>
        </is>
      </c>
      <c r="K1584" s="9" t="n">
        <v>4.99</v>
      </c>
    </row>
    <row r="1585" ht="15" customFormat="1" customHeight="1" s="5">
      <c r="A1585" s="81" t="n">
        <v>45905</v>
      </c>
      <c r="B1585" s="78" t="n">
        <v>0.3979166666666666</v>
      </c>
      <c r="C1585" s="5" t="inlineStr">
        <is>
          <t>Safeway</t>
        </is>
      </c>
      <c r="D1585" s="5" t="n">
        <v>1</v>
      </c>
      <c r="F1585" s="16" t="inlineStr">
        <is>
          <t>#138995292</t>
        </is>
      </c>
      <c r="G1585" s="10" t="n"/>
      <c r="H1585" s="9" t="inlineStr">
        <is>
          <t>**DISCOUNT** Salsa</t>
        </is>
      </c>
      <c r="I1585" s="9" t="n">
        <v>16</v>
      </c>
      <c r="J1585" s="9" t="inlineStr">
        <is>
          <t>oz</t>
        </is>
      </c>
      <c r="K1585" s="9" t="n">
        <v>-1.29</v>
      </c>
    </row>
    <row r="1586" ht="15" customFormat="1" customHeight="1" s="5">
      <c r="A1586" s="81" t="n">
        <v>45905</v>
      </c>
      <c r="B1586" s="78" t="n">
        <v>0.3979166666666666</v>
      </c>
      <c r="C1586" s="5" t="inlineStr">
        <is>
          <t>Safeway</t>
        </is>
      </c>
      <c r="D1586" s="5" t="n">
        <v>1</v>
      </c>
      <c r="F1586" s="16" t="inlineStr">
        <is>
          <t>#138995292</t>
        </is>
      </c>
      <c r="G1586" s="10" t="n"/>
      <c r="H1586" s="18" t="inlineStr">
        <is>
          <t>Mission Super Soft Yellow Corn Tortillas - 30 Count</t>
        </is>
      </c>
      <c r="I1586" s="9" t="n">
        <v>30</v>
      </c>
      <c r="J1586" s="9" t="inlineStr">
        <is>
          <t>cnt</t>
        </is>
      </c>
      <c r="K1586" s="9" t="n">
        <v>3.29</v>
      </c>
    </row>
    <row r="1587" ht="15" customFormat="1" customHeight="1" s="5">
      <c r="A1587" s="81" t="n">
        <v>45905</v>
      </c>
      <c r="B1587" s="78" t="n">
        <v>0.3979166666666666</v>
      </c>
      <c r="C1587" s="5" t="inlineStr">
        <is>
          <t>Safeway</t>
        </is>
      </c>
      <c r="D1587" s="5" t="n">
        <v>1</v>
      </c>
      <c r="F1587" s="16" t="inlineStr">
        <is>
          <t>#138995292</t>
        </is>
      </c>
      <c r="G1587" s="10" t="n"/>
      <c r="H1587" s="9" t="inlineStr">
        <is>
          <t>**DISCOUNT** Tortillas</t>
        </is>
      </c>
      <c r="I1587" s="9" t="n">
        <v>30</v>
      </c>
      <c r="J1587" s="9" t="inlineStr">
        <is>
          <t>cnt</t>
        </is>
      </c>
      <c r="K1587" s="9" t="n">
        <v>-0.85</v>
      </c>
    </row>
    <row r="1588" ht="15" customFormat="1" customHeight="1" s="5">
      <c r="A1588" s="81" t="n">
        <v>45905</v>
      </c>
      <c r="B1588" s="78" t="n">
        <v>0.3979166666666666</v>
      </c>
      <c r="C1588" s="5" t="inlineStr">
        <is>
          <t>Safeway</t>
        </is>
      </c>
      <c r="D1588" s="5" t="n">
        <v>1</v>
      </c>
      <c r="F1588" s="16" t="inlineStr">
        <is>
          <t>#138995292</t>
        </is>
      </c>
      <c r="G1588" s="10" t="n"/>
      <c r="H1588" s="18" t="inlineStr">
        <is>
          <t>THREE Golden Sweet Potato/Yam With Orange Skin &amp; Orange Flesh</t>
        </is>
      </c>
      <c r="I1588" s="9" t="n">
        <v>3</v>
      </c>
      <c r="J1588" s="9" t="inlineStr">
        <is>
          <t>cnt</t>
        </is>
      </c>
      <c r="K1588" s="9" t="n">
        <v>6.46</v>
      </c>
    </row>
    <row r="1589" ht="15" customFormat="1" customHeight="1" s="5">
      <c r="A1589" s="81" t="n">
        <v>45905</v>
      </c>
      <c r="B1589" s="78" t="n">
        <v>0.3979166666666666</v>
      </c>
      <c r="C1589" s="5" t="inlineStr">
        <is>
          <t>Safeway</t>
        </is>
      </c>
      <c r="D1589" s="5" t="n">
        <v>1</v>
      </c>
      <c r="F1589" s="16" t="inlineStr">
        <is>
          <t>#138995292</t>
        </is>
      </c>
      <c r="G1589" s="10" t="n"/>
      <c r="H1589" s="9" t="inlineStr">
        <is>
          <t>**DISCOUNT** Sweet Potato/Yams</t>
        </is>
      </c>
      <c r="I1589" s="9" t="n">
        <v>3</v>
      </c>
      <c r="J1589" s="9" t="inlineStr">
        <is>
          <t>cnt</t>
        </is>
      </c>
      <c r="K1589" s="9" t="n">
        <v>-1.67</v>
      </c>
    </row>
    <row r="1590" ht="15" customFormat="1" customHeight="1" s="5">
      <c r="A1590" s="81" t="n">
        <v>45905</v>
      </c>
      <c r="B1590" s="78" t="n">
        <v>0.3979166666666666</v>
      </c>
      <c r="C1590" s="5" t="inlineStr">
        <is>
          <t>Safeway</t>
        </is>
      </c>
      <c r="D1590" s="5" t="n">
        <v>1</v>
      </c>
      <c r="F1590" s="16" t="inlineStr">
        <is>
          <t>#138995292</t>
        </is>
      </c>
      <c r="G1590" s="10" t="n"/>
      <c r="H1590" s="9" t="inlineStr">
        <is>
          <t>Tax</t>
        </is>
      </c>
      <c r="I1590" s="9" t="n">
        <v>10</v>
      </c>
      <c r="J1590" s="9" t="inlineStr">
        <is>
          <t>cnt</t>
        </is>
      </c>
      <c r="K1590" s="9" t="n">
        <v>0</v>
      </c>
    </row>
    <row r="1591" ht="15" customFormat="1" customHeight="1" s="5">
      <c r="A1591" s="81" t="n">
        <v>45905</v>
      </c>
      <c r="B1591" s="82" t="n">
        <v>0.2916666666666667</v>
      </c>
      <c r="C1591" s="5" t="inlineStr">
        <is>
          <t>Nourish Dietician App</t>
        </is>
      </c>
      <c r="D1591" s="5" t="n">
        <v>1</v>
      </c>
      <c r="F1591" s="6" t="inlineStr">
        <is>
          <t>None_FullyCovered</t>
        </is>
      </c>
      <c r="G1591" s="15" t="inlineStr">
        <is>
          <t>2025248BO2566</t>
        </is>
      </c>
      <c r="H1591" s="9" t="inlineStr">
        <is>
          <t>9/5 Nourish follow-up call (Lauren Jamal)</t>
        </is>
      </c>
      <c r="I1591" s="9" t="n"/>
      <c r="J1591" s="9" t="n"/>
      <c r="K1591" s="9" t="n">
        <v>0</v>
      </c>
    </row>
    <row r="1592" ht="15" customFormat="1" customHeight="1" s="5">
      <c r="A1592" s="81" t="n">
        <v>45904</v>
      </c>
      <c r="B1592" s="78" t="n">
        <v>0.9041666666666667</v>
      </c>
      <c r="C1592" s="5" t="inlineStr">
        <is>
          <t>Amazon</t>
        </is>
      </c>
      <c r="D1592" s="5" t="n">
        <v>1</v>
      </c>
      <c r="F1592" s="6" t="inlineStr">
        <is>
          <t>111-7257435-4833847</t>
        </is>
      </c>
      <c r="G1592" s="15" t="n"/>
      <c r="H1592" s="18" t="inlineStr">
        <is>
          <t>SilverWorks! Wool Dryer Balls Laundry Reusable - Odor Eliminating Dryer Laundry Balls with Silver Technology - Natural Fabric Softener and Static Reducer, Reduce Drying Time and Energy Costs - 4 Pack</t>
        </is>
      </c>
      <c r="I1592" s="9" t="n">
        <v>4</v>
      </c>
      <c r="J1592" s="9" t="inlineStr">
        <is>
          <t>cnt</t>
        </is>
      </c>
      <c r="K1592" s="9" t="n">
        <v>17.99</v>
      </c>
    </row>
    <row r="1593" ht="15" customFormat="1" customHeight="1" s="5">
      <c r="A1593" s="81" t="n">
        <v>45904</v>
      </c>
      <c r="B1593" s="78" t="n">
        <v>0.9041666666666667</v>
      </c>
      <c r="C1593" s="5" t="inlineStr">
        <is>
          <t>Amazon</t>
        </is>
      </c>
      <c r="D1593" s="5" t="n">
        <v>1</v>
      </c>
      <c r="F1593" s="6" t="inlineStr">
        <is>
          <t>111-7257435-4833847</t>
        </is>
      </c>
      <c r="G1593" s="15" t="n"/>
      <c r="H1593" s="18" t="inlineStr">
        <is>
          <t>Hydroponics Growing System Indoor Garden: Herb Garden Kit Indoor with LED Grow Light Quiet Smart Water Pump Automatic Timer Healthy Fresh Herbs Vegetables - Hydroponic Planter for Home Kitchen Office</t>
        </is>
      </c>
      <c r="I1593" s="9" t="n">
        <v>1</v>
      </c>
      <c r="J1593" s="9" t="inlineStr">
        <is>
          <t>cnt</t>
        </is>
      </c>
      <c r="K1593" s="9" t="n">
        <v>35.99</v>
      </c>
    </row>
    <row r="1594" ht="15" customFormat="1" customHeight="1" s="5">
      <c r="A1594" s="81" t="n">
        <v>45904</v>
      </c>
      <c r="B1594" s="78" t="n">
        <v>0.9041666666666667</v>
      </c>
      <c r="C1594" s="5" t="inlineStr">
        <is>
          <t>Amazon</t>
        </is>
      </c>
      <c r="D1594" s="5" t="n">
        <v>1</v>
      </c>
      <c r="F1594" s="6" t="inlineStr">
        <is>
          <t>111-7257435-4833847</t>
        </is>
      </c>
      <c r="G1594" s="15" t="n"/>
      <c r="H1594" s="18" t="inlineStr">
        <is>
          <t>Herb Seeds | 5 Invidiual Packs | 2025 Season | Non-GMO | Basil, Dill, Mint, Parsley &amp; Thyme! | for Planting Indoor &amp; Outdoor | by Family Sown</t>
        </is>
      </c>
      <c r="I1594" s="9" t="n">
        <v>5</v>
      </c>
      <c r="J1594" s="9" t="inlineStr">
        <is>
          <t>cnt</t>
        </is>
      </c>
      <c r="K1594" s="9" t="n">
        <v>5.99</v>
      </c>
    </row>
    <row r="1595" ht="15" customFormat="1" customHeight="1" s="5">
      <c r="A1595" s="81" t="n">
        <v>45904</v>
      </c>
      <c r="B1595" s="78" t="n">
        <v>0.9041666666666667</v>
      </c>
      <c r="C1595" s="5" t="inlineStr">
        <is>
          <t>Amazon</t>
        </is>
      </c>
      <c r="D1595" s="5" t="n">
        <v>1</v>
      </c>
      <c r="F1595" s="6" t="inlineStr">
        <is>
          <t>111-7257435-4833847</t>
        </is>
      </c>
      <c r="G1595" s="15" t="n"/>
      <c r="H1595" s="9" t="inlineStr">
        <is>
          <t>Gift card for Emily Carreno Birthday Gift</t>
        </is>
      </c>
      <c r="I1595" s="9" t="n">
        <v>1</v>
      </c>
      <c r="J1595" s="9" t="inlineStr">
        <is>
          <t>cnt</t>
        </is>
      </c>
      <c r="K1595" s="9" t="n">
        <v>-21.89</v>
      </c>
    </row>
    <row r="1596" ht="15" customFormat="1" customHeight="1" s="5">
      <c r="A1596" s="81" t="n">
        <v>45904</v>
      </c>
      <c r="B1596" s="78" t="n">
        <v>0.9041666666666667</v>
      </c>
      <c r="C1596" s="5" t="inlineStr">
        <is>
          <t>Amazon</t>
        </is>
      </c>
      <c r="D1596" s="5" t="n">
        <v>1</v>
      </c>
      <c r="F1596" s="6" t="inlineStr">
        <is>
          <t>111-7257435-4833847</t>
        </is>
      </c>
      <c r="G1596" s="15" t="n"/>
      <c r="H1596" s="9" t="inlineStr">
        <is>
          <t>**DISCOUNT** Amazon Rewards Points</t>
        </is>
      </c>
      <c r="I1596" s="9" t="n">
        <v>1</v>
      </c>
      <c r="J1596" s="9" t="inlineStr">
        <is>
          <t>cnt</t>
        </is>
      </c>
      <c r="K1596" s="9" t="n">
        <v>3.18</v>
      </c>
    </row>
    <row r="1597" ht="15" customFormat="1" customHeight="1" s="5">
      <c r="A1597" s="81" t="n">
        <v>45904</v>
      </c>
      <c r="B1597" s="78" t="n">
        <v>0.9041666666666667</v>
      </c>
      <c r="C1597" s="5" t="inlineStr">
        <is>
          <t>Amazon</t>
        </is>
      </c>
      <c r="D1597" s="5" t="n">
        <v>1</v>
      </c>
      <c r="F1597" s="6" t="inlineStr">
        <is>
          <t>111-7257435-4833847</t>
        </is>
      </c>
      <c r="G1597" s="15" t="n"/>
      <c r="H1597" s="9" t="inlineStr">
        <is>
          <t>Tax</t>
        </is>
      </c>
      <c r="I1597" s="9" t="n">
        <v>3</v>
      </c>
      <c r="J1597" s="9" t="inlineStr">
        <is>
          <t>cnt</t>
        </is>
      </c>
      <c r="K1597" s="9" t="n">
        <v>-1.41</v>
      </c>
    </row>
    <row r="1598" ht="15" customFormat="1" customHeight="1" s="5">
      <c r="A1598" s="81" t="n">
        <v>45904</v>
      </c>
      <c r="B1598" s="78" t="n">
        <v>0.9041666666666667</v>
      </c>
      <c r="C1598" s="5" t="inlineStr">
        <is>
          <t>Amazon</t>
        </is>
      </c>
      <c r="D1598" s="5" t="n">
        <v>1</v>
      </c>
      <c r="F1598" s="6" t="inlineStr">
        <is>
          <t>111-7257435-4833847</t>
        </is>
      </c>
      <c r="G1598" s="15" t="n"/>
      <c r="H1598" s="9" t="inlineStr">
        <is>
          <t>Gift card for Emily Carreno Birthday Gift</t>
        </is>
      </c>
      <c r="I1598" s="9" t="n">
        <v>1</v>
      </c>
      <c r="J1598" s="9" t="inlineStr">
        <is>
          <t>cnt</t>
        </is>
      </c>
      <c r="K1598" s="9" t="n">
        <v>21.89</v>
      </c>
    </row>
    <row r="1599" ht="15" customFormat="1" customHeight="1" s="5">
      <c r="A1599" s="81" t="n">
        <v>45904</v>
      </c>
      <c r="B1599" s="78" t="n">
        <v>0.6236111111111111</v>
      </c>
      <c r="C1599" s="5" t="inlineStr">
        <is>
          <t>In Person</t>
        </is>
      </c>
      <c r="D1599" s="5" t="n">
        <v>1</v>
      </c>
      <c r="F1599" s="16" t="inlineStr">
        <is>
          <t>NA_didNotGetChargedByAnyone</t>
        </is>
      </c>
      <c r="G1599" s="10" t="n"/>
      <c r="H1599" s="9" t="inlineStr">
        <is>
          <t>BCBS SAYS: $1983.55 paid… what is this surplus charge BCBS records??</t>
        </is>
      </c>
      <c r="I1599" s="9" t="n"/>
      <c r="J1599" s="9" t="n"/>
      <c r="K1599" s="9" t="n">
        <v>-47.71</v>
      </c>
    </row>
    <row r="1600" ht="15" customFormat="1" customHeight="1" s="5">
      <c r="A1600" s="81" t="n">
        <v>45904</v>
      </c>
      <c r="B1600" s="78" t="n">
        <v>0.6236111111111111</v>
      </c>
      <c r="C1600" s="5" t="inlineStr">
        <is>
          <t>In Person</t>
        </is>
      </c>
      <c r="D1600" s="5" t="n">
        <v>1</v>
      </c>
      <c r="F1600" s="16" t="inlineStr">
        <is>
          <t>NA_didNotGetChargedByAnyone</t>
        </is>
      </c>
      <c r="G1600" s="10" t="n"/>
      <c r="H1600" s="9" t="inlineStr">
        <is>
          <t>BCBS SAYS: $1983.55 paid… what is this surplus charge BCBS records??</t>
        </is>
      </c>
      <c r="I1600" s="9" t="n"/>
      <c r="J1600" s="9" t="n"/>
      <c r="K1600" s="9" t="n">
        <v>47.71</v>
      </c>
    </row>
    <row r="1601" ht="15" customFormat="1" customHeight="1" s="5">
      <c r="A1601" s="81" t="n">
        <v>45904</v>
      </c>
      <c r="B1601" s="82" t="n">
        <v>0.4826388888888889</v>
      </c>
      <c r="C1601" s="5" t="inlineStr">
        <is>
          <t>FedEx</t>
        </is>
      </c>
      <c r="E1601" s="5" t="n">
        <v>1</v>
      </c>
      <c r="F1601" s="6" t="inlineStr">
        <is>
          <t>2020486858806346</t>
        </is>
      </c>
      <c r="G1601" s="15" t="inlineStr">
        <is>
          <t>0376</t>
        </is>
      </c>
      <c r="H1601" s="9" t="inlineStr">
        <is>
          <t>Single Cut of Book</t>
        </is>
      </c>
      <c r="I1601" s="9" t="n">
        <v>1</v>
      </c>
      <c r="J1601" s="9" t="inlineStr">
        <is>
          <t>cnt</t>
        </is>
      </c>
      <c r="K1601" s="9" t="n">
        <v>1.75</v>
      </c>
    </row>
    <row r="1602" ht="15" customFormat="1" customHeight="1" s="5">
      <c r="A1602" s="81" t="n">
        <v>45904</v>
      </c>
      <c r="B1602" s="82" t="n">
        <v>0.4826388888888889</v>
      </c>
      <c r="C1602" s="5" t="inlineStr">
        <is>
          <t>FedEx</t>
        </is>
      </c>
      <c r="E1602" s="5" t="n">
        <v>1</v>
      </c>
      <c r="F1602" s="6" t="inlineStr">
        <is>
          <t>2020486858806346</t>
        </is>
      </c>
      <c r="G1602" s="15" t="inlineStr">
        <is>
          <t>52238</t>
        </is>
      </c>
      <c r="H1602" s="9" t="inlineStr">
        <is>
          <t>FS labor surcharge</t>
        </is>
      </c>
      <c r="I1602" s="9" t="n">
        <v>1</v>
      </c>
      <c r="J1602" s="9" t="inlineStr">
        <is>
          <t>cnt</t>
        </is>
      </c>
      <c r="K1602" s="9" t="n">
        <v>2.5</v>
      </c>
    </row>
    <row r="1603" ht="15" customFormat="1" customHeight="1" s="5">
      <c r="A1603" s="81" t="n">
        <v>45904</v>
      </c>
      <c r="B1603" s="82" t="n">
        <v>0.4826388888888889</v>
      </c>
      <c r="C1603" s="5" t="inlineStr">
        <is>
          <t>FedEx</t>
        </is>
      </c>
      <c r="E1603" s="5" t="n">
        <v>1</v>
      </c>
      <c r="F1603" s="6" t="inlineStr">
        <is>
          <t>2020486858806346</t>
        </is>
      </c>
      <c r="G1603" s="15" t="inlineStr">
        <is>
          <t>1282</t>
        </is>
      </c>
      <c r="H1603" s="9" t="inlineStr">
        <is>
          <t>Coil, No cover</t>
        </is>
      </c>
      <c r="I1603" s="9" t="n">
        <v>1</v>
      </c>
      <c r="J1603" s="9" t="inlineStr">
        <is>
          <t>cnt</t>
        </is>
      </c>
      <c r="K1603" s="9" t="n">
        <v>4.04</v>
      </c>
    </row>
    <row r="1604" ht="15" customFormat="1" customHeight="1" s="5">
      <c r="A1604" s="81" t="n">
        <v>45904</v>
      </c>
      <c r="B1604" s="82" t="n">
        <v>0.4826388888888889</v>
      </c>
      <c r="C1604" s="5" t="inlineStr">
        <is>
          <t>FedEx</t>
        </is>
      </c>
      <c r="E1604" s="5" t="n">
        <v>1</v>
      </c>
      <c r="F1604" s="6" t="inlineStr">
        <is>
          <t>2020486858806346</t>
        </is>
      </c>
      <c r="G1604" s="10" t="n"/>
      <c r="H1604" s="9" t="inlineStr">
        <is>
          <t>Tax</t>
        </is>
      </c>
      <c r="I1604" s="9" t="n">
        <v>1</v>
      </c>
      <c r="J1604" s="9" t="inlineStr">
        <is>
          <t>cnt</t>
        </is>
      </c>
      <c r="K1604" s="9" t="n">
        <v>0.67</v>
      </c>
    </row>
    <row r="1605" ht="15" customFormat="1" customHeight="1" s="5">
      <c r="A1605" s="81" t="n">
        <v>45904</v>
      </c>
      <c r="B1605" s="82" t="n">
        <v>0.4743055555555555</v>
      </c>
      <c r="C1605" s="5" t="inlineStr">
        <is>
          <t>Burger King</t>
        </is>
      </c>
      <c r="E1605" s="5" t="n">
        <v>1</v>
      </c>
      <c r="F1605" s="6" t="inlineStr">
        <is>
          <t>#5</t>
        </is>
      </c>
      <c r="G1605" s="10" t="n"/>
      <c r="H1605" s="9" t="inlineStr">
        <is>
          <t>8-piece mozzerella fries</t>
        </is>
      </c>
      <c r="I1605" s="9" t="n">
        <v>8</v>
      </c>
      <c r="J1605" s="9" t="inlineStr">
        <is>
          <t>cnt</t>
        </is>
      </c>
      <c r="K1605" s="9" t="n">
        <v>3.99</v>
      </c>
    </row>
    <row r="1606" ht="15" customFormat="1" customHeight="1" s="5">
      <c r="A1606" s="81" t="n">
        <v>45904</v>
      </c>
      <c r="B1606" s="82" t="n">
        <v>0.4743055555555555</v>
      </c>
      <c r="C1606" s="5" t="inlineStr">
        <is>
          <t>Burger King</t>
        </is>
      </c>
      <c r="E1606" s="5" t="n">
        <v>1</v>
      </c>
      <c r="F1606" s="6" t="inlineStr">
        <is>
          <t>#5</t>
        </is>
      </c>
      <c r="G1606" s="10" t="n"/>
      <c r="H1606" s="9" t="inlineStr">
        <is>
          <t>Whopper</t>
        </is>
      </c>
      <c r="I1606" s="9" t="n">
        <v>1</v>
      </c>
      <c r="J1606" s="9" t="inlineStr">
        <is>
          <t>cnt</t>
        </is>
      </c>
      <c r="K1606" s="9" t="n">
        <v>6.99</v>
      </c>
    </row>
    <row r="1607" ht="15" customFormat="1" customHeight="1" s="5">
      <c r="A1607" s="81" t="n">
        <v>45904</v>
      </c>
      <c r="B1607" s="82" t="n">
        <v>0.4743055555555555</v>
      </c>
      <c r="C1607" s="5" t="inlineStr">
        <is>
          <t>Burger King</t>
        </is>
      </c>
      <c r="E1607" s="5" t="n">
        <v>1</v>
      </c>
      <c r="F1607" s="6" t="inlineStr">
        <is>
          <t>#5</t>
        </is>
      </c>
      <c r="G1607" s="10" t="n"/>
      <c r="H1607" s="9" t="inlineStr">
        <is>
          <t>**DISCOUNT** Free Whopper with Walmart+</t>
        </is>
      </c>
      <c r="I1607" s="9" t="n">
        <v>1</v>
      </c>
      <c r="J1607" s="9" t="inlineStr">
        <is>
          <t>cnt</t>
        </is>
      </c>
      <c r="K1607" s="9" t="n">
        <v>-6.99</v>
      </c>
    </row>
    <row r="1608" ht="15" customFormat="1" customHeight="1" s="5">
      <c r="A1608" s="81" t="n">
        <v>45904</v>
      </c>
      <c r="B1608" s="82" t="n">
        <v>0.4743055555555555</v>
      </c>
      <c r="C1608" s="5" t="inlineStr">
        <is>
          <t>Burger King</t>
        </is>
      </c>
      <c r="E1608" s="5" t="n">
        <v>1</v>
      </c>
      <c r="F1608" s="6" t="inlineStr">
        <is>
          <t>#5</t>
        </is>
      </c>
      <c r="G1608" s="10" t="n"/>
      <c r="H1608" s="9" t="inlineStr">
        <is>
          <t>Tax 8.05%</t>
        </is>
      </c>
      <c r="I1608" s="9" t="n">
        <v>2</v>
      </c>
      <c r="J1608" s="9" t="inlineStr">
        <is>
          <t>cnt</t>
        </is>
      </c>
      <c r="K1608" s="9" t="n">
        <v>0.32</v>
      </c>
    </row>
    <row r="1609" ht="15" customFormat="1" customHeight="1" s="5">
      <c r="A1609" s="81" t="n">
        <v>45904</v>
      </c>
      <c r="B1609" s="82" t="n">
        <v>0.4590277777777778</v>
      </c>
      <c r="C1609" s="5" t="inlineStr">
        <is>
          <t>iN-Tea, Littleton</t>
        </is>
      </c>
      <c r="E1609" s="5" t="n">
        <v>1</v>
      </c>
      <c r="F1609" s="6" t="inlineStr">
        <is>
          <t>#2281051009042512142</t>
        </is>
      </c>
      <c r="G1609" s="10" t="n"/>
      <c r="H1609" s="9" t="inlineStr">
        <is>
          <t>50g of Candied Pistachio Pu'Erh Loose Leaf Tea - High Caffeine</t>
        </is>
      </c>
      <c r="I1609" s="9" t="n">
        <v>50</v>
      </c>
      <c r="J1609" s="9" t="inlineStr">
        <is>
          <t>g</t>
        </is>
      </c>
      <c r="K1609" s="9" t="n">
        <v>12.65</v>
      </c>
    </row>
    <row r="1610" ht="15" customFormat="1" customHeight="1" s="5">
      <c r="A1610" s="81" t="n">
        <v>45904</v>
      </c>
      <c r="B1610" s="82" t="n">
        <v>0.4590277777777778</v>
      </c>
      <c r="C1610" s="5" t="inlineStr">
        <is>
          <t>iN-Tea, Littleton</t>
        </is>
      </c>
      <c r="E1610" s="5" t="n">
        <v>1</v>
      </c>
      <c r="F1610" s="6" t="inlineStr">
        <is>
          <t>#2281051009042512142</t>
        </is>
      </c>
      <c r="G1610" s="10" t="n"/>
      <c r="H1610" s="9" t="inlineStr">
        <is>
          <t>50g of Caramel Toffee Oolong Loose Leaf Tea - Moderate Caffeine</t>
        </is>
      </c>
      <c r="I1610" s="9" t="n">
        <v>50</v>
      </c>
      <c r="J1610" s="9" t="inlineStr">
        <is>
          <t>g</t>
        </is>
      </c>
      <c r="K1610" s="9" t="n">
        <v>10.25</v>
      </c>
    </row>
    <row r="1611" ht="15" customFormat="1" customHeight="1" s="5">
      <c r="A1611" s="81" t="n">
        <v>45904</v>
      </c>
      <c r="B1611" s="82" t="n">
        <v>0.4590277777777778</v>
      </c>
      <c r="C1611" s="5" t="inlineStr">
        <is>
          <t>iN-Tea, Littleton</t>
        </is>
      </c>
      <c r="E1611" s="5" t="n">
        <v>1</v>
      </c>
      <c r="F1611" s="6" t="inlineStr">
        <is>
          <t>#2281051009042512142</t>
        </is>
      </c>
      <c r="G1611" s="10" t="n"/>
      <c r="H1611" s="9" t="inlineStr">
        <is>
          <t>Tax</t>
        </is>
      </c>
      <c r="I1611" s="9" t="n">
        <v>100</v>
      </c>
      <c r="J1611" s="9" t="inlineStr">
        <is>
          <t>g</t>
        </is>
      </c>
      <c r="K1611" s="9" t="n">
        <v>0</v>
      </c>
    </row>
    <row r="1612" ht="15" customFormat="1" customHeight="1" s="5">
      <c r="A1612" s="81" t="n">
        <v>45904</v>
      </c>
      <c r="B1612" s="82" t="n">
        <v>0.2916666666666667</v>
      </c>
      <c r="C1612" s="5" t="inlineStr">
        <is>
          <t>US Tax Witholding</t>
        </is>
      </c>
      <c r="D1612" s="5" t="n">
        <v>1</v>
      </c>
      <c r="F1612" s="6" t="inlineStr">
        <is>
          <t>RTX_Paycheck_25_44</t>
        </is>
      </c>
      <c r="G1612" s="7" t="n"/>
      <c r="H1612" s="9" t="inlineStr">
        <is>
          <t>Federal Income Tax</t>
        </is>
      </c>
      <c r="I1612" s="9" t="n"/>
      <c r="J1612" s="9" t="n"/>
      <c r="K1612" s="9" t="n">
        <v>327.49</v>
      </c>
    </row>
    <row r="1613" ht="15" customFormat="1" customHeight="1" s="5">
      <c r="A1613" s="81" t="n">
        <v>45904</v>
      </c>
      <c r="B1613" s="82" t="n">
        <v>0.2916666666666667</v>
      </c>
      <c r="C1613" s="5" t="inlineStr">
        <is>
          <t>US Tax Witholding</t>
        </is>
      </c>
      <c r="D1613" s="5" t="n">
        <v>1</v>
      </c>
      <c r="F1613" s="6" t="inlineStr">
        <is>
          <t>RTX_Paycheck_25_44</t>
        </is>
      </c>
      <c r="G1613" s="7" t="n"/>
      <c r="H1613" s="9" t="inlineStr">
        <is>
          <t>Social Security Tax</t>
        </is>
      </c>
      <c r="I1613" s="9" t="n"/>
      <c r="J1613" s="9" t="n"/>
      <c r="K1613" s="9" t="n">
        <v>274.76</v>
      </c>
    </row>
    <row r="1614" ht="15" customFormat="1" customHeight="1" s="5">
      <c r="A1614" s="81" t="n">
        <v>45904</v>
      </c>
      <c r="B1614" s="82" t="n">
        <v>0.2916666666666667</v>
      </c>
      <c r="C1614" s="5" t="inlineStr">
        <is>
          <t>US Tax Witholding</t>
        </is>
      </c>
      <c r="D1614" s="5" t="n">
        <v>1</v>
      </c>
      <c r="F1614" s="6" t="inlineStr">
        <is>
          <t>RTX_Paycheck_25_44</t>
        </is>
      </c>
      <c r="G1614" s="7" t="n"/>
      <c r="H1614" s="9" t="inlineStr">
        <is>
          <t>Medicare Tax</t>
        </is>
      </c>
      <c r="I1614" s="9" t="n"/>
      <c r="J1614" s="9" t="n"/>
      <c r="K1614" s="9" t="n">
        <v>64.26000000000001</v>
      </c>
    </row>
    <row r="1615" ht="15" customFormat="1" customHeight="1" s="5">
      <c r="A1615" s="81" t="n">
        <v>45904</v>
      </c>
      <c r="B1615" s="82" t="n">
        <v>0.2916666666666667</v>
      </c>
      <c r="C1615" s="5" t="inlineStr">
        <is>
          <t>Raytheon</t>
        </is>
      </c>
      <c r="D1615" s="5" t="n">
        <v>1</v>
      </c>
      <c r="F1615" s="6" t="inlineStr">
        <is>
          <t>RTX_Paycheck_25_44</t>
        </is>
      </c>
      <c r="G1615" s="17" t="inlineStr">
        <is>
          <t>XXXX3523</t>
        </is>
      </c>
      <c r="H1615" s="9" t="inlineStr">
        <is>
          <t>Net Paycheck [Aug 16 - Aug 29]</t>
        </is>
      </c>
      <c r="I1615" s="9" t="n"/>
      <c r="J1615" s="9" t="n"/>
      <c r="K1615" s="9" t="n">
        <v>2602.64</v>
      </c>
    </row>
    <row r="1616" ht="15" customFormat="1" customHeight="1" s="5">
      <c r="A1616" s="81" t="n">
        <v>45904</v>
      </c>
      <c r="B1616" s="82" t="n">
        <v>0.2916666666666667</v>
      </c>
      <c r="C1616" s="5" t="inlineStr">
        <is>
          <t>Raytheon</t>
        </is>
      </c>
      <c r="D1616" s="5" t="n">
        <v>1</v>
      </c>
      <c r="F1616" s="6" t="inlineStr">
        <is>
          <t>RTX_Paycheck_25_44</t>
        </is>
      </c>
      <c r="G1616" s="7" t="n"/>
      <c r="H1616" s="9" t="inlineStr">
        <is>
          <t>RTX Direct Deposit -- cancelling offset</t>
        </is>
      </c>
      <c r="I1616" s="9" t="n"/>
      <c r="J1616" s="9" t="n"/>
      <c r="K1616" s="9" t="n">
        <v>-2602.65</v>
      </c>
    </row>
    <row r="1617" ht="15" customFormat="1" customHeight="1" s="5">
      <c r="A1617" s="81" t="n">
        <v>45904</v>
      </c>
      <c r="B1617" s="82" t="n">
        <v>0.2916666666666667</v>
      </c>
      <c r="C1617" s="5" t="inlineStr">
        <is>
          <t>Raytheon</t>
        </is>
      </c>
      <c r="D1617" s="5" t="n">
        <v>1</v>
      </c>
      <c r="F1617" s="6" t="inlineStr">
        <is>
          <t>RTX_Paycheck_25_44</t>
        </is>
      </c>
      <c r="G1617" s="7" t="n"/>
      <c r="H1617" s="9" t="inlineStr">
        <is>
          <t>Gross Paycheck [Aug 16 - Aug 29]</t>
        </is>
      </c>
      <c r="I1617" s="9" t="n"/>
      <c r="J1617" s="9" t="n"/>
      <c r="K1617" s="9" t="n">
        <v>-4865.34</v>
      </c>
    </row>
    <row r="1618" ht="15" customFormat="1" customHeight="1" s="5">
      <c r="A1618" s="81" t="n">
        <v>45904</v>
      </c>
      <c r="B1618" s="82" t="n">
        <v>0.2916666666666667</v>
      </c>
      <c r="C1618" s="5" t="inlineStr">
        <is>
          <t>Raytheon</t>
        </is>
      </c>
      <c r="D1618" s="5" t="n">
        <v>1</v>
      </c>
      <c r="F1618" s="6" t="inlineStr">
        <is>
          <t>RTX_Paycheck_25_44</t>
        </is>
      </c>
      <c r="G1618" s="7" t="n"/>
      <c r="H1618" s="9" t="inlineStr">
        <is>
          <t>Ed(ucation) Assi(tance) Offset</t>
        </is>
      </c>
      <c r="I1618" s="9" t="n"/>
      <c r="J1618" s="9" t="n"/>
      <c r="K1618" s="9" t="n">
        <v>711.63</v>
      </c>
    </row>
    <row r="1619" ht="15" customFormat="1" customHeight="1" s="5">
      <c r="A1619" s="81" t="n">
        <v>45904</v>
      </c>
      <c r="B1619" s="82" t="n">
        <v>0.2916666666666667</v>
      </c>
      <c r="C1619" s="5" t="inlineStr">
        <is>
          <t>Parents Gift Account</t>
        </is>
      </c>
      <c r="D1619" s="5" t="n">
        <v>1</v>
      </c>
      <c r="F1619" s="6" t="inlineStr">
        <is>
          <t>RTX_Paycheck_25_44</t>
        </is>
      </c>
      <c r="G1619" s="17" t="inlineStr">
        <is>
          <t>XXXX7146</t>
        </is>
      </c>
      <c r="H1619" s="9" t="inlineStr">
        <is>
          <t>Contribution to Parents Gift Account</t>
        </is>
      </c>
      <c r="I1619" s="9" t="n"/>
      <c r="J1619" s="9" t="n"/>
      <c r="K1619" s="9" t="n">
        <v>0.01</v>
      </c>
    </row>
    <row r="1620" ht="15" customFormat="1" customHeight="1" s="5">
      <c r="A1620" s="81" t="n">
        <v>45904</v>
      </c>
      <c r="B1620" s="82" t="n">
        <v>0.2916666666666667</v>
      </c>
      <c r="C1620" s="5" t="inlineStr">
        <is>
          <t>HSA</t>
        </is>
      </c>
      <c r="D1620" s="5" t="n">
        <v>1</v>
      </c>
      <c r="F1620" s="6" t="inlineStr">
        <is>
          <t>RTX_Paycheck_25_44</t>
        </is>
      </c>
      <c r="G1620" s="7" t="n"/>
      <c r="H1620" s="9" t="inlineStr">
        <is>
          <t>Personal contribution to HSA</t>
        </is>
      </c>
      <c r="I1620" s="9" t="n"/>
      <c r="J1620" s="9" t="n"/>
      <c r="K1620" s="9" t="n">
        <v>299.91</v>
      </c>
    </row>
    <row r="1621" ht="15" customFormat="1" customHeight="1" s="5">
      <c r="A1621" s="81" t="n">
        <v>45904</v>
      </c>
      <c r="B1621" s="82" t="n">
        <v>0.2916666666666667</v>
      </c>
      <c r="C1621" s="5" t="inlineStr">
        <is>
          <t>Delta Dental</t>
        </is>
      </c>
      <c r="D1621" s="5" t="n">
        <v>1</v>
      </c>
      <c r="F1621" s="6" t="inlineStr">
        <is>
          <t>RTX_Paycheck_25_44</t>
        </is>
      </c>
      <c r="G1621" s="10" t="n"/>
      <c r="H1621" s="9" t="inlineStr">
        <is>
          <t>Dental Insurance</t>
        </is>
      </c>
      <c r="I1621" s="9" t="n"/>
      <c r="J1621" s="9" t="n"/>
      <c r="K1621" s="9" t="n">
        <v>4.26</v>
      </c>
    </row>
    <row r="1622" ht="15" customFormat="1" customHeight="1" s="5">
      <c r="A1622" s="81" t="n">
        <v>45904</v>
      </c>
      <c r="B1622" s="82" t="n">
        <v>0.2916666666666667</v>
      </c>
      <c r="C1622" s="5" t="inlineStr">
        <is>
          <t>CO Tax Witholding</t>
        </is>
      </c>
      <c r="D1622" s="5" t="n">
        <v>1</v>
      </c>
      <c r="F1622" s="6" t="inlineStr">
        <is>
          <t>RTX_Paycheck_25_44</t>
        </is>
      </c>
      <c r="G1622" s="7" t="n"/>
      <c r="H1622" s="9" t="inlineStr">
        <is>
          <t>CO State Income Tax</t>
        </is>
      </c>
      <c r="I1622" s="9" t="n"/>
      <c r="J1622" s="9" t="n"/>
      <c r="K1622" s="9" t="n">
        <v>177.99</v>
      </c>
    </row>
    <row r="1623" ht="15" customFormat="1" customHeight="1" s="5">
      <c r="A1623" s="81" t="n">
        <v>45904</v>
      </c>
      <c r="B1623" s="82" t="n">
        <v>0.2916666666666667</v>
      </c>
      <c r="C1623" s="5" t="inlineStr">
        <is>
          <t>CO Tax Witholding</t>
        </is>
      </c>
      <c r="D1623" s="5" t="n">
        <v>1</v>
      </c>
      <c r="F1623" s="6" t="inlineStr">
        <is>
          <t>RTX_Paycheck_25_44</t>
        </is>
      </c>
      <c r="G1623" s="7" t="n"/>
      <c r="H1623" s="9" t="inlineStr">
        <is>
          <t>CO Paid Family Leave Insurance</t>
        </is>
      </c>
      <c r="I1623" s="9" t="n"/>
      <c r="J1623" s="9" t="n"/>
      <c r="K1623" s="9" t="n">
        <v>21.89</v>
      </c>
    </row>
    <row r="1624" ht="15" customFormat="1" customHeight="1" s="5">
      <c r="A1624" s="81" t="n">
        <v>45904</v>
      </c>
      <c r="B1624" s="82" t="n">
        <v>0.2916666666666667</v>
      </c>
      <c r="C1624" s="5" t="inlineStr">
        <is>
          <t>Anthem BcBs</t>
        </is>
      </c>
      <c r="D1624" s="5" t="n">
        <v>1</v>
      </c>
      <c r="F1624" s="6" t="inlineStr">
        <is>
          <t>RTX_Paycheck_25_44</t>
        </is>
      </c>
      <c r="G1624" s="7" t="n"/>
      <c r="H1624" s="9" t="inlineStr">
        <is>
          <t>Medical Insurance</t>
        </is>
      </c>
      <c r="I1624" s="9" t="n"/>
      <c r="J1624" s="9" t="n"/>
      <c r="K1624" s="9" t="n">
        <v>131.28</v>
      </c>
    </row>
    <row r="1625" ht="15" customFormat="1" customHeight="1" s="5">
      <c r="A1625" s="81" t="n">
        <v>45904</v>
      </c>
      <c r="B1625" s="82" t="n">
        <v>0.2916666666666667</v>
      </c>
      <c r="C1625" s="5" t="inlineStr">
        <is>
          <t>Alight</t>
        </is>
      </c>
      <c r="D1625" s="5" t="n">
        <v>1</v>
      </c>
      <c r="F1625" s="6" t="inlineStr">
        <is>
          <t>RTX_Paycheck_25_44</t>
        </is>
      </c>
      <c r="G1625" s="7" t="n"/>
      <c r="H1625" s="9" t="inlineStr">
        <is>
          <t>401k Basic -- Traditional</t>
        </is>
      </c>
      <c r="I1625" s="9" t="n"/>
      <c r="J1625" s="9" t="n"/>
      <c r="K1625" s="9" t="n">
        <v>0</v>
      </c>
    </row>
    <row r="1626" ht="15" customFormat="1" customHeight="1" s="5">
      <c r="A1626" s="81" t="n">
        <v>45904</v>
      </c>
      <c r="B1626" s="82" t="n">
        <v>0.2916666666666667</v>
      </c>
      <c r="C1626" s="5" t="inlineStr">
        <is>
          <t>Alight</t>
        </is>
      </c>
      <c r="D1626" s="5" t="n">
        <v>1</v>
      </c>
      <c r="F1626" s="6" t="inlineStr">
        <is>
          <t>RTX_Paycheck_25_44</t>
        </is>
      </c>
      <c r="G1626" s="7" t="n"/>
      <c r="H1626" s="9" t="inlineStr">
        <is>
          <t>Roth 401k Basic</t>
        </is>
      </c>
      <c r="I1626" s="9" t="n"/>
      <c r="J1626" s="9" t="n"/>
      <c r="K1626" s="9" t="n">
        <v>249.22</v>
      </c>
    </row>
    <row r="1627" ht="15" customFormat="1" customHeight="1" s="5">
      <c r="A1627" s="81" t="n">
        <v>45904</v>
      </c>
      <c r="B1627" s="82" t="n">
        <v>0.2673611111111111</v>
      </c>
      <c r="C1627" s="5" t="inlineStr">
        <is>
          <t>Xfinity</t>
        </is>
      </c>
      <c r="D1627" s="5" t="n">
        <v>1</v>
      </c>
      <c r="F1627" s="6" t="n"/>
      <c r="G1627" s="17" t="n"/>
      <c r="H1627" s="9" t="inlineStr">
        <is>
          <t>Internet bill autodraft</t>
        </is>
      </c>
      <c r="I1627" s="5" t="n">
        <v>1</v>
      </c>
      <c r="J1627" s="5" t="inlineStr">
        <is>
          <t>cnt</t>
        </is>
      </c>
      <c r="K1627" s="5" t="n">
        <v>60</v>
      </c>
    </row>
    <row r="1628" ht="15" customFormat="1" customHeight="1" s="5">
      <c r="A1628" s="81" t="n">
        <v>45903</v>
      </c>
      <c r="B1628" s="82" t="n">
        <v>0.2916666666666667</v>
      </c>
      <c r="C1628" s="5" t="inlineStr">
        <is>
          <t>YMCA</t>
        </is>
      </c>
      <c r="D1628" s="5" t="n">
        <v>1</v>
      </c>
      <c r="F1628" s="6" t="inlineStr">
        <is>
          <t>24207175</t>
        </is>
      </c>
      <c r="G1628" s="10" t="n"/>
      <c r="H1628" s="9" t="inlineStr">
        <is>
          <t>September YMCA monthly dues</t>
        </is>
      </c>
      <c r="I1628" s="9" t="n"/>
      <c r="J1628" s="9" t="n"/>
      <c r="K1628" s="9" t="n">
        <v>65</v>
      </c>
    </row>
    <row r="1629" ht="15" customFormat="1" customHeight="1" s="5">
      <c r="A1629" s="81" t="n">
        <v>45902</v>
      </c>
      <c r="B1629" s="82" t="n">
        <v>0.9104166666666667</v>
      </c>
      <c r="C1629" s="5" t="inlineStr">
        <is>
          <t>Amazon</t>
        </is>
      </c>
      <c r="D1629" s="5" t="n">
        <v>1</v>
      </c>
      <c r="F1629" s="6" t="inlineStr">
        <is>
          <t>111-9646327-6216202</t>
        </is>
      </c>
      <c r="G1629" s="10" t="n"/>
      <c r="H1629" s="9" t="inlineStr">
        <is>
          <t>Hansleep Round Pouf Ottoman Foot Rest, 20 x 15 Small Faux Fur Stuffed Pouf for Chair, Foam Filled Foot Stools Ottomans for Living Room, Beige Sold by: Hansleep US</t>
        </is>
      </c>
      <c r="I1629" s="9" t="n">
        <v>1</v>
      </c>
      <c r="J1629" s="9" t="inlineStr">
        <is>
          <t>cnt</t>
        </is>
      </c>
      <c r="K1629" s="9" t="n">
        <v>28.49</v>
      </c>
    </row>
    <row r="1630" ht="15" customFormat="1" customHeight="1" s="5">
      <c r="A1630" s="81" t="n">
        <v>45902</v>
      </c>
      <c r="B1630" s="82" t="n">
        <v>0.9104166666666667</v>
      </c>
      <c r="C1630" s="5" t="inlineStr">
        <is>
          <t>Amazon</t>
        </is>
      </c>
      <c r="D1630" s="5" t="n">
        <v>1</v>
      </c>
      <c r="F1630" s="6" t="inlineStr">
        <is>
          <t>111-9646327-6216202</t>
        </is>
      </c>
      <c r="G1630" s="10" t="n"/>
      <c r="H1630" s="9" t="inlineStr">
        <is>
          <t>Tax</t>
        </is>
      </c>
      <c r="I1630" s="9" t="n">
        <v>1</v>
      </c>
      <c r="J1630" s="9" t="inlineStr">
        <is>
          <t>cnt</t>
        </is>
      </c>
      <c r="K1630" s="9" t="n">
        <v>2.28</v>
      </c>
    </row>
    <row r="1631" ht="15" customFormat="1" customHeight="1" s="5">
      <c r="A1631" s="81" t="n">
        <v>45902</v>
      </c>
      <c r="B1631" s="82" t="n">
        <v>0.50625</v>
      </c>
      <c r="C1631" s="5" t="inlineStr">
        <is>
          <t>Amazon</t>
        </is>
      </c>
      <c r="D1631" s="5" t="n">
        <v>1</v>
      </c>
      <c r="F1631" s="6" t="inlineStr">
        <is>
          <t>111-9586106-7622634</t>
        </is>
      </c>
      <c r="G1631" s="10" t="n"/>
      <c r="H1631" s="18" t="inlineStr">
        <is>
          <t>Ezekiel: Redemption for God's People (MacArthur Bible Studies)</t>
        </is>
      </c>
      <c r="I1631" s="9" t="n">
        <v>1</v>
      </c>
      <c r="J1631" s="9" t="inlineStr">
        <is>
          <t>cnt</t>
        </is>
      </c>
      <c r="K1631" s="9" t="n">
        <v>9.74</v>
      </c>
    </row>
    <row r="1632" ht="15" customFormat="1" customHeight="1" s="5">
      <c r="A1632" s="81" t="n">
        <v>45902</v>
      </c>
      <c r="B1632" s="82" t="n">
        <v>0.50625</v>
      </c>
      <c r="C1632" s="5" t="inlineStr">
        <is>
          <t>Amazon</t>
        </is>
      </c>
      <c r="D1632" s="5" t="n">
        <v>1</v>
      </c>
      <c r="F1632" s="16" t="inlineStr">
        <is>
          <t>111-9586106-7622634</t>
        </is>
      </c>
      <c r="G1632" s="10" t="n"/>
      <c r="H1632" s="9" t="inlineStr">
        <is>
          <t>tax</t>
        </is>
      </c>
      <c r="I1632" s="9" t="n">
        <v>1</v>
      </c>
      <c r="J1632" s="9" t="inlineStr">
        <is>
          <t>cnt</t>
        </is>
      </c>
      <c r="K1632" s="9" t="n">
        <v>0.78</v>
      </c>
    </row>
    <row r="1633" ht="15" customFormat="1" customHeight="1" s="5">
      <c r="A1633" s="81" t="n">
        <v>45901</v>
      </c>
      <c r="B1633" s="82" t="n">
        <v>0.9048611111111111</v>
      </c>
      <c r="C1633" s="5" t="inlineStr">
        <is>
          <t>Amazon</t>
        </is>
      </c>
      <c r="D1633" s="5" t="n">
        <v>1</v>
      </c>
      <c r="F1633" s="16" t="inlineStr">
        <is>
          <t>111-7243205-1500235</t>
        </is>
      </c>
      <c r="G1633" s="10" t="n"/>
      <c r="H1633" s="9" t="inlineStr">
        <is>
          <t>Nalgene Kids Sustain Grip-N-Gulp Water Bottles Made with Material Derived from 50% Plastic Waste (using ISCC certified mass balance), Leak Proof Sippy Cup, Durable, BPA and BPS Free, Dishwasher Safe
Sold by: Amazon.com</t>
        </is>
      </c>
      <c r="I1633" s="9" t="n">
        <v>1</v>
      </c>
      <c r="J1633" s="9" t="inlineStr">
        <is>
          <t>cnt</t>
        </is>
      </c>
      <c r="K1633" s="9" t="n">
        <v>14.39</v>
      </c>
    </row>
    <row r="1634" ht="15" customFormat="1" customHeight="1" s="5">
      <c r="A1634" s="81" t="n">
        <v>45901</v>
      </c>
      <c r="B1634" s="82" t="n">
        <v>0.9048611111111111</v>
      </c>
      <c r="C1634" s="5" t="inlineStr">
        <is>
          <t>Amazon</t>
        </is>
      </c>
      <c r="D1634" s="5" t="n">
        <v>1</v>
      </c>
      <c r="F1634" s="16" t="inlineStr">
        <is>
          <t>111-7243205-1500235</t>
        </is>
      </c>
      <c r="G1634" s="10" t="n"/>
      <c r="H1634" s="9" t="inlineStr">
        <is>
          <t>Dr. Brown's Soft Touch No Scratch Baby Bottle Cleaning Brush, Nipple Cleaner &amp; Suction Cup Base for Easy Storage, BPA Free, Gray
Sold by: Amazon.com</t>
        </is>
      </c>
      <c r="I1634" s="9" t="n">
        <v>1</v>
      </c>
      <c r="J1634" s="9" t="inlineStr">
        <is>
          <t>cnt</t>
        </is>
      </c>
      <c r="K1634" s="9" t="n">
        <v>5.99</v>
      </c>
    </row>
    <row r="1635" ht="15" customFormat="1" customHeight="1" s="5">
      <c r="A1635" s="81" t="n">
        <v>45901</v>
      </c>
      <c r="B1635" s="82" t="n">
        <v>0.9048611111111111</v>
      </c>
      <c r="C1635" s="5" t="inlineStr">
        <is>
          <t>Amazon</t>
        </is>
      </c>
      <c r="D1635" s="5" t="n">
        <v>1</v>
      </c>
      <c r="F1635" s="16" t="inlineStr">
        <is>
          <t>111-7243205-1500235</t>
        </is>
      </c>
      <c r="G1635" s="10" t="n"/>
      <c r="H1635" s="9" t="inlineStr">
        <is>
          <t>**DISCOUNT** Amazon Courtesy Credit for the dryer parts melting</t>
        </is>
      </c>
      <c r="I1635" s="9" t="n">
        <v>1</v>
      </c>
      <c r="J1635" s="9" t="inlineStr">
        <is>
          <t>cnt</t>
        </is>
      </c>
      <c r="K1635" s="9" t="n">
        <v>-15</v>
      </c>
    </row>
    <row r="1636" ht="15" customFormat="1" customHeight="1" s="5">
      <c r="A1636" s="81" t="n">
        <v>45901</v>
      </c>
      <c r="B1636" s="82" t="n">
        <v>0.9048611111111111</v>
      </c>
      <c r="C1636" s="5" t="inlineStr">
        <is>
          <t>Amazon</t>
        </is>
      </c>
      <c r="D1636" s="5" t="n">
        <v>1</v>
      </c>
      <c r="F1636" s="16" t="inlineStr">
        <is>
          <t>111-7243205-1500235</t>
        </is>
      </c>
      <c r="G1636" s="10" t="n"/>
      <c r="H1636" s="9" t="inlineStr">
        <is>
          <t>Tax</t>
        </is>
      </c>
      <c r="I1636" s="9" t="n">
        <v>2</v>
      </c>
      <c r="J1636" s="9" t="inlineStr">
        <is>
          <t>cnt</t>
        </is>
      </c>
      <c r="K1636" s="9" t="n">
        <v>0.43</v>
      </c>
    </row>
    <row r="1637" ht="15" customFormat="1" customHeight="1" s="5">
      <c r="A1637" s="81" t="n">
        <v>45901</v>
      </c>
      <c r="B1637" s="82" t="n">
        <v>0.8625</v>
      </c>
      <c r="C1637" s="5" t="inlineStr">
        <is>
          <t>Amazon</t>
        </is>
      </c>
      <c r="D1637" s="5" t="n">
        <v>1</v>
      </c>
      <c r="F1637" s="6" t="inlineStr">
        <is>
          <t>111-7248187-5999457</t>
        </is>
      </c>
      <c r="G1637" s="10" t="n"/>
      <c r="H1637" s="9" t="inlineStr">
        <is>
          <t>2025 Upgraded Dryer Repair Kit by Beaquicy Replacement for Samsung Dryer Includes DC97-16782A Samsung Dryer Roller, 6602-001655/5ph2337 Dryer Belt, DC93-00634A Idler Pulley and DC61-01215B Spring Sold by: YKZ SUPPLIER</t>
        </is>
      </c>
      <c r="I1637" s="9" t="n">
        <v>1</v>
      </c>
      <c r="J1637" s="9" t="inlineStr">
        <is>
          <t>cnt</t>
        </is>
      </c>
      <c r="K1637" s="9" t="n">
        <v>20.4</v>
      </c>
    </row>
    <row r="1638" ht="15" customFormat="1" customHeight="1" s="5">
      <c r="A1638" s="81" t="n">
        <v>45901</v>
      </c>
      <c r="B1638" s="82" t="n">
        <v>0.8625</v>
      </c>
      <c r="C1638" s="5" t="inlineStr">
        <is>
          <t>Amazon</t>
        </is>
      </c>
      <c r="D1638" s="5" t="n">
        <v>1</v>
      </c>
      <c r="F1638" s="6" t="inlineStr">
        <is>
          <t>111-7248187-5999457</t>
        </is>
      </c>
      <c r="G1638" s="10" t="n"/>
      <c r="H1638" s="9" t="inlineStr">
        <is>
          <t>Tax</t>
        </is>
      </c>
      <c r="I1638" s="9" t="n">
        <v>1</v>
      </c>
      <c r="J1638" s="9" t="inlineStr">
        <is>
          <t>cnt</t>
        </is>
      </c>
      <c r="K1638" s="9" t="n">
        <v>1.63</v>
      </c>
    </row>
    <row r="1639" ht="15" customFormat="1" customHeight="1" s="5">
      <c r="A1639" s="81" t="n">
        <v>45901</v>
      </c>
      <c r="B1639" s="82" t="n">
        <v>0.8472222222222222</v>
      </c>
      <c r="C1639" s="5" t="inlineStr">
        <is>
          <t>Safeway</t>
        </is>
      </c>
      <c r="E1639" s="5" t="n">
        <v>1</v>
      </c>
      <c r="F1639" s="6" t="inlineStr">
        <is>
          <t>00261209401792509012020</t>
        </is>
      </c>
      <c r="G1639" s="10" t="n"/>
      <c r="H1639" s="9" t="inlineStr">
        <is>
          <t>Readymeals Dietz And Watson Ham &amp; Swiss Sandwich - Ready2eat</t>
        </is>
      </c>
      <c r="I1639" s="9" t="n">
        <v>1</v>
      </c>
      <c r="J1639" s="9" t="inlineStr">
        <is>
          <t>lb</t>
        </is>
      </c>
      <c r="K1639" s="9" t="inlineStr">
        <is>
          <t>5.99 B</t>
        </is>
      </c>
    </row>
    <row r="1640" ht="15" customFormat="1" customHeight="1" s="5">
      <c r="A1640" s="81" t="n">
        <v>45901</v>
      </c>
      <c r="B1640" s="82" t="n">
        <v>0.8472222222222222</v>
      </c>
      <c r="C1640" s="5" t="inlineStr">
        <is>
          <t>Safeway</t>
        </is>
      </c>
      <c r="E1640" s="5" t="n">
        <v>1</v>
      </c>
      <c r="F1640" s="6" t="inlineStr">
        <is>
          <t>00261209401792509012020</t>
        </is>
      </c>
      <c r="G1640" s="10" t="n"/>
      <c r="H1640" s="9" t="inlineStr">
        <is>
          <t>Powerade Lemon Lime 28fz</t>
        </is>
      </c>
      <c r="I1640" s="9" t="n">
        <v>28</v>
      </c>
      <c r="J1640" s="9" t="inlineStr">
        <is>
          <t>fl oz</t>
        </is>
      </c>
      <c r="K1640" s="9" t="inlineStr">
        <is>
          <t>1.79 B</t>
        </is>
      </c>
    </row>
    <row r="1641" ht="15" customFormat="1" customHeight="1" s="5">
      <c r="A1641" s="81" t="n">
        <v>45901</v>
      </c>
      <c r="B1641" s="82" t="n">
        <v>0.8472222222222222</v>
      </c>
      <c r="C1641" s="5" t="inlineStr">
        <is>
          <t>Safeway</t>
        </is>
      </c>
      <c r="E1641" s="5" t="n">
        <v>1</v>
      </c>
      <c r="F1641" s="6" t="inlineStr">
        <is>
          <t>00261209401792509012020</t>
        </is>
      </c>
      <c r="G1641" s="10" t="n"/>
      <c r="H1641" s="9" t="inlineStr">
        <is>
          <t>Tax</t>
        </is>
      </c>
      <c r="I1641" s="9" t="n">
        <v>3</v>
      </c>
      <c r="J1641" s="9" t="inlineStr">
        <is>
          <t>cnt</t>
        </is>
      </c>
      <c r="K1641" s="9" t="n">
        <v>1.82</v>
      </c>
    </row>
    <row r="1642" ht="15" customFormat="1" customHeight="1" s="5">
      <c r="A1642" s="81" t="n">
        <v>45901</v>
      </c>
      <c r="B1642" s="82" t="n">
        <v>0.8472222222222222</v>
      </c>
      <c r="C1642" s="5" t="inlineStr">
        <is>
          <t>Safeway</t>
        </is>
      </c>
      <c r="E1642" s="5" t="n">
        <v>1</v>
      </c>
      <c r="F1642" s="6" t="inlineStr">
        <is>
          <t>00261209401792509012020</t>
        </is>
      </c>
      <c r="G1642" s="10" t="n"/>
      <c r="H1642" s="9" t="inlineStr">
        <is>
          <t>Ch Plus Adult Tylenol Df Susp Cherry</t>
        </is>
      </c>
      <c r="I1642" s="9" t="n">
        <v>8</v>
      </c>
      <c r="J1642" s="9" t="inlineStr">
        <is>
          <t>fl oz</t>
        </is>
      </c>
      <c r="K1642" s="9" t="inlineStr">
        <is>
          <t>14.99 X</t>
        </is>
      </c>
    </row>
    <row r="1643" ht="15" customFormat="1" customHeight="1" s="5">
      <c r="A1643" s="81" t="n">
        <v>45901</v>
      </c>
      <c r="B1643" s="82" t="n">
        <v>0.4819444444444445</v>
      </c>
      <c r="C1643" s="5" t="inlineStr">
        <is>
          <t>House Denver</t>
        </is>
      </c>
      <c r="D1643" s="5" t="n">
        <v>1</v>
      </c>
      <c r="F1643" s="6" t="n">
        <v>53852722946</v>
      </c>
      <c r="G1643" s="10" t="n"/>
      <c r="H1643" s="9" t="inlineStr">
        <is>
          <t>Monthly overflow chunk of 2025 tithe bunched into 2024. This transaction was actually made on 12/31/25, but it is logged against 2025 budget.</t>
        </is>
      </c>
      <c r="I1643" s="9" t="n"/>
      <c r="J1643" s="9" t="n"/>
      <c r="K1643" s="9">
        <f>(9500-8750.43)/12</f>
        <v/>
      </c>
    </row>
    <row r="1644" ht="15" customFormat="1" customHeight="1" s="5">
      <c r="A1644" s="81" t="n">
        <v>45901</v>
      </c>
      <c r="B1644" s="82" t="n">
        <v>0.4819444444444445</v>
      </c>
      <c r="C1644" s="5" t="inlineStr">
        <is>
          <t>House Denver</t>
        </is>
      </c>
      <c r="D1644" s="5" t="n">
        <v>1</v>
      </c>
      <c r="F1644" s="6" t="n">
        <v>53852722946</v>
      </c>
      <c r="G1644" s="10" t="n"/>
      <c r="H1644" s="9" t="inlineStr">
        <is>
          <t>Monthly chunk of 2025 tithe bunched into 2024. This transaction was actually made on 12/31/25, but it is logged against 2025 budget.</t>
        </is>
      </c>
      <c r="I1644" s="9" t="n"/>
      <c r="J1644" s="9" t="n"/>
      <c r="K1644" s="9" t="n">
        <v>628.3222669733376</v>
      </c>
    </row>
    <row r="1645" ht="15" customFormat="1" customHeight="1" s="5">
      <c r="A1645" s="81" t="n">
        <v>45901</v>
      </c>
      <c r="B1645" s="82" t="n">
        <v>0.4430555555555555</v>
      </c>
      <c r="C1645" s="5" t="inlineStr">
        <is>
          <t>Costco</t>
        </is>
      </c>
      <c r="D1645" s="5" t="n">
        <v>1</v>
      </c>
      <c r="F1645" s="6" t="inlineStr">
        <is>
          <t>1221201508</t>
        </is>
      </c>
      <c r="G1645" s="6" t="inlineStr">
        <is>
          <t>1897471</t>
        </is>
      </c>
      <c r="H1645" s="9" t="inlineStr">
        <is>
          <t>GRAY KitchenAid Kitchen Towels, 8-pack</t>
        </is>
      </c>
      <c r="I1645" s="9" t="n">
        <v>8</v>
      </c>
      <c r="J1645" s="9" t="inlineStr">
        <is>
          <t>cnt</t>
        </is>
      </c>
      <c r="K1645" s="9" t="n">
        <v>21.99</v>
      </c>
    </row>
    <row r="1646" ht="15" customFormat="1" customHeight="1" s="5">
      <c r="A1646" s="81" t="n">
        <v>45901</v>
      </c>
      <c r="B1646" s="82" t="n">
        <v>0.4430555555555555</v>
      </c>
      <c r="C1646" s="5" t="inlineStr">
        <is>
          <t>Costco</t>
        </is>
      </c>
      <c r="D1646" s="5" t="n">
        <v>1</v>
      </c>
      <c r="F1646" s="6" t="inlineStr">
        <is>
          <t>1221201508</t>
        </is>
      </c>
      <c r="G1646" s="10" t="n"/>
      <c r="H1646" s="9" t="inlineStr">
        <is>
          <t>Shipping and Handling</t>
        </is>
      </c>
      <c r="I1646" s="9" t="n">
        <v>1</v>
      </c>
      <c r="J1646" s="9" t="inlineStr">
        <is>
          <t>cnt</t>
        </is>
      </c>
      <c r="K1646" s="9" t="n">
        <v>0</v>
      </c>
    </row>
    <row r="1647" ht="15" customFormat="1" customHeight="1" s="5">
      <c r="A1647" s="81" t="n">
        <v>45901</v>
      </c>
      <c r="B1647" s="82" t="n">
        <v>0.4430555555555555</v>
      </c>
      <c r="C1647" s="5" t="inlineStr">
        <is>
          <t>Costco</t>
        </is>
      </c>
      <c r="D1647" s="5" t="n">
        <v>1</v>
      </c>
      <c r="F1647" s="6" t="inlineStr">
        <is>
          <t>1221201508</t>
        </is>
      </c>
      <c r="G1647" s="10" t="n"/>
      <c r="H1647" s="9" t="inlineStr">
        <is>
          <t>CO Retail delivery fees</t>
        </is>
      </c>
      <c r="I1647" s="9" t="n">
        <v>1</v>
      </c>
      <c r="J1647" s="9" t="inlineStr">
        <is>
          <t>cnt</t>
        </is>
      </c>
      <c r="K1647" s="9" t="n">
        <v>0.28</v>
      </c>
    </row>
    <row r="1648" ht="15" customFormat="1" customHeight="1" s="5">
      <c r="A1648" s="81" t="n">
        <v>45901</v>
      </c>
      <c r="B1648" s="82" t="n">
        <v>0.4430555555555555</v>
      </c>
      <c r="C1648" s="5" t="inlineStr">
        <is>
          <t>Costco</t>
        </is>
      </c>
      <c r="D1648" s="5" t="n">
        <v>1</v>
      </c>
      <c r="F1648" s="6" t="inlineStr">
        <is>
          <t>1221201508</t>
        </is>
      </c>
      <c r="G1648" s="10" t="n"/>
      <c r="H1648" s="9" t="inlineStr">
        <is>
          <t>Tax</t>
        </is>
      </c>
      <c r="I1648" s="9" t="n">
        <v>1</v>
      </c>
      <c r="J1648" s="9" t="inlineStr">
        <is>
          <t>cnt</t>
        </is>
      </c>
      <c r="K1648" s="9" t="n">
        <v>1.75</v>
      </c>
    </row>
    <row r="1649" ht="15" customFormat="1" customHeight="1" s="5">
      <c r="A1649" s="81" t="n">
        <v>45901</v>
      </c>
      <c r="B1649" s="82" t="n">
        <v>0.3333333333333333</v>
      </c>
      <c r="C1649" s="5" t="inlineStr">
        <is>
          <t>Denver Parks &amp; Recreation</t>
        </is>
      </c>
      <c r="D1649" s="5" t="n">
        <v>1</v>
      </c>
      <c r="F1649" s="6" t="inlineStr">
        <is>
          <t>3625188</t>
        </is>
      </c>
      <c r="G1649" s="7" t="n"/>
      <c r="H1649" s="9" t="inlineStr">
        <is>
          <t>Annual "Family Plus" Zoo Membership</t>
        </is>
      </c>
      <c r="I1649" s="9" t="n">
        <v>1</v>
      </c>
      <c r="J1649" s="9" t="inlineStr">
        <is>
          <t>cnt</t>
        </is>
      </c>
      <c r="K1649" s="9" t="n">
        <v>255</v>
      </c>
    </row>
    <row r="1650" ht="15" customFormat="1" customHeight="1" s="5">
      <c r="A1650" s="81" t="n">
        <v>45901</v>
      </c>
      <c r="B1650" s="82" t="n">
        <v>0.3333333333333333</v>
      </c>
      <c r="C1650" s="5" t="inlineStr">
        <is>
          <t>Denver Parks &amp; Recreation</t>
        </is>
      </c>
      <c r="D1650" s="5" t="n">
        <v>1</v>
      </c>
      <c r="F1650" s="6" t="inlineStr">
        <is>
          <t>3625188</t>
        </is>
      </c>
      <c r="G1650" s="7" t="n"/>
      <c r="H1650" s="9" t="inlineStr">
        <is>
          <t>**DISCOUNT** 10% off when you join by November 2!</t>
        </is>
      </c>
      <c r="I1650" s="9" t="n">
        <v>1</v>
      </c>
      <c r="J1650" s="9" t="inlineStr">
        <is>
          <t>cnt</t>
        </is>
      </c>
      <c r="K1650" s="9" t="n">
        <v>-25.5</v>
      </c>
    </row>
    <row r="1651" ht="15" customFormat="1" customHeight="1" s="5">
      <c r="A1651" s="81" t="n">
        <v>45901</v>
      </c>
      <c r="B1651" s="82" t="n">
        <v>0.2916666666666667</v>
      </c>
      <c r="C1651" s="5" t="inlineStr">
        <is>
          <t>Lakeview Mortgage (??)</t>
        </is>
      </c>
      <c r="D1651" s="5" t="n">
        <v>1</v>
      </c>
      <c r="F1651" s="6" t="inlineStr">
        <is>
          <t>0068721927_06</t>
        </is>
      </c>
      <c r="G1651" s="10" t="n"/>
      <c r="H1651" s="9" t="inlineStr">
        <is>
          <t>Interest</t>
        </is>
      </c>
      <c r="I1651" s="9" t="n"/>
      <c r="J1651" s="9" t="n"/>
      <c r="K1651" s="9" t="n">
        <v>1161.4</v>
      </c>
    </row>
    <row r="1652" ht="15" customFormat="1" customHeight="1" s="5">
      <c r="A1652" s="81" t="n">
        <v>45901</v>
      </c>
      <c r="B1652" s="82" t="n">
        <v>0.2916666666666667</v>
      </c>
      <c r="C1652" s="5" t="inlineStr">
        <is>
          <t>Lakeview Mortgage (??)</t>
        </is>
      </c>
      <c r="D1652" s="5" t="n">
        <v>1</v>
      </c>
      <c r="F1652" s="6" t="inlineStr">
        <is>
          <t>0068721927_06</t>
        </is>
      </c>
      <c r="G1652" s="10" t="n"/>
      <c r="H1652" s="9" t="inlineStr">
        <is>
          <t>Principal</t>
        </is>
      </c>
      <c r="I1652" s="9" t="n"/>
      <c r="J1652" s="9" t="n"/>
      <c r="K1652" s="9" t="n">
        <v>253.08</v>
      </c>
    </row>
    <row r="1653" ht="15" customFormat="1" customHeight="1" s="5">
      <c r="A1653" s="81" t="n">
        <v>45901</v>
      </c>
      <c r="B1653" s="82" t="n">
        <v>0.2916666666666667</v>
      </c>
      <c r="C1653" s="5" t="inlineStr">
        <is>
          <t>Lakeview Mortgage (??)</t>
        </is>
      </c>
      <c r="D1653" s="5" t="n">
        <v>1</v>
      </c>
      <c r="F1653" s="6" t="inlineStr">
        <is>
          <t>0068721927_06</t>
        </is>
      </c>
      <c r="G1653" s="10" t="n"/>
      <c r="H1653" s="9" t="inlineStr">
        <is>
          <t>Taxes and Insurance ESCROW</t>
        </is>
      </c>
      <c r="I1653" s="9" t="n"/>
      <c r="J1653" s="9" t="n"/>
      <c r="K1653" s="9" t="n">
        <v>219.78</v>
      </c>
    </row>
    <row r="1654" ht="15" customFormat="1" customHeight="1" s="5">
      <c r="A1654" s="81" t="n">
        <v>45900</v>
      </c>
      <c r="B1654" s="82" t="n">
        <v>0.6695023148148148</v>
      </c>
      <c r="C1654" s="5" t="inlineStr">
        <is>
          <t>Daiso</t>
        </is>
      </c>
      <c r="E1654" s="5" t="n">
        <v>1</v>
      </c>
      <c r="F1654" s="6" t="inlineStr">
        <is>
          <t>06366 001 015726</t>
        </is>
      </c>
      <c r="G1654" s="10" t="n"/>
      <c r="H1654" s="9" t="inlineStr">
        <is>
          <t>Mug-Shaped Canister with lid/coaster</t>
        </is>
      </c>
      <c r="I1654" s="9" t="n">
        <v>1</v>
      </c>
      <c r="J1654" s="9" t="inlineStr">
        <is>
          <t>cnt</t>
        </is>
      </c>
      <c r="K1654" s="9" t="n">
        <v>6</v>
      </c>
    </row>
    <row r="1655" ht="15" customFormat="1" customHeight="1" s="5">
      <c r="A1655" s="81" t="n">
        <v>45900</v>
      </c>
      <c r="B1655" s="82" t="n">
        <v>0.6695023148148148</v>
      </c>
      <c r="C1655" s="5" t="inlineStr">
        <is>
          <t>Daiso</t>
        </is>
      </c>
      <c r="E1655" s="5" t="n">
        <v>1</v>
      </c>
      <c r="F1655" s="6" t="inlineStr">
        <is>
          <t>06366 001 015726</t>
        </is>
      </c>
      <c r="G1655" s="10" t="n"/>
      <c r="H1655" s="9" t="inlineStr">
        <is>
          <t>Peach CA pen</t>
        </is>
      </c>
      <c r="I1655" s="9" t="n">
        <v>1</v>
      </c>
      <c r="J1655" s="9" t="inlineStr">
        <is>
          <t>cnt</t>
        </is>
      </c>
      <c r="K1655" s="9" t="n">
        <v>2.25</v>
      </c>
    </row>
    <row r="1656" ht="15" customFormat="1" customHeight="1" s="5">
      <c r="A1656" s="81" t="n">
        <v>45900</v>
      </c>
      <c r="B1656" s="82" t="n">
        <v>0.6695023148148148</v>
      </c>
      <c r="C1656" s="5" t="inlineStr">
        <is>
          <t>Daiso</t>
        </is>
      </c>
      <c r="E1656" s="5" t="n">
        <v>1</v>
      </c>
      <c r="F1656" s="6" t="inlineStr">
        <is>
          <t>06366 001 015726</t>
        </is>
      </c>
      <c r="G1656" s="10" t="n"/>
      <c r="H1656" s="9" t="inlineStr">
        <is>
          <t>GYOKURO CA pen</t>
        </is>
      </c>
      <c r="I1656" s="9" t="n">
        <v>1</v>
      </c>
      <c r="J1656" s="9" t="inlineStr">
        <is>
          <t>cnt</t>
        </is>
      </c>
      <c r="K1656" s="9" t="n">
        <v>2.25</v>
      </c>
    </row>
    <row r="1657" ht="15" customFormat="1" customHeight="1" s="5">
      <c r="A1657" s="81" t="n">
        <v>45900</v>
      </c>
      <c r="B1657" s="82" t="n">
        <v>0.6695023148148148</v>
      </c>
      <c r="C1657" s="5" t="inlineStr">
        <is>
          <t>Daiso</t>
        </is>
      </c>
      <c r="E1657" s="5" t="n">
        <v>1</v>
      </c>
      <c r="F1657" s="6" t="inlineStr">
        <is>
          <t>06366 001 015726</t>
        </is>
      </c>
      <c r="G1657" s="10" t="n"/>
      <c r="H1657" s="9" t="inlineStr">
        <is>
          <t>CITRON pen</t>
        </is>
      </c>
      <c r="I1657" s="9" t="n">
        <v>1</v>
      </c>
      <c r="J1657" s="9" t="inlineStr">
        <is>
          <t>cnt</t>
        </is>
      </c>
      <c r="K1657" s="9" t="n">
        <v>2.25</v>
      </c>
    </row>
    <row r="1658" ht="15" customFormat="1" customHeight="1" s="5">
      <c r="A1658" s="81" t="n">
        <v>45900</v>
      </c>
      <c r="B1658" s="82" t="n">
        <v>0.6695023148148148</v>
      </c>
      <c r="C1658" s="5" t="inlineStr">
        <is>
          <t>Daiso</t>
        </is>
      </c>
      <c r="E1658" s="5" t="n">
        <v>1</v>
      </c>
      <c r="F1658" s="6" t="inlineStr">
        <is>
          <t>06366 001 015726</t>
        </is>
      </c>
      <c r="G1658" s="10" t="n"/>
      <c r="H1658" s="9" t="inlineStr">
        <is>
          <t>Notebook B Grid 5mm</t>
        </is>
      </c>
      <c r="I1658" s="9" t="n">
        <v>1</v>
      </c>
      <c r="J1658" s="9" t="inlineStr">
        <is>
          <t>cnt</t>
        </is>
      </c>
      <c r="K1658" s="9" t="n">
        <v>2.25</v>
      </c>
    </row>
    <row r="1659" ht="15" customFormat="1" customHeight="1" s="5">
      <c r="A1659" s="81" t="n">
        <v>45900</v>
      </c>
      <c r="B1659" s="82" t="n">
        <v>0.6695023148148148</v>
      </c>
      <c r="C1659" s="5" t="inlineStr">
        <is>
          <t>Daiso</t>
        </is>
      </c>
      <c r="E1659" s="5" t="n">
        <v>1</v>
      </c>
      <c r="F1659" s="6" t="inlineStr">
        <is>
          <t>06366 001 015726</t>
        </is>
      </c>
      <c r="G1659" s="10" t="n"/>
      <c r="H1659" s="9" t="inlineStr">
        <is>
          <t>Notebook 50 A5 Plain</t>
        </is>
      </c>
      <c r="I1659" s="9" t="n">
        <v>1</v>
      </c>
      <c r="J1659" s="9" t="inlineStr">
        <is>
          <t>cnt</t>
        </is>
      </c>
      <c r="K1659" s="9" t="n">
        <v>2.25</v>
      </c>
    </row>
    <row r="1660" ht="15" customFormat="1" customHeight="1" s="5">
      <c r="A1660" s="81" t="n">
        <v>45900</v>
      </c>
      <c r="B1660" s="82" t="n">
        <v>0.6695023148148148</v>
      </c>
      <c r="C1660" s="5" t="inlineStr">
        <is>
          <t>Daiso</t>
        </is>
      </c>
      <c r="E1660" s="5" t="n">
        <v>1</v>
      </c>
      <c r="F1660" s="6" t="inlineStr">
        <is>
          <t>06366 001 015726</t>
        </is>
      </c>
      <c r="G1660" s="10" t="n"/>
      <c r="H1660" s="9" t="inlineStr">
        <is>
          <t>Fluorscent Pen 2 count</t>
        </is>
      </c>
      <c r="I1660" s="9" t="n">
        <v>2</v>
      </c>
      <c r="J1660" s="9" t="inlineStr">
        <is>
          <t>cnt</t>
        </is>
      </c>
      <c r="K1660" s="9" t="n">
        <v>2.25</v>
      </c>
    </row>
    <row r="1661" ht="15" customFormat="1" customHeight="1" s="5">
      <c r="A1661" s="81" t="n">
        <v>45900</v>
      </c>
      <c r="B1661" s="82" t="n">
        <v>0.6695023148148148</v>
      </c>
      <c r="C1661" s="5" t="inlineStr">
        <is>
          <t>Daiso</t>
        </is>
      </c>
      <c r="E1661" s="5" t="n">
        <v>1</v>
      </c>
      <c r="F1661" s="6" t="inlineStr">
        <is>
          <t>06366 001 015726</t>
        </is>
      </c>
      <c r="G1661" s="10" t="n"/>
      <c r="H1661" s="9" t="inlineStr">
        <is>
          <t>Tax</t>
        </is>
      </c>
      <c r="I1661" s="9" t="n">
        <v>7</v>
      </c>
      <c r="J1661" s="9" t="inlineStr">
        <is>
          <t>cnt</t>
        </is>
      </c>
      <c r="K1661" s="9" t="n">
        <v>1.56</v>
      </c>
    </row>
    <row r="1662" ht="15" customFormat="1" customHeight="1" s="5">
      <c r="A1662" s="81" t="n">
        <v>45900</v>
      </c>
      <c r="B1662" s="82" t="n">
        <v>0.5881944444444445</v>
      </c>
      <c r="C1662" s="5" t="inlineStr">
        <is>
          <t>Costco</t>
        </is>
      </c>
      <c r="E1662" s="5" t="n">
        <v>1</v>
      </c>
      <c r="F1662" s="6" t="inlineStr">
        <is>
          <t>439 207 169 707</t>
        </is>
      </c>
      <c r="G1662" s="10" t="inlineStr">
        <is>
          <t>E 47739</t>
        </is>
      </c>
      <c r="H1662" s="9" t="inlineStr">
        <is>
          <t>Chicken Drumsticks @$0.99/lb</t>
        </is>
      </c>
      <c r="I1662" s="9" t="n">
        <v>8.119999999999999</v>
      </c>
      <c r="J1662" s="9" t="inlineStr">
        <is>
          <t>lb</t>
        </is>
      </c>
      <c r="K1662" s="9" t="n">
        <v>8.130000000000001</v>
      </c>
    </row>
    <row r="1663" ht="15" customFormat="1" customHeight="1" s="5">
      <c r="A1663" s="81" t="n">
        <v>45900</v>
      </c>
      <c r="B1663" s="82" t="n">
        <v>0.5881944444444445</v>
      </c>
      <c r="C1663" s="5" t="inlineStr">
        <is>
          <t>Costco</t>
        </is>
      </c>
      <c r="E1663" s="5" t="n">
        <v>1</v>
      </c>
      <c r="F1663" s="6" t="inlineStr">
        <is>
          <t>439 207 169 707</t>
        </is>
      </c>
      <c r="G1663" s="10" t="inlineStr">
        <is>
          <t>E 1015237</t>
        </is>
      </c>
      <c r="H1663" s="9" t="inlineStr">
        <is>
          <t>KS Stir Fry</t>
        </is>
      </c>
      <c r="I1663" s="9" t="n">
        <v>5.5</v>
      </c>
      <c r="J1663" s="9" t="inlineStr">
        <is>
          <t>lb</t>
        </is>
      </c>
      <c r="K1663" s="9" t="n">
        <v>9.59</v>
      </c>
    </row>
    <row r="1664" ht="15" customFormat="1" customHeight="1" s="5">
      <c r="A1664" s="81" t="n">
        <v>45900</v>
      </c>
      <c r="B1664" s="82" t="n">
        <v>0.5881944444444445</v>
      </c>
      <c r="C1664" s="5" t="inlineStr">
        <is>
          <t>Costco</t>
        </is>
      </c>
      <c r="E1664" s="5" t="n">
        <v>1</v>
      </c>
      <c r="F1664" s="6" t="inlineStr">
        <is>
          <t>439 207 169 707</t>
        </is>
      </c>
      <c r="G1664" s="10" t="inlineStr">
        <is>
          <t>E 581871</t>
        </is>
      </c>
      <c r="H1664" s="9" t="inlineStr">
        <is>
          <t>KS Garlic Minced California</t>
        </is>
      </c>
      <c r="I1664" s="9" t="n">
        <v>48</v>
      </c>
      <c r="J1664" s="9" t="inlineStr">
        <is>
          <t>oz</t>
        </is>
      </c>
      <c r="K1664" s="9" t="n">
        <v>6.99</v>
      </c>
    </row>
    <row r="1665" ht="15" customFormat="1" customHeight="1" s="5">
      <c r="A1665" s="81" t="n">
        <v>45900</v>
      </c>
      <c r="B1665" s="82" t="n">
        <v>0.5881944444444445</v>
      </c>
      <c r="C1665" s="5" t="inlineStr">
        <is>
          <t>Costco</t>
        </is>
      </c>
      <c r="E1665" s="5" t="n">
        <v>1</v>
      </c>
      <c r="F1665" s="6" t="inlineStr">
        <is>
          <t>439 207 169 707</t>
        </is>
      </c>
      <c r="G1665" s="10" t="inlineStr">
        <is>
          <t>E 1010598</t>
        </is>
      </c>
      <c r="H1665" s="9" t="inlineStr">
        <is>
          <t>KS Triple Berry Frozen blend</t>
        </is>
      </c>
      <c r="I1665" s="9" t="n">
        <v>4</v>
      </c>
      <c r="J1665" s="9" t="inlineStr">
        <is>
          <t>lb</t>
        </is>
      </c>
      <c r="K1665" s="9" t="n">
        <v>10.99</v>
      </c>
    </row>
    <row r="1666" ht="15" customFormat="1" customHeight="1" s="5">
      <c r="A1666" s="81" t="n">
        <v>45900</v>
      </c>
      <c r="B1666" s="82" t="n">
        <v>0.5881944444444445</v>
      </c>
      <c r="C1666" s="5" t="inlineStr">
        <is>
          <t>Costco</t>
        </is>
      </c>
      <c r="E1666" s="5" t="n">
        <v>1</v>
      </c>
      <c r="F1666" s="6" t="inlineStr">
        <is>
          <t>439 207 169 707</t>
        </is>
      </c>
      <c r="G1666" s="10" t="inlineStr">
        <is>
          <t>E 5938</t>
        </is>
      </c>
      <c r="H1666" s="9" t="inlineStr">
        <is>
          <t>Potatoes Russet</t>
        </is>
      </c>
      <c r="I1666" s="9" t="n">
        <v>10</v>
      </c>
      <c r="J1666" s="9" t="inlineStr">
        <is>
          <t>lb</t>
        </is>
      </c>
      <c r="K1666" s="9" t="n">
        <v>8.289999999999999</v>
      </c>
    </row>
    <row r="1667" ht="15" customFormat="1" customHeight="1" s="5">
      <c r="A1667" s="81" t="n">
        <v>45900</v>
      </c>
      <c r="B1667" s="82" t="n">
        <v>0.5881944444444445</v>
      </c>
      <c r="C1667" s="5" t="inlineStr">
        <is>
          <t>Costco</t>
        </is>
      </c>
      <c r="E1667" s="5" t="n">
        <v>1</v>
      </c>
      <c r="F1667" s="6" t="inlineStr">
        <is>
          <t>439 207 169 707</t>
        </is>
      </c>
      <c r="G1667" s="10" t="inlineStr">
        <is>
          <t>E 30669</t>
        </is>
      </c>
      <c r="H1667" s="9" t="inlineStr">
        <is>
          <t>Bananas</t>
        </is>
      </c>
      <c r="I1667" s="9" t="n">
        <v>3</v>
      </c>
      <c r="J1667" s="9" t="inlineStr">
        <is>
          <t>lb</t>
        </is>
      </c>
      <c r="K1667" s="9" t="n">
        <v>1.49</v>
      </c>
    </row>
    <row r="1668" ht="15" customFormat="1" customHeight="1" s="5">
      <c r="A1668" s="81" t="n">
        <v>45900</v>
      </c>
      <c r="B1668" s="82" t="n">
        <v>0.5881944444444445</v>
      </c>
      <c r="C1668" s="5" t="inlineStr">
        <is>
          <t>Costco</t>
        </is>
      </c>
      <c r="E1668" s="5" t="n">
        <v>1</v>
      </c>
      <c r="F1668" s="6" t="inlineStr">
        <is>
          <t>439 207 169 707</t>
        </is>
      </c>
      <c r="G1668" s="10" t="inlineStr">
        <is>
          <t>E 21046</t>
        </is>
      </c>
      <c r="H1668" s="9" t="inlineStr">
        <is>
          <t>Cherry Tomato Medley</t>
        </is>
      </c>
      <c r="I1668" s="9" t="n">
        <v>2</v>
      </c>
      <c r="J1668" s="9" t="inlineStr">
        <is>
          <t>lb</t>
        </is>
      </c>
      <c r="K1668" s="9" t="n">
        <v>6.59</v>
      </c>
    </row>
    <row r="1669" ht="15" customFormat="1" customHeight="1" s="5">
      <c r="A1669" s="81" t="n">
        <v>45900</v>
      </c>
      <c r="B1669" s="82" t="n">
        <v>0.5881944444444445</v>
      </c>
      <c r="C1669" s="5" t="inlineStr">
        <is>
          <t>Costco</t>
        </is>
      </c>
      <c r="E1669" s="5" t="n">
        <v>1</v>
      </c>
      <c r="F1669" s="6" t="inlineStr">
        <is>
          <t>439 207 169 707</t>
        </is>
      </c>
      <c r="G1669" s="10" t="inlineStr">
        <is>
          <t>E 1605476</t>
        </is>
      </c>
      <c r="H1669" s="9" t="inlineStr">
        <is>
          <t>KS Organic String Beans Frozen, Extra Fine, Whole</t>
        </is>
      </c>
      <c r="I1669" s="9" t="n">
        <v>5</v>
      </c>
      <c r="J1669" s="9" t="inlineStr">
        <is>
          <t>lb</t>
        </is>
      </c>
      <c r="K1669" s="9" t="n">
        <v>9.59</v>
      </c>
    </row>
    <row r="1670" ht="15" customFormat="1" customHeight="1" s="5">
      <c r="A1670" s="81" t="n">
        <v>45900</v>
      </c>
      <c r="B1670" s="82" t="n">
        <v>0.5881944444444445</v>
      </c>
      <c r="C1670" s="5" t="inlineStr">
        <is>
          <t>Costco</t>
        </is>
      </c>
      <c r="E1670" s="5" t="n">
        <v>1</v>
      </c>
      <c r="F1670" s="6" t="inlineStr">
        <is>
          <t>439 207 169 707</t>
        </is>
      </c>
      <c r="G1670" s="10" t="inlineStr">
        <is>
          <t>E 8443334</t>
        </is>
      </c>
      <c r="H1670" s="9" t="inlineStr">
        <is>
          <t>KS Sliced Turkey, 2 pack (new packaging?) x 20 oz</t>
        </is>
      </c>
      <c r="I1670" s="9" t="n">
        <v>40</v>
      </c>
      <c r="J1670" s="9" t="inlineStr">
        <is>
          <t>oz</t>
        </is>
      </c>
      <c r="K1670" s="9" t="n">
        <v>13.99</v>
      </c>
    </row>
    <row r="1671" ht="15" customFormat="1" customHeight="1" s="5">
      <c r="A1671" s="81" t="n">
        <v>45900</v>
      </c>
      <c r="B1671" s="82" t="n">
        <v>0.5881944444444445</v>
      </c>
      <c r="C1671" s="5" t="inlineStr">
        <is>
          <t>Costco</t>
        </is>
      </c>
      <c r="E1671" s="5" t="n">
        <v>1</v>
      </c>
      <c r="F1671" s="6" t="inlineStr">
        <is>
          <t>439 207 169 707</t>
        </is>
      </c>
      <c r="G1671" s="10" t="n"/>
      <c r="H1671" s="9" t="inlineStr">
        <is>
          <t>TAX</t>
        </is>
      </c>
      <c r="I1671" s="9" t="n">
        <v>10</v>
      </c>
      <c r="J1671" s="9" t="inlineStr">
        <is>
          <t>cnt</t>
        </is>
      </c>
      <c r="K1671" s="9" t="n">
        <v>0</v>
      </c>
    </row>
    <row r="1672" ht="15" customFormat="1" customHeight="1" s="5">
      <c r="A1672" s="81" t="n">
        <v>45900</v>
      </c>
      <c r="B1672" s="82" t="n">
        <v>0.5881944444444445</v>
      </c>
      <c r="C1672" s="5" t="inlineStr">
        <is>
          <t>Costco</t>
        </is>
      </c>
      <c r="E1672" s="5" t="n">
        <v>1</v>
      </c>
      <c r="F1672" s="6" t="inlineStr">
        <is>
          <t>439 207 169 707</t>
        </is>
      </c>
      <c r="G1672" s="10" t="inlineStr">
        <is>
          <t>E 1336068</t>
        </is>
      </c>
      <c r="H1672" s="9" t="inlineStr">
        <is>
          <t>Organic Avocado Cups "Wolly Avocado" 16 ct 2 oz</t>
        </is>
      </c>
      <c r="I1672" s="9" t="n">
        <v>32</v>
      </c>
      <c r="J1672" s="9" t="inlineStr">
        <is>
          <t>oz</t>
        </is>
      </c>
      <c r="K1672" s="9" t="n">
        <v>13.99</v>
      </c>
    </row>
    <row r="1673" ht="15" customFormat="1" customHeight="1" s="5">
      <c r="A1673" s="81" t="n">
        <v>45900</v>
      </c>
      <c r="B1673" s="82" t="n">
        <v>0.4916666666666666</v>
      </c>
      <c r="C1673" s="5" t="inlineStr">
        <is>
          <t>Walmart</t>
        </is>
      </c>
      <c r="D1673" s="5" t="n">
        <v>1</v>
      </c>
      <c r="F1673" s="6" t="inlineStr">
        <is>
          <t>2000137-14683288</t>
        </is>
      </c>
      <c r="G1673" s="10" t="n"/>
      <c r="H1673" s="18" t="inlineStr">
        <is>
          <t>Stonefire® Original Naan, 8.8 oz, 2 Count</t>
        </is>
      </c>
      <c r="I1673" s="9" t="n">
        <v>8.800000000000001</v>
      </c>
      <c r="J1673" s="9" t="inlineStr">
        <is>
          <t>oz</t>
        </is>
      </c>
      <c r="K1673" s="85" t="n">
        <v>2.17</v>
      </c>
    </row>
    <row r="1674" ht="15" customFormat="1" customHeight="1" s="5">
      <c r="A1674" s="81" t="n">
        <v>45900</v>
      </c>
      <c r="B1674" s="82" t="n">
        <v>0.4916666666666666</v>
      </c>
      <c r="C1674" s="5" t="inlineStr">
        <is>
          <t>Walmart</t>
        </is>
      </c>
      <c r="D1674" s="5" t="n">
        <v>1</v>
      </c>
      <c r="F1674" s="6" t="inlineStr">
        <is>
          <t>2000137-14683288</t>
        </is>
      </c>
      <c r="G1674" s="10" t="n"/>
      <c r="H1674" s="18" t="inlineStr">
        <is>
          <t>Stonefire® Original Naan, 8.8 oz, 2 Count</t>
        </is>
      </c>
      <c r="I1674" s="9" t="n">
        <v>8.800000000000001</v>
      </c>
      <c r="J1674" s="9" t="inlineStr">
        <is>
          <t>oz</t>
        </is>
      </c>
      <c r="K1674" s="85" t="n">
        <v>2.17</v>
      </c>
    </row>
    <row r="1675" ht="15" customFormat="1" customHeight="1" s="5">
      <c r="A1675" s="81" t="n">
        <v>45900</v>
      </c>
      <c r="B1675" s="82" t="n">
        <v>0.4916666666666666</v>
      </c>
      <c r="C1675" s="5" t="inlineStr">
        <is>
          <t>Walmart</t>
        </is>
      </c>
      <c r="D1675" s="5" t="n">
        <v>1</v>
      </c>
      <c r="F1675" s="6" t="inlineStr">
        <is>
          <t>2000137-14683288</t>
        </is>
      </c>
      <c r="G1675" s="10" t="n"/>
      <c r="H1675" s="9" t="inlineStr">
        <is>
          <t>Walmart somehow totals to $27.04, so missing 4 cents??</t>
        </is>
      </c>
      <c r="I1675" s="9" t="n">
        <v>1</v>
      </c>
      <c r="J1675" s="9" t="inlineStr">
        <is>
          <t>cnt</t>
        </is>
      </c>
      <c r="K1675" s="85" t="n">
        <v>-0.04</v>
      </c>
    </row>
    <row r="1676" ht="15" customFormat="1" customHeight="1" s="5">
      <c r="A1676" s="81" t="n">
        <v>45900</v>
      </c>
      <c r="B1676" s="82" t="n">
        <v>0.4916666666666666</v>
      </c>
      <c r="C1676" s="5" t="inlineStr">
        <is>
          <t>Walmart</t>
        </is>
      </c>
      <c r="D1676" s="5" t="n">
        <v>1</v>
      </c>
      <c r="F1676" s="6" t="inlineStr">
        <is>
          <t>2000137-14683288</t>
        </is>
      </c>
      <c r="G1676" s="10" t="n"/>
      <c r="H1676" s="9" t="inlineStr">
        <is>
          <t>Tax</t>
        </is>
      </c>
      <c r="I1676" s="9" t="n">
        <v>3</v>
      </c>
      <c r="J1676" s="9" t="inlineStr">
        <is>
          <t>cnt</t>
        </is>
      </c>
      <c r="K1676" s="85" t="n">
        <v>0</v>
      </c>
    </row>
    <row r="1677" ht="15" customFormat="1" customHeight="1" s="5">
      <c r="A1677" s="81" t="n">
        <v>45900</v>
      </c>
      <c r="B1677" s="82" t="n">
        <v>0.4916666666666666</v>
      </c>
      <c r="C1677" s="5" t="inlineStr">
        <is>
          <t>Walmart</t>
        </is>
      </c>
      <c r="D1677" s="5" t="n">
        <v>1</v>
      </c>
      <c r="F1677" s="6" t="inlineStr">
        <is>
          <t>2000137-14683288</t>
        </is>
      </c>
      <c r="G1677" s="10" t="n"/>
      <c r="H1677" s="9" t="inlineStr">
        <is>
          <t>FEE "Below order minimum"</t>
        </is>
      </c>
      <c r="I1677" s="9" t="n">
        <v>1</v>
      </c>
      <c r="J1677" s="9" t="inlineStr">
        <is>
          <t>cnt</t>
        </is>
      </c>
      <c r="K1677" s="85" t="n">
        <v>6.99</v>
      </c>
    </row>
    <row r="1678" ht="15" customFormat="1" customHeight="1" s="5">
      <c r="A1678" s="81" t="n">
        <v>45900</v>
      </c>
      <c r="B1678" s="82" t="n">
        <v>0.4916666666666666</v>
      </c>
      <c r="C1678" s="5" t="inlineStr">
        <is>
          <t>Walmart</t>
        </is>
      </c>
      <c r="D1678" s="5" t="n">
        <v>1</v>
      </c>
      <c r="F1678" s="6" t="inlineStr">
        <is>
          <t>2000137-14683288</t>
        </is>
      </c>
      <c r="G1678" s="10" t="n"/>
      <c r="H1678" s="9" t="inlineStr">
        <is>
          <t>**REFUNDED** FEE "Below order minimum"</t>
        </is>
      </c>
      <c r="I1678" s="9" t="n">
        <v>1</v>
      </c>
      <c r="J1678" s="9" t="inlineStr">
        <is>
          <t>cnt</t>
        </is>
      </c>
      <c r="K1678" s="85" t="n">
        <v>-7.5</v>
      </c>
    </row>
    <row r="1679" ht="15" customFormat="1" customHeight="1" s="5">
      <c r="A1679" s="81" t="n">
        <v>45900</v>
      </c>
      <c r="B1679" s="82" t="n">
        <v>0.4916666666666666</v>
      </c>
      <c r="C1679" s="5" t="inlineStr">
        <is>
          <t>Walmart</t>
        </is>
      </c>
      <c r="D1679" s="5" t="n">
        <v>1</v>
      </c>
      <c r="F1679" s="6" t="inlineStr">
        <is>
          <t>2000137-14683288</t>
        </is>
      </c>
      <c r="G1679" s="10" t="n"/>
      <c r="H1679" s="9" t="inlineStr">
        <is>
          <t>Bumble Bee Pink Salmon, Wild Caught, Gluten Free, 18g Protein per Serving, Ready to Eat, Shelf Stable Can, 14.75oz 28.7¢/oz</t>
        </is>
      </c>
      <c r="I1679" s="9" t="n">
        <v>14.75</v>
      </c>
      <c r="J1679" s="9" t="inlineStr">
        <is>
          <t>oz</t>
        </is>
      </c>
      <c r="K1679" s="85" t="n">
        <v>3.15</v>
      </c>
    </row>
    <row r="1680" ht="15" customFormat="1" customHeight="1" s="5">
      <c r="A1680" s="81" t="n">
        <v>45900</v>
      </c>
      <c r="B1680" s="82" t="n">
        <v>0.4916666666666666</v>
      </c>
      <c r="C1680" s="5" t="inlineStr">
        <is>
          <t>Walmart</t>
        </is>
      </c>
      <c r="D1680" s="5" t="n">
        <v>1</v>
      </c>
      <c r="F1680" s="6" t="inlineStr">
        <is>
          <t>2000137-14683288</t>
        </is>
      </c>
      <c r="G1680" s="10" t="n"/>
      <c r="H1680" s="9" t="inlineStr">
        <is>
          <t>Bumble Bee Pink Salmon, Wild Caught, Gluten Free, 18g Protein per Serving, Ready to Eat, Shelf Stable Can, 14.75oz 28.7¢/oz</t>
        </is>
      </c>
      <c r="I1680" s="9" t="n">
        <v>14.75</v>
      </c>
      <c r="J1680" s="9" t="inlineStr">
        <is>
          <t>oz</t>
        </is>
      </c>
      <c r="K1680" s="85" t="n">
        <v>3.15</v>
      </c>
    </row>
    <row r="1681" ht="15" customFormat="1" customHeight="1" s="5">
      <c r="A1681" s="81" t="n">
        <v>45900</v>
      </c>
      <c r="B1681" s="82" t="n">
        <v>0.4916666666666666</v>
      </c>
      <c r="C1681" s="5" t="inlineStr">
        <is>
          <t>Walmart</t>
        </is>
      </c>
      <c r="D1681" s="5" t="n">
        <v>1</v>
      </c>
      <c r="F1681" s="6" t="inlineStr">
        <is>
          <t>2000137-14683288</t>
        </is>
      </c>
      <c r="G1681" s="10" t="n"/>
      <c r="H1681" s="9" t="inlineStr">
        <is>
          <t>Bumble Bee Pink Salmon, Wild Caught, Gluten Free, 18g Protein per Serving, Ready to Eat, Shelf Stable Can, 14.75oz 28.7¢/oz</t>
        </is>
      </c>
      <c r="I1681" s="9" t="n">
        <v>14.75</v>
      </c>
      <c r="J1681" s="9" t="inlineStr">
        <is>
          <t>oz</t>
        </is>
      </c>
      <c r="K1681" s="85" t="n">
        <v>3.15</v>
      </c>
    </row>
    <row r="1682" ht="15" customFormat="1" customHeight="1" s="5">
      <c r="A1682" s="81" t="n">
        <v>45900</v>
      </c>
      <c r="B1682" s="82" t="n">
        <v>0.4916666666666666</v>
      </c>
      <c r="C1682" s="5" t="inlineStr">
        <is>
          <t>Walmart</t>
        </is>
      </c>
      <c r="D1682" s="5" t="n">
        <v>1</v>
      </c>
      <c r="F1682" s="6" t="inlineStr">
        <is>
          <t>2000137-14683288</t>
        </is>
      </c>
      <c r="G1682" s="10" t="n"/>
      <c r="H1682" s="9" t="inlineStr">
        <is>
          <t>Bumble Bee Pink Salmon, Wild Caught, Gluten Free, 18g Protein per Serving, Ready to Eat, Shelf Stable Can, 14.75oz 28.7¢/oz</t>
        </is>
      </c>
      <c r="I1682" s="9" t="n">
        <v>14.75</v>
      </c>
      <c r="J1682" s="9" t="inlineStr">
        <is>
          <t>oz</t>
        </is>
      </c>
      <c r="K1682" s="85" t="n">
        <v>3.15</v>
      </c>
    </row>
    <row r="1683" ht="15" customFormat="1" customHeight="1" s="5">
      <c r="A1683" s="81" t="n">
        <v>45900</v>
      </c>
      <c r="B1683" s="82" t="n">
        <v>0.4916666666666666</v>
      </c>
      <c r="C1683" s="5" t="inlineStr">
        <is>
          <t>Walmart</t>
        </is>
      </c>
      <c r="D1683" s="5" t="n">
        <v>1</v>
      </c>
      <c r="F1683" s="6" t="inlineStr">
        <is>
          <t>2000137-14683288</t>
        </is>
      </c>
      <c r="G1683" s="10" t="n"/>
      <c r="H1683" s="9" t="inlineStr">
        <is>
          <t>Bumble Bee Pink Salmon, Wild Caught, Gluten Free, 18g Protein per Serving, Ready to Eat, Shelf Stable Can, 14.75oz 28.7¢/oz</t>
        </is>
      </c>
      <c r="I1683" s="9" t="n">
        <v>14.75</v>
      </c>
      <c r="J1683" s="9" t="inlineStr">
        <is>
          <t>oz</t>
        </is>
      </c>
      <c r="K1683" s="85" t="n">
        <v>3.15</v>
      </c>
    </row>
    <row r="1684" ht="15" customFormat="1" customHeight="1" s="5">
      <c r="A1684" s="81" t="n">
        <v>45900</v>
      </c>
      <c r="B1684" s="82" t="n">
        <v>0.2916666666666667</v>
      </c>
      <c r="C1684" s="5" t="inlineStr">
        <is>
          <t>Amazon</t>
        </is>
      </c>
      <c r="D1684" s="5" t="n">
        <v>1</v>
      </c>
      <c r="F1684" s="6" t="inlineStr">
        <is>
          <t>D01-0630353-9670642</t>
        </is>
      </c>
      <c r="G1684" s="10" t="n"/>
      <c r="H1684" s="9" t="inlineStr">
        <is>
          <t>AMAZON PRIME Student Membership Fee</t>
        </is>
      </c>
      <c r="I1684" s="5" t="n">
        <v>1</v>
      </c>
      <c r="J1684" s="5" t="inlineStr">
        <is>
          <t>cnt</t>
        </is>
      </c>
      <c r="K1684" s="9" t="n">
        <v>7.49</v>
      </c>
    </row>
    <row r="1685" ht="15" customFormat="1" customHeight="1" s="5">
      <c r="A1685" s="81" t="n">
        <v>45900</v>
      </c>
      <c r="B1685" s="82" t="n">
        <v>0.2916666666666667</v>
      </c>
      <c r="C1685" s="5" t="inlineStr">
        <is>
          <t>Amazon</t>
        </is>
      </c>
      <c r="D1685" s="5" t="n">
        <v>1</v>
      </c>
      <c r="F1685" s="6" t="inlineStr">
        <is>
          <t>D01-0630353-9670642</t>
        </is>
      </c>
      <c r="G1685" s="10" t="n"/>
      <c r="H1685" s="9" t="inlineStr">
        <is>
          <t>Tax</t>
        </is>
      </c>
      <c r="I1685" s="5" t="n">
        <v>1</v>
      </c>
      <c r="J1685" s="5" t="inlineStr">
        <is>
          <t>cnt</t>
        </is>
      </c>
      <c r="K1685" s="9" t="n">
        <v>0.6</v>
      </c>
    </row>
    <row r="1686" ht="15" customFormat="1" customHeight="1" s="5">
      <c r="A1686" s="81" t="n">
        <v>45900</v>
      </c>
      <c r="B1686" s="82" t="n">
        <v>0.2916666666666667</v>
      </c>
      <c r="C1686" s="5" t="inlineStr">
        <is>
          <t>Amazon</t>
        </is>
      </c>
      <c r="D1686" s="5" t="n">
        <v>1</v>
      </c>
      <c r="F1686" s="6" t="inlineStr">
        <is>
          <t>D01-0630353-9670642</t>
        </is>
      </c>
      <c r="G1686" s="10" t="n"/>
      <c r="H1686" s="9" t="inlineStr">
        <is>
          <t>**DISCOUNT** Rewards Points</t>
        </is>
      </c>
      <c r="I1686" s="5" t="n">
        <v>1</v>
      </c>
      <c r="J1686" s="5" t="inlineStr">
        <is>
          <t>cnt</t>
        </is>
      </c>
      <c r="K1686" s="9" t="n">
        <v>-8.09</v>
      </c>
    </row>
    <row r="1687" ht="15" customFormat="1" customHeight="1" s="5">
      <c r="A1687" s="81" t="n">
        <v>45900</v>
      </c>
      <c r="B1687" s="82" t="n">
        <v>0.2430555555555556</v>
      </c>
      <c r="C1687" s="5" t="inlineStr">
        <is>
          <t>Walmart</t>
        </is>
      </c>
      <c r="D1687" s="5" t="n">
        <v>1</v>
      </c>
      <c r="F1687" s="6" t="inlineStr">
        <is>
          <t>2000137-44038530</t>
        </is>
      </c>
      <c r="G1687" s="10" t="n"/>
      <c r="H1687" s="9" t="inlineStr">
        <is>
          <t>SIX Fresh Roma Tomato, Each 97.0¢/lb</t>
        </is>
      </c>
      <c r="I1687" s="9" t="n">
        <v>1.495</v>
      </c>
      <c r="J1687" s="9" t="inlineStr">
        <is>
          <t>lb</t>
        </is>
      </c>
      <c r="K1687" s="85" t="n">
        <v>1.45</v>
      </c>
    </row>
    <row r="1688" ht="15" customFormat="1" customHeight="1" s="5">
      <c r="A1688" s="81" t="n">
        <v>45900</v>
      </c>
      <c r="B1688" s="82" t="n">
        <v>0.2430555555555556</v>
      </c>
      <c r="C1688" s="5" t="inlineStr">
        <is>
          <t>Walmart</t>
        </is>
      </c>
      <c r="D1688" s="5" t="n">
        <v>1</v>
      </c>
      <c r="F1688" s="6" t="inlineStr">
        <is>
          <t>2000137-44038530</t>
        </is>
      </c>
      <c r="G1688" s="10" t="n"/>
      <c r="H1688" s="9" t="inlineStr">
        <is>
          <t>TWO Fresh Whole Yellow Onion, Each $1.06/lb</t>
        </is>
      </c>
      <c r="I1688" s="9" t="n">
        <v>1.5</v>
      </c>
      <c r="J1688" s="9" t="inlineStr">
        <is>
          <t>lb</t>
        </is>
      </c>
      <c r="K1688" s="85" t="n">
        <v>1.59</v>
      </c>
    </row>
    <row r="1689" ht="15" customFormat="1" customHeight="1" s="5">
      <c r="A1689" s="81" t="n">
        <v>45900</v>
      </c>
      <c r="B1689" s="82" t="n">
        <v>0.2430555555555556</v>
      </c>
      <c r="C1689" s="5" t="inlineStr">
        <is>
          <t>Walmart</t>
        </is>
      </c>
      <c r="D1689" s="5" t="n">
        <v>1</v>
      </c>
      <c r="F1689" s="6" t="inlineStr">
        <is>
          <t>2000137-44038530</t>
        </is>
      </c>
      <c r="G1689" s="10" t="n"/>
      <c r="H1689" s="9" t="inlineStr">
        <is>
          <t>Fresh Ginger Root, Each $3.87/lb</t>
        </is>
      </c>
      <c r="I1689" s="9" t="n">
        <v>0.2</v>
      </c>
      <c r="J1689" s="9" t="inlineStr">
        <is>
          <t>lb</t>
        </is>
      </c>
      <c r="K1689" s="85" t="n">
        <v>0.96</v>
      </c>
    </row>
    <row r="1690" ht="15" customFormat="1" customHeight="1" s="5">
      <c r="A1690" s="81" t="n">
        <v>45900</v>
      </c>
      <c r="B1690" s="82" t="n">
        <v>0.2430555555555556</v>
      </c>
      <c r="C1690" s="5" t="inlineStr">
        <is>
          <t>Walmart</t>
        </is>
      </c>
      <c r="D1690" s="5" t="n">
        <v>1</v>
      </c>
      <c r="F1690" s="6" t="inlineStr">
        <is>
          <t>2000137-44038530</t>
        </is>
      </c>
      <c r="G1690" s="10" t="n"/>
      <c r="H1690" s="9" t="inlineStr">
        <is>
          <t>Great Value Cloves Ground Organic $3.02/oz</t>
        </is>
      </c>
      <c r="I1690" s="9" t="n">
        <v>1.8</v>
      </c>
      <c r="J1690" s="9" t="inlineStr">
        <is>
          <t>oz</t>
        </is>
      </c>
      <c r="K1690" s="85" t="n">
        <v>5.43</v>
      </c>
    </row>
    <row r="1691" ht="15" customFormat="1" customHeight="1" s="5">
      <c r="A1691" s="81" t="n">
        <v>45900</v>
      </c>
      <c r="B1691" s="82" t="n">
        <v>0.2430555555555556</v>
      </c>
      <c r="C1691" s="5" t="inlineStr">
        <is>
          <t>Walmart</t>
        </is>
      </c>
      <c r="D1691" s="5" t="n">
        <v>1</v>
      </c>
      <c r="F1691" s="6" t="inlineStr">
        <is>
          <t>2000137-44038530</t>
        </is>
      </c>
      <c r="G1691" s="10" t="n"/>
      <c r="H1691" s="9" t="inlineStr">
        <is>
          <t>Great Value Cardamom Ground Organic, 1 Count $3.03/oz</t>
        </is>
      </c>
      <c r="I1691" s="9" t="n">
        <v>1.8</v>
      </c>
      <c r="J1691" s="9" t="inlineStr">
        <is>
          <t>oz</t>
        </is>
      </c>
      <c r="K1691" s="85" t="n">
        <v>5.46</v>
      </c>
    </row>
    <row r="1692" ht="15" customFormat="1" customHeight="1" s="5">
      <c r="A1692" s="81" t="n">
        <v>45900</v>
      </c>
      <c r="B1692" s="82" t="n">
        <v>0.2430555555555556</v>
      </c>
      <c r="C1692" s="5" t="inlineStr">
        <is>
          <t>Walmart</t>
        </is>
      </c>
      <c r="D1692" s="5" t="n">
        <v>1</v>
      </c>
      <c r="F1692" s="6" t="inlineStr">
        <is>
          <t>2000137-44038530</t>
        </is>
      </c>
      <c r="G1692" s="10" t="n"/>
      <c r="H1692" s="9" t="inlineStr">
        <is>
          <t>Green Bell Pepper, 1 each 72.0¢/ea</t>
        </is>
      </c>
      <c r="I1692" s="9" t="n">
        <v>3</v>
      </c>
      <c r="J1692" s="9" t="inlineStr">
        <is>
          <t>cnt</t>
        </is>
      </c>
      <c r="K1692" s="85" t="n">
        <v>2.16</v>
      </c>
    </row>
    <row r="1693" ht="15" customFormat="1" customHeight="1" s="5">
      <c r="A1693" s="81" t="n">
        <v>45900</v>
      </c>
      <c r="B1693" s="82" t="n">
        <v>0.2430555555555556</v>
      </c>
      <c r="C1693" s="5" t="inlineStr">
        <is>
          <t>Walmart</t>
        </is>
      </c>
      <c r="D1693" s="5" t="n">
        <v>1</v>
      </c>
      <c r="F1693" s="6" t="inlineStr">
        <is>
          <t>2000137-44038530</t>
        </is>
      </c>
      <c r="G1693" s="10" t="n"/>
      <c r="H1693" s="9" t="inlineStr">
        <is>
          <t>Garlic Bulb Fresh Whole, Each 72.0¢/ea</t>
        </is>
      </c>
      <c r="I1693" s="9" t="n">
        <v>1</v>
      </c>
      <c r="J1693" s="9" t="inlineStr">
        <is>
          <t>cnt</t>
        </is>
      </c>
      <c r="K1693" s="85" t="n">
        <v>0.72</v>
      </c>
    </row>
    <row r="1694" ht="15" customFormat="1" customHeight="1" s="5">
      <c r="A1694" s="81" t="n">
        <v>45900</v>
      </c>
      <c r="B1694" s="82" t="n">
        <v>0.2430555555555556</v>
      </c>
      <c r="C1694" s="5" t="inlineStr">
        <is>
          <t>Walmart</t>
        </is>
      </c>
      <c r="D1694" s="5" t="n">
        <v>1</v>
      </c>
      <c r="F1694" s="6" t="inlineStr">
        <is>
          <t>2000137-44038530</t>
        </is>
      </c>
      <c r="G1694" s="10" t="n"/>
      <c r="H1694" s="9" t="inlineStr">
        <is>
          <t>Great Value All-Purpose Unbleached Flour, 5 lb Bag 2.9¢/oz</t>
        </is>
      </c>
      <c r="I1694" s="9" t="n">
        <v>5</v>
      </c>
      <c r="J1694" s="9" t="inlineStr">
        <is>
          <t>lb</t>
        </is>
      </c>
      <c r="K1694" s="85" t="n">
        <v>2.34</v>
      </c>
    </row>
    <row r="1695" ht="15" customFormat="1" customHeight="1" s="5">
      <c r="A1695" s="81" t="n">
        <v>45900</v>
      </c>
      <c r="B1695" s="82" t="n">
        <v>0.2430555555555556</v>
      </c>
      <c r="C1695" s="5" t="inlineStr">
        <is>
          <t>Walmart</t>
        </is>
      </c>
      <c r="D1695" s="5" t="n">
        <v>1</v>
      </c>
      <c r="F1695" s="6" t="inlineStr">
        <is>
          <t>2000137-44038530</t>
        </is>
      </c>
      <c r="G1695" s="10" t="n"/>
      <c r="H1695" s="9" t="inlineStr">
        <is>
          <t>Great Value Light Brown Sugar, 32 oz 6.9¢/oz</t>
        </is>
      </c>
      <c r="I1695" s="9" t="n">
        <v>32</v>
      </c>
      <c r="J1695" s="9" t="inlineStr">
        <is>
          <t>oz</t>
        </is>
      </c>
      <c r="K1695" s="85" t="n">
        <v>2.22</v>
      </c>
    </row>
    <row r="1696" ht="15" customFormat="1" customHeight="1" s="5">
      <c r="A1696" s="81" t="n">
        <v>45900</v>
      </c>
      <c r="B1696" s="82" t="n">
        <v>0.2430555555555556</v>
      </c>
      <c r="C1696" s="5" t="inlineStr">
        <is>
          <t>Walmart</t>
        </is>
      </c>
      <c r="D1696" s="5" t="n">
        <v>1</v>
      </c>
      <c r="F1696" s="6" t="inlineStr">
        <is>
          <t>2000137-44038530</t>
        </is>
      </c>
      <c r="G1696" s="10" t="n"/>
      <c r="H1696" s="9" t="inlineStr">
        <is>
          <t>Great Value Sweet Cream Salted Butter, 16 oz Box, 4 Sticks 21.8¢/oz</t>
        </is>
      </c>
      <c r="I1696" s="9" t="n">
        <v>16</v>
      </c>
      <c r="J1696" s="9" t="inlineStr">
        <is>
          <t>oz</t>
        </is>
      </c>
      <c r="K1696" s="85" t="n">
        <v>3.48</v>
      </c>
    </row>
    <row r="1697" ht="15" customFormat="1" customHeight="1" s="5">
      <c r="A1697" s="81" t="n">
        <v>45900</v>
      </c>
      <c r="B1697" s="82" t="n">
        <v>0.2430555555555556</v>
      </c>
      <c r="C1697" s="5" t="inlineStr">
        <is>
          <t>Walmart</t>
        </is>
      </c>
      <c r="D1697" s="5" t="n">
        <v>1</v>
      </c>
      <c r="F1697" s="6" t="inlineStr">
        <is>
          <t>2000137-44038530</t>
        </is>
      </c>
      <c r="G1697" s="10" t="n"/>
      <c r="H1697" s="9" t="inlineStr">
        <is>
          <t>Great Value Ground Nutmeg, 1.5 oz $1.64/oz</t>
        </is>
      </c>
      <c r="I1697" s="9" t="n">
        <v>1.5</v>
      </c>
      <c r="J1697" s="9" t="inlineStr">
        <is>
          <t>oz</t>
        </is>
      </c>
      <c r="K1697" s="85" t="n">
        <v>2.46</v>
      </c>
    </row>
    <row r="1698" ht="15" customFormat="1" customHeight="1" s="5">
      <c r="A1698" s="81" t="n">
        <v>45900</v>
      </c>
      <c r="B1698" s="82" t="n">
        <v>0.2430555555555556</v>
      </c>
      <c r="C1698" s="5" t="inlineStr">
        <is>
          <t>Walmart</t>
        </is>
      </c>
      <c r="D1698" s="5" t="n">
        <v>1</v>
      </c>
      <c r="F1698" s="6" t="inlineStr">
        <is>
          <t>2000137-44038530</t>
        </is>
      </c>
      <c r="G1698" s="10" t="n"/>
      <c r="H1698" s="9" t="inlineStr">
        <is>
          <t>Great Value Onion Powder, 3.25 oz 38.2¢/oz</t>
        </is>
      </c>
      <c r="I1698" s="9" t="n">
        <v>3.25</v>
      </c>
      <c r="J1698" s="9" t="inlineStr">
        <is>
          <t>oz</t>
        </is>
      </c>
      <c r="K1698" s="85" t="n">
        <v>1.24</v>
      </c>
    </row>
    <row r="1699" ht="15" customFormat="1" customHeight="1" s="5">
      <c r="A1699" s="81" t="n">
        <v>45900</v>
      </c>
      <c r="B1699" s="82" t="n">
        <v>0.2430555555555556</v>
      </c>
      <c r="C1699" s="5" t="inlineStr">
        <is>
          <t>Walmart</t>
        </is>
      </c>
      <c r="D1699" s="5" t="n">
        <v>1</v>
      </c>
      <c r="F1699" s="6" t="inlineStr">
        <is>
          <t>2000137-44038530</t>
        </is>
      </c>
      <c r="G1699" s="10" t="n"/>
      <c r="H1699" s="9" t="inlineStr">
        <is>
          <t>Great Value Thyme Leaves, 0.75 oz $2.83/oz</t>
        </is>
      </c>
      <c r="I1699" s="9" t="n">
        <v>0.75</v>
      </c>
      <c r="J1699" s="9" t="inlineStr">
        <is>
          <t>oz</t>
        </is>
      </c>
      <c r="K1699" s="85" t="n">
        <v>2.12</v>
      </c>
    </row>
    <row r="1700" ht="15" customFormat="1" customHeight="1" s="5">
      <c r="A1700" s="81" t="n">
        <v>45900</v>
      </c>
      <c r="B1700" s="82" t="n">
        <v>0.2430555555555556</v>
      </c>
      <c r="C1700" s="5" t="inlineStr">
        <is>
          <t>Walmart</t>
        </is>
      </c>
      <c r="D1700" s="5" t="n">
        <v>1</v>
      </c>
      <c r="F1700" s="6" t="inlineStr">
        <is>
          <t>2000137-44038530</t>
        </is>
      </c>
      <c r="G1700" s="10" t="n"/>
      <c r="H1700" s="9" t="inlineStr">
        <is>
          <t>Tyson All Natural, Fresh Chicken Drumsticks, Family Pack, 4.25 - 6.7 lb Tray $1.17/lb</t>
        </is>
      </c>
      <c r="I1700" s="9" t="n">
        <v>4.325</v>
      </c>
      <c r="J1700" s="9" t="inlineStr">
        <is>
          <t>lb</t>
        </is>
      </c>
      <c r="K1700" s="85" t="n">
        <v>5.06</v>
      </c>
    </row>
    <row r="1701" ht="15" customFormat="1" customHeight="1" s="5">
      <c r="A1701" s="81" t="n">
        <v>45900</v>
      </c>
      <c r="B1701" s="82" t="n">
        <v>0.2430555555555556</v>
      </c>
      <c r="C1701" s="5" t="inlineStr">
        <is>
          <t>Walmart</t>
        </is>
      </c>
      <c r="D1701" s="5" t="n">
        <v>1</v>
      </c>
      <c r="F1701" s="6" t="inlineStr">
        <is>
          <t>2000137-44038530</t>
        </is>
      </c>
      <c r="G1701" s="10" t="n"/>
      <c r="H1701" s="9" t="inlineStr">
        <is>
          <t>Fresh Green and Vibrant Cilantro, Bunch 20.8¢/oz</t>
        </is>
      </c>
      <c r="I1701" s="9" t="n">
        <v>1</v>
      </c>
      <c r="J1701" s="9" t="inlineStr">
        <is>
          <t>cnt</t>
        </is>
      </c>
      <c r="K1701" s="85" t="n">
        <v>0.83</v>
      </c>
    </row>
    <row r="1702" ht="15" customFormat="1" customHeight="1" s="5">
      <c r="A1702" s="81" t="n">
        <v>45900</v>
      </c>
      <c r="B1702" s="82" t="n">
        <v>0.2430555555555556</v>
      </c>
      <c r="C1702" s="5" t="inlineStr">
        <is>
          <t>Walmart</t>
        </is>
      </c>
      <c r="D1702" s="5" t="n">
        <v>1</v>
      </c>
      <c r="F1702" s="6" t="inlineStr">
        <is>
          <t>2000137-44038530</t>
        </is>
      </c>
      <c r="G1702" s="10" t="n"/>
      <c r="H1702" s="9" t="inlineStr">
        <is>
          <t>Bag Fee</t>
        </is>
      </c>
      <c r="I1702" s="9" t="n">
        <v>1</v>
      </c>
      <c r="J1702" s="9" t="inlineStr">
        <is>
          <t>cnt</t>
        </is>
      </c>
      <c r="K1702" s="85" t="n">
        <v>0.1</v>
      </c>
    </row>
    <row r="1703" ht="15" customFormat="1" customHeight="1" s="5">
      <c r="A1703" s="81" t="n">
        <v>45900</v>
      </c>
      <c r="B1703" s="82" t="n">
        <v>0.2430555555555556</v>
      </c>
      <c r="C1703" s="5" t="inlineStr">
        <is>
          <t>Walmart</t>
        </is>
      </c>
      <c r="D1703" s="5" t="n">
        <v>1</v>
      </c>
      <c r="F1703" s="6" t="inlineStr">
        <is>
          <t>2000137-44038530</t>
        </is>
      </c>
      <c r="G1703" s="10" t="n"/>
      <c r="H1703" s="9" t="inlineStr">
        <is>
          <t>Tax</t>
        </is>
      </c>
      <c r="I1703" s="9" t="n">
        <v>36</v>
      </c>
      <c r="J1703" s="9" t="inlineStr">
        <is>
          <t>cnt</t>
        </is>
      </c>
      <c r="K1703" s="85" t="n">
        <v>0</v>
      </c>
    </row>
    <row r="1704" ht="15" customFormat="1" customHeight="1" s="5">
      <c r="A1704" s="81" t="n">
        <v>45900</v>
      </c>
      <c r="B1704" s="82" t="n">
        <v>0.2430555555555556</v>
      </c>
      <c r="C1704" s="5" t="inlineStr">
        <is>
          <t>Walmart</t>
        </is>
      </c>
      <c r="D1704" s="5" t="n">
        <v>1</v>
      </c>
      <c r="F1704" s="6" t="inlineStr">
        <is>
          <t>2000137-44038530</t>
        </is>
      </c>
      <c r="G1704" s="10" t="n"/>
      <c r="H1704" s="9" t="inlineStr">
        <is>
          <t>Order Temporary Hold</t>
        </is>
      </c>
      <c r="I1704" s="9" t="n">
        <v>1</v>
      </c>
      <c r="J1704" s="9" t="inlineStr">
        <is>
          <t>cnt</t>
        </is>
      </c>
      <c r="K1704" s="85" t="n">
        <v>6.65</v>
      </c>
    </row>
    <row r="1705" ht="15" customFormat="1" customHeight="1" s="5">
      <c r="A1705" s="81" t="n">
        <v>45900</v>
      </c>
      <c r="B1705" s="82" t="n">
        <v>0.2430555555555556</v>
      </c>
      <c r="C1705" s="5" t="inlineStr">
        <is>
          <t>Walmart</t>
        </is>
      </c>
      <c r="D1705" s="5" t="n">
        <v>1</v>
      </c>
      <c r="F1705" s="6" t="inlineStr">
        <is>
          <t>2000137-44038530</t>
        </is>
      </c>
      <c r="G1705" s="10" t="n"/>
      <c r="H1705" s="9" t="inlineStr">
        <is>
          <t>**REFUNDED** Order Temporary Hold</t>
        </is>
      </c>
      <c r="I1705" s="9" t="n">
        <v>1</v>
      </c>
      <c r="J1705" s="9" t="inlineStr">
        <is>
          <t>cnt</t>
        </is>
      </c>
      <c r="K1705" s="85" t="n">
        <v>-6.65</v>
      </c>
    </row>
    <row r="1706" ht="15" customFormat="1" customHeight="1" s="5">
      <c r="A1706" s="81" t="n">
        <v>45900</v>
      </c>
      <c r="B1706" s="82" t="n">
        <v>0.2430555555555556</v>
      </c>
      <c r="C1706" s="5" t="inlineStr">
        <is>
          <t>Walmart</t>
        </is>
      </c>
      <c r="D1706" s="5" t="n">
        <v>1</v>
      </c>
      <c r="F1706" s="6" t="inlineStr">
        <is>
          <t>2000137-44038530</t>
        </is>
      </c>
      <c r="G1706" s="10" t="n"/>
      <c r="H1706" s="9" t="inlineStr">
        <is>
          <t>Marketside Mild Cilantro Salsa, 16 oz, Gluten-Free, Refrigerated 24.9¢/oz</t>
        </is>
      </c>
      <c r="I1706" s="9" t="n">
        <v>16</v>
      </c>
      <c r="J1706" s="9" t="inlineStr">
        <is>
          <t>oz</t>
        </is>
      </c>
      <c r="K1706" s="85" t="n">
        <v>3.98</v>
      </c>
    </row>
    <row r="1707" ht="15" customFormat="1" customHeight="1" s="5">
      <c r="A1707" s="81" t="n">
        <v>45900</v>
      </c>
      <c r="B1707" s="82" t="n">
        <v>0.2430555555555556</v>
      </c>
      <c r="C1707" s="5" t="inlineStr">
        <is>
          <t>Walmart</t>
        </is>
      </c>
      <c r="D1707" s="5" t="n">
        <v>1</v>
      </c>
      <c r="F1707" s="6" t="inlineStr">
        <is>
          <t>2000137-44038530</t>
        </is>
      </c>
      <c r="G1707" s="10" t="n"/>
      <c r="H1707" s="9" t="inlineStr">
        <is>
          <t>Bumble Bee Pink Salmon, Wild Caught, Gluten Free, 18g Protein per Serving, Ready to Eat, Shelf Stable Can, 14.75oz 28.7¢/oz</t>
        </is>
      </c>
      <c r="I1707" s="9" t="n">
        <v>14.75</v>
      </c>
      <c r="J1707" s="9" t="inlineStr">
        <is>
          <t>oz</t>
        </is>
      </c>
      <c r="K1707" s="85" t="n">
        <v>4.24</v>
      </c>
    </row>
    <row r="1708" ht="15" customFormat="1" customHeight="1" s="5">
      <c r="A1708" s="81" t="n">
        <v>45900</v>
      </c>
      <c r="B1708" s="82" t="n">
        <v>0.2430555555555556</v>
      </c>
      <c r="C1708" s="5" t="inlineStr">
        <is>
          <t>Walmart</t>
        </is>
      </c>
      <c r="D1708" s="5" t="n">
        <v>1</v>
      </c>
      <c r="F1708" s="6" t="inlineStr">
        <is>
          <t>2000137-44038530</t>
        </is>
      </c>
      <c r="G1708" s="10" t="n"/>
      <c r="H1708" s="9" t="inlineStr">
        <is>
          <t>Bumble Bee Pink Salmon, Wild Caught, Gluten Free, 18g Protein per Serving, Ready to Eat, Shelf Stable Can, 14.75oz 28.7¢/oz</t>
        </is>
      </c>
      <c r="I1708" s="9" t="n">
        <v>14.75</v>
      </c>
      <c r="J1708" s="9" t="inlineStr">
        <is>
          <t>oz</t>
        </is>
      </c>
      <c r="K1708" s="85" t="n">
        <v>4.24</v>
      </c>
    </row>
    <row r="1709" ht="15" customFormat="1" customHeight="1" s="5">
      <c r="A1709" s="81" t="n">
        <v>45900</v>
      </c>
      <c r="B1709" s="82" t="n">
        <v>0.2430555555555556</v>
      </c>
      <c r="C1709" s="5" t="inlineStr">
        <is>
          <t>Walmart</t>
        </is>
      </c>
      <c r="D1709" s="5" t="n">
        <v>1</v>
      </c>
      <c r="F1709" s="6" t="inlineStr">
        <is>
          <t>2000137-44038530</t>
        </is>
      </c>
      <c r="G1709" s="10" t="n"/>
      <c r="H1709" s="9" t="inlineStr">
        <is>
          <t>Bumble Bee Pink Salmon, Wild Caught, Gluten Free, 18g Protein per Serving, Ready to Eat, Shelf Stable Can, 14.75oz 28.7¢/oz</t>
        </is>
      </c>
      <c r="I1709" s="9" t="n">
        <v>14.75</v>
      </c>
      <c r="J1709" s="9" t="inlineStr">
        <is>
          <t>oz</t>
        </is>
      </c>
      <c r="K1709" s="85" t="n">
        <v>4.24</v>
      </c>
    </row>
    <row r="1710" ht="15" customFormat="1" customHeight="1" s="5">
      <c r="A1710" s="81" t="n">
        <v>45900</v>
      </c>
      <c r="B1710" s="82" t="n">
        <v>0.2430555555555556</v>
      </c>
      <c r="C1710" s="5" t="inlineStr">
        <is>
          <t>Walmart</t>
        </is>
      </c>
      <c r="D1710" s="5" t="n">
        <v>1</v>
      </c>
      <c r="F1710" s="6" t="inlineStr">
        <is>
          <t>2000137-44038530</t>
        </is>
      </c>
      <c r="G1710" s="10" t="n"/>
      <c r="H1710" s="9" t="inlineStr">
        <is>
          <t>Bumble Bee Pink Salmon, Wild Caught, Gluten Free, 18g Protein per Serving, Ready to Eat, Shelf Stable Can, 14.75oz 28.7¢/oz</t>
        </is>
      </c>
      <c r="I1710" s="9" t="n">
        <v>14.75</v>
      </c>
      <c r="J1710" s="9" t="inlineStr">
        <is>
          <t>oz</t>
        </is>
      </c>
      <c r="K1710" s="85" t="n">
        <v>4.24</v>
      </c>
    </row>
    <row r="1711" ht="15" customFormat="1" customHeight="1" s="5">
      <c r="A1711" s="81" t="n">
        <v>45900</v>
      </c>
      <c r="B1711" s="82" t="n">
        <v>0.2430555555555556</v>
      </c>
      <c r="C1711" s="5" t="inlineStr">
        <is>
          <t>Walmart</t>
        </is>
      </c>
      <c r="D1711" s="5" t="n">
        <v>1</v>
      </c>
      <c r="F1711" s="6" t="inlineStr">
        <is>
          <t>2000137-44038530</t>
        </is>
      </c>
      <c r="G1711" s="10" t="n"/>
      <c r="H1711" s="9" t="inlineStr">
        <is>
          <t>Bumble Bee Pink Salmon, Wild Caught, Gluten Free, 18g Protein per Serving, Ready to Eat, Shelf Stable Can, 14.75oz 28.7¢/oz</t>
        </is>
      </c>
      <c r="I1711" s="9" t="n">
        <v>14.75</v>
      </c>
      <c r="J1711" s="9" t="inlineStr">
        <is>
          <t>oz</t>
        </is>
      </c>
      <c r="K1711" s="85" t="n">
        <v>4.24</v>
      </c>
    </row>
    <row r="1712" ht="15" customFormat="1" customHeight="1" s="5">
      <c r="A1712" s="81" t="n">
        <v>45900</v>
      </c>
      <c r="B1712" s="82" t="n">
        <v>0.2430555555555556</v>
      </c>
      <c r="C1712" s="5" t="inlineStr">
        <is>
          <t>Walmart</t>
        </is>
      </c>
      <c r="D1712" s="5" t="n">
        <v>1</v>
      </c>
      <c r="F1712" s="6" t="inlineStr">
        <is>
          <t>2000137-44038530</t>
        </is>
      </c>
      <c r="G1712" s="10" t="n"/>
      <c r="H1712" s="9" t="inlineStr">
        <is>
          <t>Bumble Bee Pink Salmon, Wild Caught, Gluten Free, 18g Protein per Serving, Ready to Eat, Shelf Stable Can, 14.75oz 28.7¢/oz</t>
        </is>
      </c>
      <c r="I1712" s="9" t="n">
        <v>14.75</v>
      </c>
      <c r="J1712" s="9" t="inlineStr">
        <is>
          <t>oz</t>
        </is>
      </c>
      <c r="K1712" s="85" t="n">
        <v>4.24</v>
      </c>
    </row>
    <row r="1713" ht="15" customFormat="1" customHeight="1" s="5">
      <c r="A1713" s="81" t="n">
        <v>45900</v>
      </c>
      <c r="B1713" s="82" t="n">
        <v>0.2430555555555556</v>
      </c>
      <c r="C1713" s="5" t="inlineStr">
        <is>
          <t>Walmart</t>
        </is>
      </c>
      <c r="D1713" s="5" t="n">
        <v>1</v>
      </c>
      <c r="F1713" s="6" t="inlineStr">
        <is>
          <t>2000137-44038530</t>
        </is>
      </c>
      <c r="G1713" s="10" t="n"/>
      <c r="H1713" s="9" t="inlineStr">
        <is>
          <t>Bumble Bee Pink Salmon, Wild Caught, Gluten Free, 18g Protein per Serving, Ready to Eat, Shelf Stable Can, 14.75oz 28.7¢/oz</t>
        </is>
      </c>
      <c r="I1713" s="9" t="n">
        <v>14.75</v>
      </c>
      <c r="J1713" s="9" t="inlineStr">
        <is>
          <t>oz</t>
        </is>
      </c>
      <c r="K1713" s="85" t="n">
        <v>4.24</v>
      </c>
    </row>
    <row r="1714" ht="15" customFormat="1" customHeight="1" s="5">
      <c r="A1714" s="81" t="n">
        <v>45900</v>
      </c>
      <c r="B1714" s="82" t="n">
        <v>0.2430555555555556</v>
      </c>
      <c r="C1714" s="5" t="inlineStr">
        <is>
          <t>Walmart</t>
        </is>
      </c>
      <c r="D1714" s="5" t="n">
        <v>1</v>
      </c>
      <c r="F1714" s="6" t="inlineStr">
        <is>
          <t>2000137-44038530</t>
        </is>
      </c>
      <c r="G1714" s="10" t="n"/>
      <c r="H1714" s="9" t="inlineStr">
        <is>
          <t>**MISSING** Bumble Bee Pink Salmon, Wild Caught, Gluten Free, 18g Protein per Serving, Ready to Eat, Shelf Stable Can, 14.75oz 28.7¢/oz</t>
        </is>
      </c>
      <c r="I1714" s="9" t="n">
        <v>5</v>
      </c>
      <c r="J1714" s="9" t="inlineStr">
        <is>
          <t>cnt</t>
        </is>
      </c>
      <c r="K1714" s="85" t="n">
        <v>-21.2</v>
      </c>
    </row>
    <row r="1715" ht="15" customFormat="1" customHeight="1" s="5">
      <c r="A1715" s="81" t="n">
        <v>45899</v>
      </c>
      <c r="B1715" s="82" t="n">
        <v>0.5847222222222223</v>
      </c>
      <c r="C1715" s="5" t="inlineStr">
        <is>
          <t>Lakewood Public Works</t>
        </is>
      </c>
      <c r="D1715" s="5" t="n">
        <v>1</v>
      </c>
      <c r="F1715" s="6" t="inlineStr">
        <is>
          <t>#265956</t>
        </is>
      </c>
      <c r="G1715" s="7" t="n"/>
      <c r="H1715" s="9" t="inlineStr">
        <is>
          <t>Adult Cider Days</t>
        </is>
      </c>
      <c r="I1715" s="9" t="n">
        <v>1</v>
      </c>
      <c r="J1715" s="9" t="inlineStr">
        <is>
          <t>cnt</t>
        </is>
      </c>
      <c r="K1715" s="9" t="n">
        <v>9</v>
      </c>
    </row>
    <row r="1716" ht="15" customFormat="1" customHeight="1" s="5">
      <c r="A1716" s="81" t="n">
        <v>45899</v>
      </c>
      <c r="B1716" s="82" t="n">
        <v>0.5847222222222223</v>
      </c>
      <c r="C1716" s="5" t="inlineStr">
        <is>
          <t>Lakewood Public Works</t>
        </is>
      </c>
      <c r="D1716" s="5" t="n">
        <v>1</v>
      </c>
      <c r="F1716" s="6" t="inlineStr">
        <is>
          <t>#265956</t>
        </is>
      </c>
      <c r="G1716" s="7" t="n"/>
      <c r="H1716" s="9" t="inlineStr">
        <is>
          <t>Adult Cider Days</t>
        </is>
      </c>
      <c r="I1716" s="9" t="n">
        <v>1</v>
      </c>
      <c r="J1716" s="9" t="inlineStr">
        <is>
          <t>cnt</t>
        </is>
      </c>
      <c r="K1716" s="9" t="n">
        <v>9</v>
      </c>
    </row>
    <row r="1717" ht="15" customFormat="1" customHeight="1" s="5">
      <c r="A1717" s="81" t="n">
        <v>45899</v>
      </c>
      <c r="B1717" s="82" t="n">
        <v>0.5847222222222223</v>
      </c>
      <c r="C1717" s="5" t="inlineStr">
        <is>
          <t>Lakewood Public Works</t>
        </is>
      </c>
      <c r="D1717" s="5" t="n">
        <v>1</v>
      </c>
      <c r="F1717" s="6" t="inlineStr">
        <is>
          <t>#265956</t>
        </is>
      </c>
      <c r="G1717" s="7" t="n"/>
      <c r="H1717" s="9" t="inlineStr">
        <is>
          <t>Child 1-12 Cider Days</t>
        </is>
      </c>
      <c r="I1717" s="9" t="n">
        <v>1</v>
      </c>
      <c r="J1717" s="9" t="inlineStr">
        <is>
          <t>cnt</t>
        </is>
      </c>
      <c r="K1717" s="9" t="n">
        <v>7</v>
      </c>
    </row>
    <row r="1718" ht="15" customFormat="1" customHeight="1" s="5">
      <c r="A1718" s="81" t="n">
        <v>45899</v>
      </c>
      <c r="B1718" s="82" t="n">
        <v>0.5847222222222223</v>
      </c>
      <c r="C1718" s="5" t="inlineStr">
        <is>
          <t>Lakewood Public Works</t>
        </is>
      </c>
      <c r="D1718" s="5" t="n">
        <v>1</v>
      </c>
      <c r="F1718" s="6" t="inlineStr">
        <is>
          <t>#265956</t>
        </is>
      </c>
      <c r="G1718" s="7" t="n"/>
      <c r="H1718" s="9" t="inlineStr">
        <is>
          <t>Online Fee</t>
        </is>
      </c>
      <c r="I1718" s="9" t="n">
        <v>3</v>
      </c>
      <c r="J1718" s="9" t="inlineStr">
        <is>
          <t>cnt</t>
        </is>
      </c>
      <c r="K1718" s="9" t="n">
        <v>3</v>
      </c>
    </row>
    <row r="1719" ht="15" customFormat="1" customHeight="1" s="5">
      <c r="A1719" s="79" t="n">
        <v>45898</v>
      </c>
      <c r="B1719" s="78" t="n">
        <v>0.7083333333333334</v>
      </c>
      <c r="C1719" s="35" t="inlineStr">
        <is>
          <t>Accelerate Health</t>
        </is>
      </c>
      <c r="D1719" s="35" t="n"/>
      <c r="E1719" s="35" t="n">
        <v>1</v>
      </c>
      <c r="F1719" s="54" t="inlineStr">
        <is>
          <t>Na_noReceipt</t>
        </is>
      </c>
      <c r="G1719" s="48" t="inlineStr">
        <is>
          <t>2025247BF9194</t>
        </is>
      </c>
      <c r="H1719" s="49" t="inlineStr">
        <is>
          <t>Eli initial consultation Chiropractor 40 minutes</t>
        </is>
      </c>
      <c r="I1719" s="49" t="n">
        <v>1</v>
      </c>
      <c r="J1719" s="49" t="inlineStr">
        <is>
          <t>cnt</t>
        </is>
      </c>
      <c r="K1719" s="49" t="n">
        <v>198.43</v>
      </c>
    </row>
    <row r="1720" ht="15" customFormat="1" customHeight="1" s="5">
      <c r="A1720" s="79" t="n">
        <v>45898</v>
      </c>
      <c r="B1720" s="78" t="n">
        <v>0.7083333333333334</v>
      </c>
      <c r="C1720" s="35" t="inlineStr">
        <is>
          <t>Accelerate Health</t>
        </is>
      </c>
      <c r="D1720" s="35" t="n"/>
      <c r="E1720" s="35" t="n">
        <v>1</v>
      </c>
      <c r="F1720" s="54" t="inlineStr">
        <is>
          <t>Na_noReceipt</t>
        </is>
      </c>
      <c r="G1720" s="53" t="inlineStr">
        <is>
          <t>2025247BF9400</t>
        </is>
      </c>
      <c r="H1720" s="49" t="inlineStr">
        <is>
          <t>8/29 Lydia follow-up Chiropractor 20 minutes</t>
        </is>
      </c>
      <c r="I1720" s="49" t="n">
        <v>1</v>
      </c>
      <c r="J1720" s="49" t="inlineStr">
        <is>
          <t>cnt</t>
        </is>
      </c>
      <c r="K1720" s="49" t="n">
        <v>103.88</v>
      </c>
    </row>
    <row r="1721" ht="15" customFormat="1" customHeight="1" s="5">
      <c r="A1721" s="81" t="n">
        <v>45898</v>
      </c>
      <c r="B1721" s="82" t="n">
        <v>0.6826388888888889</v>
      </c>
      <c r="C1721" s="5" t="inlineStr">
        <is>
          <t>Tyndall Green</t>
        </is>
      </c>
      <c r="D1721" s="5" t="n">
        <v>1</v>
      </c>
      <c r="F1721" s="6" t="inlineStr">
        <is>
          <t>394130841</t>
        </is>
      </c>
      <c r="G1721" s="15" t="n"/>
      <c r="H1721" s="9" t="inlineStr">
        <is>
          <t>HOA Tyndall Green August Payment</t>
        </is>
      </c>
      <c r="I1721" s="9" t="n"/>
      <c r="J1721" s="9" t="n"/>
      <c r="K1721" s="9" t="n">
        <v>331.12</v>
      </c>
    </row>
    <row r="1722" ht="15" customFormat="1" customHeight="1" s="5">
      <c r="A1722" s="81" t="n">
        <v>45898</v>
      </c>
      <c r="B1722" s="82" t="n">
        <v>0.6729166666666667</v>
      </c>
      <c r="C1722" s="5" t="inlineStr">
        <is>
          <t>Trader Joe's</t>
        </is>
      </c>
      <c r="E1722" s="5" t="n">
        <v>1</v>
      </c>
      <c r="F1722" s="6" t="inlineStr">
        <is>
          <t>0302 1 3491</t>
        </is>
      </c>
      <c r="G1722" s="10" t="n"/>
      <c r="H1722" s="9" t="inlineStr">
        <is>
          <t>Brioche Hot Dog Buns</t>
        </is>
      </c>
      <c r="I1722" s="9" t="n">
        <v>1</v>
      </c>
      <c r="J1722" s="9" t="inlineStr">
        <is>
          <t>lb</t>
        </is>
      </c>
      <c r="K1722" s="85" t="n">
        <v>3.49</v>
      </c>
    </row>
    <row r="1723" ht="15" customFormat="1" customHeight="1" s="5">
      <c r="A1723" s="81" t="n">
        <v>45898</v>
      </c>
      <c r="B1723" s="82" t="n">
        <v>0.6729166666666667</v>
      </c>
      <c r="C1723" s="5" t="inlineStr">
        <is>
          <t>Trader Joe's</t>
        </is>
      </c>
      <c r="E1723" s="5" t="n">
        <v>1</v>
      </c>
      <c r="F1723" s="6" t="inlineStr">
        <is>
          <t>0302 1 3491</t>
        </is>
      </c>
      <c r="G1723" s="10" t="n"/>
      <c r="H1723" s="9" t="inlineStr">
        <is>
          <t>Spice Italian Sofritto</t>
        </is>
      </c>
      <c r="I1723" s="9" t="n">
        <v>2.7</v>
      </c>
      <c r="J1723" s="9" t="inlineStr">
        <is>
          <t>oz</t>
        </is>
      </c>
      <c r="K1723" s="85" t="n">
        <v>3.29</v>
      </c>
    </row>
    <row r="1724" ht="15" customFormat="1" customHeight="1" s="5">
      <c r="A1724" s="81" t="n">
        <v>45898</v>
      </c>
      <c r="B1724" s="82" t="n">
        <v>0.6729166666666667</v>
      </c>
      <c r="C1724" s="5" t="inlineStr">
        <is>
          <t>Trader Joe's</t>
        </is>
      </c>
      <c r="E1724" s="5" t="n">
        <v>1</v>
      </c>
      <c r="F1724" s="6" t="inlineStr">
        <is>
          <t>0302 1 3491</t>
        </is>
      </c>
      <c r="G1724" s="10" t="n"/>
      <c r="H1724" s="9" t="inlineStr">
        <is>
          <t>Sparkling Orange Espresso</t>
        </is>
      </c>
      <c r="I1724" s="9" t="n">
        <v>8.449999999999999</v>
      </c>
      <c r="J1724" s="9" t="inlineStr">
        <is>
          <t>fl oz</t>
        </is>
      </c>
      <c r="K1724" s="85" t="n">
        <v>1</v>
      </c>
    </row>
    <row r="1725" ht="15" customFormat="1" customHeight="1" s="5">
      <c r="A1725" s="81" t="n">
        <v>45898</v>
      </c>
      <c r="B1725" s="82" t="n">
        <v>0.6729166666666667</v>
      </c>
      <c r="C1725" s="5" t="inlineStr">
        <is>
          <t>Trader Joe's</t>
        </is>
      </c>
      <c r="E1725" s="5" t="n">
        <v>1</v>
      </c>
      <c r="F1725" s="6" t="inlineStr">
        <is>
          <t>0302 1 3491</t>
        </is>
      </c>
      <c r="G1725" s="10" t="n"/>
      <c r="H1725" s="9" t="inlineStr">
        <is>
          <t>Organic Polenta roll</t>
        </is>
      </c>
      <c r="I1725" s="9" t="n">
        <v>18</v>
      </c>
      <c r="J1725" s="9" t="inlineStr">
        <is>
          <t>oz</t>
        </is>
      </c>
      <c r="K1725" s="85" t="n">
        <v>1.99</v>
      </c>
    </row>
    <row r="1726" ht="15" customFormat="1" customHeight="1" s="5">
      <c r="A1726" s="81" t="n">
        <v>45898</v>
      </c>
      <c r="B1726" s="82" t="n">
        <v>0.6729166666666667</v>
      </c>
      <c r="C1726" s="5" t="inlineStr">
        <is>
          <t>Trader Joe's</t>
        </is>
      </c>
      <c r="E1726" s="5" t="n">
        <v>1</v>
      </c>
      <c r="F1726" s="6" t="inlineStr">
        <is>
          <t>0302 1 3491</t>
        </is>
      </c>
      <c r="G1726" s="10" t="n"/>
      <c r="H1726" s="9" t="inlineStr">
        <is>
          <t>Lemon Bag Organic 6-cnt</t>
        </is>
      </c>
      <c r="I1726" s="9" t="n">
        <v>1</v>
      </c>
      <c r="J1726" s="9" t="inlineStr">
        <is>
          <t>lb</t>
        </is>
      </c>
      <c r="K1726" s="85" t="n">
        <v>1.99</v>
      </c>
    </row>
    <row r="1727" ht="15" customFormat="1" customHeight="1" s="5">
      <c r="A1727" s="81" t="n">
        <v>45898</v>
      </c>
      <c r="B1727" s="82" t="n">
        <v>0.6729166666666667</v>
      </c>
      <c r="C1727" s="5" t="inlineStr">
        <is>
          <t>Trader Joe's</t>
        </is>
      </c>
      <c r="E1727" s="5" t="n">
        <v>1</v>
      </c>
      <c r="F1727" s="6" t="inlineStr">
        <is>
          <t>0302 1 3491</t>
        </is>
      </c>
      <c r="G1727" s="10" t="n"/>
      <c r="H1727" s="9" t="inlineStr">
        <is>
          <t>Peanut Butter Crunchy Unsalted</t>
        </is>
      </c>
      <c r="I1727" s="9" t="n">
        <v>1</v>
      </c>
      <c r="J1727" s="9" t="inlineStr">
        <is>
          <t>lb</t>
        </is>
      </c>
      <c r="K1727" s="85" t="n">
        <v>2.49</v>
      </c>
    </row>
    <row r="1728" ht="15" customFormat="1" customHeight="1" s="5">
      <c r="A1728" s="81" t="n">
        <v>45898</v>
      </c>
      <c r="B1728" s="82" t="n">
        <v>0.6729166666666667</v>
      </c>
      <c r="C1728" s="5" t="inlineStr">
        <is>
          <t>Trader Joe's</t>
        </is>
      </c>
      <c r="E1728" s="5" t="n">
        <v>1</v>
      </c>
      <c r="F1728" s="6" t="inlineStr">
        <is>
          <t>0302 1 3491</t>
        </is>
      </c>
      <c r="G1728" s="10" t="n"/>
      <c r="H1728" s="9" t="inlineStr">
        <is>
          <t>Green Bell Pepper, 1 each 79.0¢/ea</t>
        </is>
      </c>
      <c r="I1728" s="9" t="n">
        <v>2</v>
      </c>
      <c r="J1728" s="9" t="inlineStr">
        <is>
          <t>cnt</t>
        </is>
      </c>
      <c r="K1728" s="85" t="n">
        <v>1.58</v>
      </c>
    </row>
    <row r="1729" ht="15" customFormat="1" customHeight="1" s="5">
      <c r="A1729" s="81" t="n">
        <v>45898</v>
      </c>
      <c r="B1729" s="82" t="n">
        <v>0.6729166666666667</v>
      </c>
      <c r="C1729" s="5" t="inlineStr">
        <is>
          <t>Trader Joe's</t>
        </is>
      </c>
      <c r="E1729" s="5" t="n">
        <v>1</v>
      </c>
      <c r="F1729" s="6" t="inlineStr">
        <is>
          <t>0302 1 3491</t>
        </is>
      </c>
      <c r="G1729" s="10" t="n"/>
      <c r="H1729" s="9" t="inlineStr">
        <is>
          <t>A-Onions Jumbo Yellow</t>
        </is>
      </c>
      <c r="I1729" s="9" t="n">
        <v>1</v>
      </c>
      <c r="J1729" s="9" t="inlineStr">
        <is>
          <t>cnt</t>
        </is>
      </c>
      <c r="K1729" s="85" t="n">
        <v>0.99</v>
      </c>
    </row>
    <row r="1730" ht="15" customFormat="1" customHeight="1" s="5">
      <c r="A1730" s="81" t="n">
        <v>45898</v>
      </c>
      <c r="B1730" s="82" t="n">
        <v>0.6729166666666667</v>
      </c>
      <c r="C1730" s="5" t="inlineStr">
        <is>
          <t>Trader Joe's</t>
        </is>
      </c>
      <c r="E1730" s="5" t="n">
        <v>1</v>
      </c>
      <c r="F1730" s="6" t="inlineStr">
        <is>
          <t>0302 1 3491</t>
        </is>
      </c>
      <c r="G1730" s="10" t="n"/>
      <c r="H1730" s="9" t="inlineStr">
        <is>
          <t>Tax</t>
        </is>
      </c>
      <c r="I1730" s="9" t="n">
        <v>9</v>
      </c>
      <c r="J1730" s="9" t="inlineStr">
        <is>
          <t>cnt</t>
        </is>
      </c>
      <c r="K1730" s="85" t="n">
        <v>0</v>
      </c>
    </row>
    <row r="1731" ht="15" customFormat="1" customHeight="1" s="5">
      <c r="A1731" s="81" t="n">
        <v>45898</v>
      </c>
      <c r="B1731" s="82" t="n">
        <v>0.39375</v>
      </c>
      <c r="C1731" s="5" t="inlineStr">
        <is>
          <t>Kohl's</t>
        </is>
      </c>
      <c r="E1731" s="5" t="n">
        <v>1</v>
      </c>
      <c r="F1731" s="16" t="inlineStr">
        <is>
          <t>1241 0004 1029 8</t>
        </is>
      </c>
      <c r="G1731" s="10" t="n"/>
      <c r="H1731" s="9" t="inlineStr">
        <is>
          <t>**RETURNED** Gift from Diane: lotion</t>
        </is>
      </c>
      <c r="I1731" s="9" t="n">
        <v>1</v>
      </c>
      <c r="J1731" s="9" t="inlineStr">
        <is>
          <t>cnt</t>
        </is>
      </c>
      <c r="K1731" s="9" t="n">
        <v>-11.11</v>
      </c>
    </row>
    <row r="1732" ht="15" customFormat="1" customHeight="1" s="5">
      <c r="A1732" s="81" t="n">
        <v>45898</v>
      </c>
      <c r="B1732" s="82" t="n">
        <v>0.39375</v>
      </c>
      <c r="C1732" s="5" t="inlineStr">
        <is>
          <t>Kohl's</t>
        </is>
      </c>
      <c r="E1732" s="5" t="n">
        <v>1</v>
      </c>
      <c r="F1732" s="16" t="inlineStr">
        <is>
          <t>1241 0004 1029 8</t>
        </is>
      </c>
      <c r="G1732" s="10" t="n"/>
      <c r="H1732" s="9" t="inlineStr">
        <is>
          <t>**RETURNED** Gift from Diane: socks</t>
        </is>
      </c>
      <c r="I1732" s="9" t="n">
        <v>1</v>
      </c>
      <c r="J1732" s="9" t="inlineStr">
        <is>
          <t>cnt</t>
        </is>
      </c>
      <c r="K1732" s="9" t="n">
        <v>-9.08</v>
      </c>
    </row>
    <row r="1733" ht="15" customFormat="1" customHeight="1" s="5">
      <c r="A1733" s="81" t="n">
        <v>45898</v>
      </c>
      <c r="B1733" s="82" t="n">
        <v>0.39375</v>
      </c>
      <c r="C1733" s="5" t="inlineStr">
        <is>
          <t>Kohl's</t>
        </is>
      </c>
      <c r="E1733" s="5" t="n">
        <v>1</v>
      </c>
      <c r="F1733" s="16" t="inlineStr">
        <is>
          <t>1241 0004 1029 8</t>
        </is>
      </c>
      <c r="G1733" s="10" t="n"/>
      <c r="H1733" s="9" t="inlineStr">
        <is>
          <t>**RETURNED** Gift from Diane: 3-pack of clothes</t>
        </is>
      </c>
      <c r="I1733" s="9" t="n">
        <v>3</v>
      </c>
      <c r="J1733" s="9" t="inlineStr">
        <is>
          <t>cnt</t>
        </is>
      </c>
      <c r="K1733" s="9" t="n">
        <v>-14.46</v>
      </c>
    </row>
    <row r="1734" ht="15" customFormat="1" customHeight="1" s="5">
      <c r="A1734" s="81" t="n">
        <v>45898</v>
      </c>
      <c r="B1734" s="82" t="n">
        <v>0.39375</v>
      </c>
      <c r="C1734" s="5" t="inlineStr">
        <is>
          <t>Kohl's</t>
        </is>
      </c>
      <c r="E1734" s="5" t="n">
        <v>1</v>
      </c>
      <c r="F1734" s="16" t="inlineStr">
        <is>
          <t>1241 0004 1029 8</t>
        </is>
      </c>
      <c r="G1734" s="10" t="n"/>
      <c r="H1734" s="9" t="inlineStr">
        <is>
          <t>**RETURNED** Gift from Diane: onesie</t>
        </is>
      </c>
      <c r="I1734" s="9" t="n">
        <v>1</v>
      </c>
      <c r="J1734" s="9" t="inlineStr">
        <is>
          <t>cnt</t>
        </is>
      </c>
      <c r="K1734" s="9" t="n">
        <v>-8.33</v>
      </c>
    </row>
    <row r="1735" ht="15" customFormat="1" customHeight="1" s="5">
      <c r="A1735" s="81" t="n">
        <v>45898</v>
      </c>
      <c r="B1735" s="82" t="n">
        <v>0.39375</v>
      </c>
      <c r="C1735" s="5" t="inlineStr">
        <is>
          <t>Kohl's</t>
        </is>
      </c>
      <c r="E1735" s="5" t="n">
        <v>1</v>
      </c>
      <c r="F1735" s="16" t="inlineStr">
        <is>
          <t>1241 0004 1029 8</t>
        </is>
      </c>
      <c r="G1735" s="10" t="n"/>
      <c r="H1735" s="9" t="inlineStr">
        <is>
          <t>**REFUNDED** Gift from Diane: tax</t>
        </is>
      </c>
      <c r="I1735" s="9" t="n">
        <v>4</v>
      </c>
      <c r="J1735" s="9" t="inlineStr">
        <is>
          <t>cnt</t>
        </is>
      </c>
      <c r="K1735" s="9" t="n">
        <v>-3.22</v>
      </c>
    </row>
    <row r="1736" ht="15" customFormat="1" customHeight="1" s="5">
      <c r="A1736" s="81" t="n">
        <v>45897</v>
      </c>
      <c r="B1736" s="82" t="n">
        <v>0.8590277777777777</v>
      </c>
      <c r="C1736" s="5" t="inlineStr">
        <is>
          <t>Church Center</t>
        </is>
      </c>
      <c r="D1736" s="5" t="n">
        <v>1</v>
      </c>
      <c r="F1736" s="16" t="inlineStr">
        <is>
          <t>#69371080</t>
        </is>
      </c>
      <c r="G1736" s="10" t="n"/>
      <c r="H1736" s="9" t="inlineStr">
        <is>
          <t>Greenwood Community Church MomCo (formerly MOPS)</t>
        </is>
      </c>
      <c r="I1736" s="9" t="n">
        <v>1</v>
      </c>
      <c r="J1736" s="9" t="inlineStr">
        <is>
          <t>cnt</t>
        </is>
      </c>
      <c r="K1736" s="9" t="n">
        <v>85</v>
      </c>
    </row>
    <row r="1737" ht="15" customFormat="1" customHeight="1" s="5">
      <c r="A1737" s="81" t="n">
        <v>45897</v>
      </c>
      <c r="B1737" s="82" t="n">
        <v>0.75</v>
      </c>
      <c r="C1737" s="5" t="inlineStr">
        <is>
          <t>Dry Dock Brewing Co</t>
        </is>
      </c>
      <c r="E1737" s="5" t="n">
        <v>1</v>
      </c>
      <c r="F1737" s="16" t="inlineStr">
        <is>
          <t>Na_forgotReceipt</t>
        </is>
      </c>
      <c r="G1737" s="10" t="n"/>
      <c r="H1737" s="9" t="inlineStr">
        <is>
          <t>Eli Dry Dock (a pint of… prickly pear? Can't remember)</t>
        </is>
      </c>
      <c r="I1737" s="9" t="n">
        <v>1</v>
      </c>
      <c r="J1737" s="9" t="inlineStr">
        <is>
          <t>pint</t>
        </is>
      </c>
      <c r="K1737" s="9" t="n">
        <v>20</v>
      </c>
    </row>
    <row r="1738" ht="15" customFormat="1" customHeight="1" s="5">
      <c r="A1738" s="81" t="n">
        <v>45897</v>
      </c>
      <c r="B1738" s="82" t="n">
        <v>0.75</v>
      </c>
      <c r="C1738" s="5" t="inlineStr">
        <is>
          <t>Dry Dock Brewing Co</t>
        </is>
      </c>
      <c r="E1738" s="5" t="n">
        <v>1</v>
      </c>
      <c r="F1738" s="16" t="inlineStr">
        <is>
          <t>Na_forgotReceipt</t>
        </is>
      </c>
      <c r="G1738" s="10" t="n"/>
      <c r="H1738" s="9" t="inlineStr">
        <is>
          <t>Eli Dry Dock Tim's tab</t>
        </is>
      </c>
      <c r="I1738" s="9" t="n">
        <v>1</v>
      </c>
      <c r="J1738" s="9" t="inlineStr">
        <is>
          <t>cnt</t>
        </is>
      </c>
      <c r="K1738" s="9" t="n">
        <v>24.76</v>
      </c>
    </row>
    <row r="1739" ht="15" customFormat="1" customHeight="1" s="5">
      <c r="A1739" s="81" t="n">
        <v>45897</v>
      </c>
      <c r="B1739" s="82" t="n">
        <v>0.3694444444444445</v>
      </c>
      <c r="C1739" s="5" t="inlineStr">
        <is>
          <t>Safeway</t>
        </is>
      </c>
      <c r="E1739" s="5" t="n">
        <v>1</v>
      </c>
      <c r="F1739" s="16" t="inlineStr">
        <is>
          <t>2612 93 22 8893</t>
        </is>
      </c>
      <c r="G1739" s="15" t="inlineStr">
        <is>
          <t>7989316000</t>
        </is>
      </c>
      <c r="H1739" s="9" t="inlineStr">
        <is>
          <t>Value Corner Whole Milk</t>
        </is>
      </c>
      <c r="I1739" s="9" t="n">
        <v>1</v>
      </c>
      <c r="J1739" s="9" t="inlineStr">
        <is>
          <t>gal</t>
        </is>
      </c>
      <c r="K1739" s="9" t="n">
        <v>3.39</v>
      </c>
    </row>
    <row r="1740" ht="15" customFormat="1" customHeight="1" s="5">
      <c r="A1740" s="81" t="n">
        <v>45897</v>
      </c>
      <c r="B1740" s="82" t="n">
        <v>0.3694444444444445</v>
      </c>
      <c r="C1740" s="5" t="inlineStr">
        <is>
          <t>Safeway</t>
        </is>
      </c>
      <c r="E1740" s="5" t="n">
        <v>1</v>
      </c>
      <c r="F1740" s="16" t="inlineStr">
        <is>
          <t>2612 93 22 8893</t>
        </is>
      </c>
      <c r="G1740" s="15" t="inlineStr">
        <is>
          <t>8159092160</t>
        </is>
      </c>
      <c r="H1740" s="9" t="inlineStr">
        <is>
          <t>Noosa Perfectly Plain Yoghurt 8 Oz</t>
        </is>
      </c>
      <c r="I1740" s="9" t="n">
        <v>8</v>
      </c>
      <c r="J1740" s="9" t="inlineStr">
        <is>
          <t>oz</t>
        </is>
      </c>
      <c r="K1740" s="9" t="n">
        <v>1.79</v>
      </c>
    </row>
    <row r="1741" ht="15" customFormat="1" customHeight="1" s="5">
      <c r="A1741" s="81" t="n">
        <v>45897</v>
      </c>
      <c r="B1741" s="82" t="n">
        <v>0.3694444444444445</v>
      </c>
      <c r="C1741" s="5" t="inlineStr">
        <is>
          <t>Safeway</t>
        </is>
      </c>
      <c r="E1741" s="5" t="n">
        <v>1</v>
      </c>
      <c r="F1741" s="16" t="inlineStr">
        <is>
          <t>2612 93 22 8893</t>
        </is>
      </c>
      <c r="G1741" s="10" t="n"/>
      <c r="H1741" s="9" t="inlineStr">
        <is>
          <t>Tax</t>
        </is>
      </c>
      <c r="I1741" s="9" t="n">
        <v>2</v>
      </c>
      <c r="J1741" s="9" t="inlineStr">
        <is>
          <t>cnt</t>
        </is>
      </c>
      <c r="K1741" s="9" t="n">
        <v>0</v>
      </c>
    </row>
    <row r="1742" ht="15" customFormat="1" customHeight="1" s="5">
      <c r="A1742" s="81" t="n">
        <v>45896</v>
      </c>
      <c r="B1742" s="82" t="n">
        <v>0.8493055555555555</v>
      </c>
      <c r="C1742" s="5" t="inlineStr">
        <is>
          <t>Amazon</t>
        </is>
      </c>
      <c r="D1742" s="5" t="n">
        <v>1</v>
      </c>
      <c r="F1742" s="16" t="inlineStr">
        <is>
          <t>111-5816143-8815419</t>
        </is>
      </c>
      <c r="G1742" s="10" t="n"/>
      <c r="H1742" s="9" t="inlineStr">
        <is>
          <t>**RETURNED** Amazon Basics Under Bed Fabric Zipper Blanket Storage Container Bags with Window and Handles, 2-Pack, 18 x 42 x 6 inches, Gray</t>
        </is>
      </c>
      <c r="I1742" s="9" t="n">
        <v>2</v>
      </c>
      <c r="J1742" s="9" t="inlineStr">
        <is>
          <t>cnt</t>
        </is>
      </c>
      <c r="K1742" s="9" t="n">
        <v>-14</v>
      </c>
    </row>
    <row r="1743" ht="15" customFormat="1" customHeight="1" s="5">
      <c r="A1743" s="81" t="n">
        <v>45896</v>
      </c>
      <c r="B1743" s="82" t="n">
        <v>0.8472222222222222</v>
      </c>
      <c r="C1743" s="5" t="inlineStr">
        <is>
          <t>Amazon</t>
        </is>
      </c>
      <c r="D1743" s="5" t="n">
        <v>1</v>
      </c>
      <c r="F1743" s="16" t="inlineStr">
        <is>
          <t>111-8227019-9298649</t>
        </is>
      </c>
      <c r="G1743" s="10" t="n"/>
      <c r="H1743" s="9" t="inlineStr">
        <is>
          <t>Wonderbelly Antacid, Effective Heartburn and Instant Acid Indigestion Relief, Extra Strength Chewable Tablets, 1000 mg Calcium Carbonate, No Talc or Dye, Strawberry Milkshake, 60 Count</t>
        </is>
      </c>
      <c r="I1743" s="9" t="n">
        <v>60</v>
      </c>
      <c r="J1743" s="9" t="inlineStr">
        <is>
          <t>cnt</t>
        </is>
      </c>
      <c r="K1743" s="9" t="n">
        <v>11.99</v>
      </c>
    </row>
    <row r="1744" ht="15" customFormat="1" customHeight="1" s="5">
      <c r="A1744" s="81" t="n">
        <v>45896</v>
      </c>
      <c r="B1744" s="82" t="n">
        <v>0.8472222222222222</v>
      </c>
      <c r="C1744" s="5" t="inlineStr">
        <is>
          <t>Amazon</t>
        </is>
      </c>
      <c r="D1744" s="5" t="n">
        <v>1</v>
      </c>
      <c r="F1744" s="16" t="inlineStr">
        <is>
          <t>111-8227019-9298649</t>
        </is>
      </c>
      <c r="G1744" s="10" t="n"/>
      <c r="H1744" s="9" t="inlineStr">
        <is>
          <t>CO Retail delivery fees</t>
        </is>
      </c>
      <c r="I1744" s="9" t="n">
        <v>1</v>
      </c>
      <c r="J1744" s="9" t="inlineStr">
        <is>
          <t>cnt</t>
        </is>
      </c>
      <c r="K1744" s="9" t="n">
        <v>0.28</v>
      </c>
    </row>
    <row r="1745" ht="15" customFormat="1" customHeight="1" s="5">
      <c r="A1745" s="81" t="n">
        <v>45896</v>
      </c>
      <c r="B1745" s="82" t="n">
        <v>0.8472222222222222</v>
      </c>
      <c r="C1745" s="5" t="inlineStr">
        <is>
          <t>Amazon</t>
        </is>
      </c>
      <c r="D1745" s="5" t="n">
        <v>1</v>
      </c>
      <c r="F1745" s="16" t="inlineStr">
        <is>
          <t>111-8227019-9298649</t>
        </is>
      </c>
      <c r="G1745" s="10" t="n"/>
      <c r="H1745" s="9" t="inlineStr">
        <is>
          <t>Tax</t>
        </is>
      </c>
      <c r="I1745" s="9" t="n">
        <v>1</v>
      </c>
      <c r="J1745" s="9" t="inlineStr">
        <is>
          <t>cnt</t>
        </is>
      </c>
      <c r="K1745" s="9" t="n">
        <v>0.96</v>
      </c>
    </row>
    <row r="1746" ht="15" customFormat="1" customHeight="1" s="5">
      <c r="A1746" s="81" t="n">
        <v>45896</v>
      </c>
      <c r="B1746" s="82" t="n">
        <v>0.8472222222222222</v>
      </c>
      <c r="C1746" s="5" t="inlineStr">
        <is>
          <t>Amazon</t>
        </is>
      </c>
      <c r="D1746" s="5" t="n">
        <v>1</v>
      </c>
      <c r="F1746" s="16" t="inlineStr">
        <is>
          <t>111-8227019-9298649</t>
        </is>
      </c>
      <c r="G1746" s="10" t="n"/>
      <c r="H1746" s="9" t="inlineStr">
        <is>
          <t>Amazon Prime rewards points</t>
        </is>
      </c>
      <c r="I1746" s="9" t="n">
        <v>1</v>
      </c>
      <c r="J1746" s="9" t="inlineStr">
        <is>
          <t>cnt</t>
        </is>
      </c>
      <c r="K1746" s="9" t="n">
        <v>-0.71</v>
      </c>
    </row>
    <row r="1747" ht="15" customFormat="1" customHeight="1" s="5">
      <c r="A1747" s="81" t="n">
        <v>45896</v>
      </c>
      <c r="B1747" s="82" t="n">
        <v>0.6430555555555556</v>
      </c>
      <c r="C1747" s="5" t="inlineStr">
        <is>
          <t>Amazon</t>
        </is>
      </c>
      <c r="D1747" s="5" t="n">
        <v>1</v>
      </c>
      <c r="F1747" s="6" t="inlineStr">
        <is>
          <t>114-1011888-4309866</t>
        </is>
      </c>
      <c r="G1747" s="10" t="inlineStr">
        <is>
          <t>DW1dOCfnRRMA</t>
        </is>
      </c>
      <c r="H1747" s="9" t="inlineStr">
        <is>
          <t>**RETURNED** Calculus for Babies (it isn't good, according to Eli)</t>
        </is>
      </c>
      <c r="I1747" s="9" t="n">
        <v>0.84</v>
      </c>
      <c r="J1747" s="9" t="inlineStr">
        <is>
          <t>lb</t>
        </is>
      </c>
      <c r="K1747" s="9" t="n">
        <v>-10.03</v>
      </c>
    </row>
    <row r="1748" ht="15" customFormat="1" customHeight="1" s="5">
      <c r="A1748" s="81" t="n">
        <v>45896</v>
      </c>
      <c r="B1748" s="82" t="n">
        <v>0.6284722222222222</v>
      </c>
      <c r="C1748" s="5" t="inlineStr">
        <is>
          <t>Amazon</t>
        </is>
      </c>
      <c r="D1748" s="5" t="n">
        <v>1</v>
      </c>
      <c r="F1748" s="6" t="inlineStr">
        <is>
          <t>111-1465680-5531463</t>
        </is>
      </c>
      <c r="G1748" s="15" t="inlineStr">
        <is>
          <t>DH9N7sf2RRMA</t>
        </is>
      </c>
      <c r="H1748" s="9" t="inlineStr">
        <is>
          <t>**RETURNED** Little Whispers Baby Food Pouch Spoon Attachments - Stage 1, Small (Ripple) - 5 Pack</t>
        </is>
      </c>
      <c r="I1748" s="9" t="n">
        <v>0.09</v>
      </c>
      <c r="J1748" s="9" t="inlineStr">
        <is>
          <t>lb</t>
        </is>
      </c>
      <c r="K1748" s="9" t="n">
        <v>-10.79</v>
      </c>
    </row>
    <row r="1749" ht="15" customFormat="1" customHeight="1" s="5">
      <c r="A1749" s="81" t="n">
        <v>45896</v>
      </c>
      <c r="B1749" s="82" t="n">
        <v>0.6284722222222222</v>
      </c>
      <c r="C1749" s="5" t="inlineStr">
        <is>
          <t>Amazon</t>
        </is>
      </c>
      <c r="D1749" s="5" t="n">
        <v>1</v>
      </c>
      <c r="F1749" s="6" t="inlineStr">
        <is>
          <t>111-9008357-3224262</t>
        </is>
      </c>
      <c r="G1749" s="15" t="inlineStr">
        <is>
          <t>1Z4435409032919050</t>
        </is>
      </c>
      <c r="H1749" s="9" t="inlineStr">
        <is>
          <t>**RETURNED** blow-up foot rest + $1.90 tax refund</t>
        </is>
      </c>
      <c r="I1749" s="9" t="n">
        <v>1.23</v>
      </c>
      <c r="J1749" s="9" t="inlineStr">
        <is>
          <t>lb</t>
        </is>
      </c>
      <c r="K1749" s="9" t="n">
        <v>-25.64</v>
      </c>
    </row>
    <row r="1750" ht="15" customFormat="1" customHeight="1" s="5">
      <c r="A1750" s="81" t="n">
        <v>45896</v>
      </c>
      <c r="B1750" s="82" t="n">
        <v>0.6284722222222222</v>
      </c>
      <c r="C1750" s="5" t="inlineStr">
        <is>
          <t>Amazon</t>
        </is>
      </c>
      <c r="D1750" s="5" t="n">
        <v>1</v>
      </c>
      <c r="F1750" s="6" t="inlineStr">
        <is>
          <t>113-8577463-1025047</t>
        </is>
      </c>
      <c r="G1750" s="15" t="inlineStr">
        <is>
          <t>1Z4435409032912977</t>
        </is>
      </c>
      <c r="H1750" s="9" t="inlineStr">
        <is>
          <t>**RETURNED** Mesh for stairs + $0.96 tax refund</t>
        </is>
      </c>
      <c r="I1750" s="9" t="n">
        <v>1.57</v>
      </c>
      <c r="J1750" s="9" t="inlineStr">
        <is>
          <t>lb</t>
        </is>
      </c>
      <c r="K1750" s="9" t="n">
        <v>-12.95</v>
      </c>
    </row>
    <row r="1751" ht="15" customFormat="1" customHeight="1" s="5">
      <c r="A1751" s="89" t="n">
        <v>45896</v>
      </c>
      <c r="B1751" s="82" t="n">
        <v>0.2916666666666667</v>
      </c>
      <c r="C1751" s="5" t="inlineStr">
        <is>
          <t>Nourish Dietician App</t>
        </is>
      </c>
      <c r="D1751" s="5" t="n">
        <v>1</v>
      </c>
      <c r="F1751" s="6" t="inlineStr">
        <is>
          <t>None_FullyCovered</t>
        </is>
      </c>
      <c r="G1751" s="17" t="inlineStr">
        <is>
          <t>2025242MG4071</t>
        </is>
      </c>
      <c r="H1751" s="9" t="inlineStr">
        <is>
          <t>8/25 Nourish follow-up call (Lauren Jamal)</t>
        </is>
      </c>
      <c r="I1751" s="5" t="n">
        <v>1</v>
      </c>
      <c r="J1751" s="5" t="inlineStr">
        <is>
          <t>cnt</t>
        </is>
      </c>
      <c r="K1751" s="5" t="n">
        <v>0</v>
      </c>
    </row>
    <row r="1752" ht="15" customFormat="1" customHeight="1" s="5">
      <c r="A1752" s="81" t="n">
        <v>45896</v>
      </c>
      <c r="B1752" s="82" t="n">
        <v>0.2807060185185185</v>
      </c>
      <c r="C1752" s="5" t="inlineStr">
        <is>
          <t>Shell</t>
        </is>
      </c>
      <c r="E1752" s="5" t="n">
        <v>1</v>
      </c>
      <c r="F1752" s="6" t="inlineStr">
        <is>
          <t>529360001</t>
        </is>
      </c>
      <c r="G1752" s="15" t="inlineStr">
        <is>
          <t>4</t>
        </is>
      </c>
      <c r="H1752" s="9" t="inlineStr">
        <is>
          <t>Ford Gas 5.172 Gallons @ $3.079/gal</t>
        </is>
      </c>
      <c r="I1752" s="9" t="n">
        <v>5.172</v>
      </c>
      <c r="J1752" s="9" t="inlineStr">
        <is>
          <t>gal</t>
        </is>
      </c>
      <c r="K1752" s="9" t="n">
        <v>15.92</v>
      </c>
    </row>
    <row r="1753" ht="15" customFormat="1" customHeight="1" s="5">
      <c r="A1753" s="81" t="n">
        <v>45895</v>
      </c>
      <c r="B1753" s="82" t="n">
        <v>0.5305555555555556</v>
      </c>
      <c r="C1753" s="5" t="inlineStr">
        <is>
          <t>Amazon</t>
        </is>
      </c>
      <c r="D1753" s="5" t="n">
        <v>1</v>
      </c>
      <c r="F1753" s="16" t="inlineStr">
        <is>
          <t>111-5816143-8815419</t>
        </is>
      </c>
      <c r="G1753" s="10" t="n"/>
      <c r="H1753" s="9" t="inlineStr">
        <is>
          <t>Evenflo Expansion Walk-Thru Room Divider Baby Gate, Farmhouse Collection</t>
        </is>
      </c>
      <c r="I1753" s="9" t="n">
        <v>1</v>
      </c>
      <c r="J1753" s="9" t="inlineStr">
        <is>
          <t>cnt</t>
        </is>
      </c>
      <c r="K1753" s="9" t="n">
        <v>54.99</v>
      </c>
    </row>
    <row r="1754" ht="15" customFormat="1" customHeight="1" s="5">
      <c r="A1754" s="81" t="n">
        <v>45895</v>
      </c>
      <c r="B1754" s="82" t="n">
        <v>0.5305555555555556</v>
      </c>
      <c r="C1754" s="5" t="inlineStr">
        <is>
          <t>Amazon</t>
        </is>
      </c>
      <c r="D1754" s="5" t="n">
        <v>1</v>
      </c>
      <c r="F1754" s="16" t="inlineStr">
        <is>
          <t>111-5816143-8815419</t>
        </is>
      </c>
      <c r="G1754" s="10" t="n"/>
      <c r="H1754" s="9" t="inlineStr">
        <is>
          <t>Hiccapop XL 69” Deluxe Outdoor Baby Playpen with Canopy for Babies and Toddlers with Dome, Sun-Shades, Padded Floor | Pop Up Playpen for Beach or Home, Portable</t>
        </is>
      </c>
      <c r="I1754" s="9" t="n">
        <v>1</v>
      </c>
      <c r="J1754" s="9" t="inlineStr">
        <is>
          <t>cnt</t>
        </is>
      </c>
      <c r="K1754" s="9" t="n">
        <v>119.92</v>
      </c>
    </row>
    <row r="1755" ht="15" customFormat="1" customHeight="1" s="5">
      <c r="A1755" s="81" t="n">
        <v>45895</v>
      </c>
      <c r="B1755" s="82" t="n">
        <v>0.5305555555555556</v>
      </c>
      <c r="C1755" s="5" t="inlineStr">
        <is>
          <t>Amazon</t>
        </is>
      </c>
      <c r="D1755" s="5" t="n">
        <v>1</v>
      </c>
      <c r="F1755" s="16" t="inlineStr">
        <is>
          <t>111-5816143-8815419</t>
        </is>
      </c>
      <c r="G1755" s="10" t="n"/>
      <c r="H1755" s="9" t="inlineStr">
        <is>
          <t>Amazon Basics Under Bed Fabric Zipper Blanket Storage Container Bags with Window and Handles, 2-Pack, 18 x 42 x 6 inches, Gray</t>
        </is>
      </c>
      <c r="I1755" s="9" t="n">
        <v>2</v>
      </c>
      <c r="J1755" s="9" t="inlineStr">
        <is>
          <t>cnt</t>
        </is>
      </c>
      <c r="K1755" s="9" t="n">
        <v>12.96</v>
      </c>
    </row>
    <row r="1756" ht="15" customFormat="1" customHeight="1" s="5">
      <c r="A1756" s="81" t="n">
        <v>45895</v>
      </c>
      <c r="B1756" s="82" t="n">
        <v>0.5305555555555556</v>
      </c>
      <c r="C1756" s="5" t="inlineStr">
        <is>
          <t>Amazon</t>
        </is>
      </c>
      <c r="D1756" s="5" t="n">
        <v>1</v>
      </c>
      <c r="F1756" s="16" t="inlineStr">
        <is>
          <t>111-5816143-8815419</t>
        </is>
      </c>
      <c r="G1756" s="10" t="n"/>
      <c r="H1756" s="9" t="inlineStr">
        <is>
          <t>CO Retail delivery fees</t>
        </is>
      </c>
      <c r="I1756" s="9" t="n">
        <v>3</v>
      </c>
      <c r="J1756" s="9" t="inlineStr">
        <is>
          <t>cnt</t>
        </is>
      </c>
      <c r="K1756" s="9" t="n">
        <v>0.28</v>
      </c>
    </row>
    <row r="1757" ht="15" customFormat="1" customHeight="1" s="5">
      <c r="A1757" s="81" t="n">
        <v>45895</v>
      </c>
      <c r="B1757" s="82" t="n">
        <v>0.5305555555555556</v>
      </c>
      <c r="C1757" s="5" t="inlineStr">
        <is>
          <t>Amazon</t>
        </is>
      </c>
      <c r="D1757" s="5" t="n">
        <v>1</v>
      </c>
      <c r="F1757" s="16" t="inlineStr">
        <is>
          <t>111-5816143-8815419</t>
        </is>
      </c>
      <c r="G1757" s="10" t="n"/>
      <c r="H1757" s="9" t="inlineStr">
        <is>
          <t>Tax</t>
        </is>
      </c>
      <c r="I1757" s="9" t="n">
        <v>3</v>
      </c>
      <c r="J1757" s="9" t="inlineStr">
        <is>
          <t>cnt</t>
        </is>
      </c>
      <c r="K1757" s="9" t="n">
        <v>15.03</v>
      </c>
    </row>
    <row r="1758" ht="15" customFormat="1" customHeight="1" s="5">
      <c r="A1758" s="81" t="n">
        <v>45895</v>
      </c>
      <c r="B1758" s="82" t="n">
        <v>0.5305555555555556</v>
      </c>
      <c r="C1758" s="5" t="inlineStr">
        <is>
          <t>Amazon</t>
        </is>
      </c>
      <c r="D1758" s="5" t="n">
        <v>1</v>
      </c>
      <c r="F1758" s="16" t="inlineStr">
        <is>
          <t>111-5816143-8815419</t>
        </is>
      </c>
      <c r="G1758" s="10" t="n"/>
      <c r="H1758" s="9" t="inlineStr">
        <is>
          <t>**DISCOUNT** Amazon Prime Young Adult</t>
        </is>
      </c>
      <c r="I1758" s="9" t="n">
        <v>3</v>
      </c>
      <c r="J1758" s="9" t="inlineStr">
        <is>
          <t>cnt</t>
        </is>
      </c>
      <c r="K1758" s="9" t="n">
        <v>-9.67</v>
      </c>
    </row>
    <row r="1759" ht="15" customFormat="1" customHeight="1" s="5">
      <c r="A1759" s="81" t="n">
        <v>45895</v>
      </c>
      <c r="B1759" s="82" t="n">
        <v>0.5305555555555556</v>
      </c>
      <c r="C1759" s="5" t="inlineStr">
        <is>
          <t>Amazon</t>
        </is>
      </c>
      <c r="D1759" s="5" t="n">
        <v>1</v>
      </c>
      <c r="F1759" s="16" t="inlineStr">
        <is>
          <t>111-5816143-8815419</t>
        </is>
      </c>
      <c r="G1759" s="10" t="n"/>
      <c r="H1759" s="9" t="inlineStr">
        <is>
          <t>**DISCOUNT** Amazon Prime Visa rewards</t>
        </is>
      </c>
      <c r="I1759" s="9" t="n">
        <v>3</v>
      </c>
      <c r="J1759" s="9" t="inlineStr">
        <is>
          <t>cnt</t>
        </is>
      </c>
      <c r="K1759" s="9" t="n">
        <v>-1.88</v>
      </c>
    </row>
    <row r="1760" ht="15" customFormat="1" customHeight="1" s="5">
      <c r="A1760" s="81" t="n">
        <v>45894</v>
      </c>
      <c r="B1760" s="82" t="n">
        <v>0.7388888888888889</v>
      </c>
      <c r="C1760" s="5" t="inlineStr">
        <is>
          <t>Safeway</t>
        </is>
      </c>
      <c r="E1760" s="5" t="n">
        <v>1</v>
      </c>
      <c r="F1760" s="16" t="inlineStr">
        <is>
          <t>2612 54 205 8854</t>
        </is>
      </c>
      <c r="G1760" s="15" t="inlineStr">
        <is>
          <t>2113050116</t>
        </is>
      </c>
      <c r="H1760" s="9" t="inlineStr">
        <is>
          <t>Signature Select Dry Black Beans</t>
        </is>
      </c>
      <c r="I1760" s="9" t="n">
        <v>16</v>
      </c>
      <c r="J1760" s="9" t="inlineStr">
        <is>
          <t>oz</t>
        </is>
      </c>
      <c r="K1760" s="9" t="n">
        <v>2.19</v>
      </c>
    </row>
    <row r="1761" ht="15" customFormat="1" customHeight="1" s="5">
      <c r="A1761" s="81" t="n">
        <v>45894</v>
      </c>
      <c r="B1761" s="82" t="n">
        <v>0.7388888888888889</v>
      </c>
      <c r="C1761" s="5" t="inlineStr">
        <is>
          <t>Safeway</t>
        </is>
      </c>
      <c r="E1761" s="5" t="n">
        <v>1</v>
      </c>
      <c r="F1761" s="16" t="inlineStr">
        <is>
          <t>2612 54 205 8854</t>
        </is>
      </c>
      <c r="G1761" s="10" t="n"/>
      <c r="H1761" s="9" t="inlineStr">
        <is>
          <t>**DISCOUNT** Basket Savings</t>
        </is>
      </c>
      <c r="I1761" s="9" t="n">
        <v>16</v>
      </c>
      <c r="J1761" s="9" t="inlineStr">
        <is>
          <t>oz</t>
        </is>
      </c>
      <c r="K1761" s="9" t="n">
        <v>-0.22</v>
      </c>
    </row>
    <row r="1762" ht="15" customFormat="1" customHeight="1" s="5">
      <c r="A1762" s="81" t="n">
        <v>45894</v>
      </c>
      <c r="B1762" s="82" t="n">
        <v>0.7388888888888889</v>
      </c>
      <c r="C1762" s="5" t="inlineStr">
        <is>
          <t>Safeway</t>
        </is>
      </c>
      <c r="E1762" s="5" t="n">
        <v>1</v>
      </c>
      <c r="F1762" s="16" t="inlineStr">
        <is>
          <t>2612 54 205 8854</t>
        </is>
      </c>
      <c r="G1762" s="10" t="n"/>
      <c r="H1762" s="9" t="inlineStr">
        <is>
          <t>Tax</t>
        </is>
      </c>
      <c r="I1762" s="9" t="n">
        <v>16</v>
      </c>
      <c r="J1762" s="9" t="inlineStr">
        <is>
          <t>oz</t>
        </is>
      </c>
      <c r="K1762" s="9" t="n">
        <v>0</v>
      </c>
    </row>
    <row r="1763" ht="15" customFormat="1" customHeight="1" s="5">
      <c r="A1763" s="81" t="n">
        <v>45894</v>
      </c>
      <c r="B1763" s="82" t="n">
        <v>0.7381944444444445</v>
      </c>
      <c r="C1763" s="5" t="inlineStr">
        <is>
          <t>Safeway</t>
        </is>
      </c>
      <c r="E1763" s="5" t="n">
        <v>1</v>
      </c>
      <c r="F1763" s="16" t="inlineStr">
        <is>
          <t>2612 54 204 8854</t>
        </is>
      </c>
      <c r="G1763" s="10" t="n"/>
      <c r="H1763" s="9" t="inlineStr">
        <is>
          <t>Mangos Large fresh @$0.77/each</t>
        </is>
      </c>
      <c r="I1763" s="9" t="n">
        <v>5</v>
      </c>
      <c r="J1763" s="9" t="inlineStr">
        <is>
          <t>cnt</t>
        </is>
      </c>
      <c r="K1763" s="9" t="n">
        <v>3.5</v>
      </c>
    </row>
    <row r="1764" ht="15" customFormat="1" customHeight="1" s="5">
      <c r="A1764" s="81" t="n">
        <v>45894</v>
      </c>
      <c r="B1764" s="82" t="n">
        <v>0.7381944444444445</v>
      </c>
      <c r="C1764" s="5" t="inlineStr">
        <is>
          <t>Safeway</t>
        </is>
      </c>
      <c r="E1764" s="5" t="n">
        <v>1</v>
      </c>
      <c r="F1764" s="16" t="inlineStr">
        <is>
          <t>2612 54 204 8854</t>
        </is>
      </c>
      <c r="G1764" s="10" t="n"/>
      <c r="H1764" s="9" t="inlineStr">
        <is>
          <t>Blueberries Prepacked</t>
        </is>
      </c>
      <c r="I1764" s="9" t="n">
        <v>18</v>
      </c>
      <c r="J1764" s="9" t="inlineStr">
        <is>
          <t>oz</t>
        </is>
      </c>
      <c r="K1764" s="9" t="n">
        <v>3.38</v>
      </c>
    </row>
    <row r="1765" ht="15" customFormat="1" customHeight="1" s="5">
      <c r="A1765" s="81" t="n">
        <v>45894</v>
      </c>
      <c r="B1765" s="82" t="n">
        <v>0.7381944444444445</v>
      </c>
      <c r="C1765" s="5" t="inlineStr">
        <is>
          <t>Safeway</t>
        </is>
      </c>
      <c r="E1765" s="5" t="n">
        <v>1</v>
      </c>
      <c r="F1765" s="16" t="inlineStr">
        <is>
          <t>2612 54 204 8854</t>
        </is>
      </c>
      <c r="G1765" s="10" t="n"/>
      <c r="H1765" s="9" t="inlineStr">
        <is>
          <t>Signature Select Pink Salmon 14.75 Oz</t>
        </is>
      </c>
      <c r="I1765" s="9" t="n">
        <v>14.75</v>
      </c>
      <c r="J1765" s="9" t="n"/>
      <c r="K1765" s="9" t="n">
        <v>4.48</v>
      </c>
    </row>
    <row r="1766" ht="15" customFormat="1" customHeight="1" s="5">
      <c r="A1766" s="81" t="n">
        <v>45894</v>
      </c>
      <c r="B1766" s="82" t="n">
        <v>0.7381944444444445</v>
      </c>
      <c r="C1766" s="5" t="inlineStr">
        <is>
          <t>Safeway</t>
        </is>
      </c>
      <c r="E1766" s="5" t="n">
        <v>1</v>
      </c>
      <c r="F1766" s="16" t="inlineStr">
        <is>
          <t>2612 54 204 8854</t>
        </is>
      </c>
      <c r="G1766" s="10" t="n"/>
      <c r="H1766" s="9" t="inlineStr">
        <is>
          <t>Signature Select Pink Salmon 14.75 Oz</t>
        </is>
      </c>
      <c r="I1766" s="9" t="n">
        <v>14.75</v>
      </c>
      <c r="J1766" s="9" t="n"/>
      <c r="K1766" s="9" t="n">
        <v>4.49</v>
      </c>
    </row>
    <row r="1767" ht="15" customFormat="1" customHeight="1" s="5">
      <c r="A1767" s="81" t="n">
        <v>45894</v>
      </c>
      <c r="B1767" s="82" t="n">
        <v>0.7381944444444445</v>
      </c>
      <c r="C1767" s="5" t="inlineStr">
        <is>
          <t>Safeway</t>
        </is>
      </c>
      <c r="E1767" s="5" t="n">
        <v>1</v>
      </c>
      <c r="F1767" s="16" t="inlineStr">
        <is>
          <t>2612 54 204 8854</t>
        </is>
      </c>
      <c r="G1767" s="10" t="n"/>
      <c r="H1767" s="9" t="inlineStr">
        <is>
          <t>Signature Select Red Kidney Beans Dry 16 Ounce</t>
        </is>
      </c>
      <c r="I1767" s="9" t="n">
        <v>16</v>
      </c>
      <c r="J1767" s="9" t="n"/>
      <c r="K1767" s="9" t="n">
        <v>1.97</v>
      </c>
    </row>
    <row r="1768" ht="15" customFormat="1" customHeight="1" s="5">
      <c r="A1768" s="81" t="n">
        <v>45894</v>
      </c>
      <c r="B1768" s="82" t="n">
        <v>0.7381944444444445</v>
      </c>
      <c r="C1768" s="5" t="inlineStr">
        <is>
          <t>Safeway</t>
        </is>
      </c>
      <c r="E1768" s="5" t="n">
        <v>1</v>
      </c>
      <c r="F1768" s="16" t="inlineStr">
        <is>
          <t>2612 54 204 8854</t>
        </is>
      </c>
      <c r="G1768" s="10" t="n"/>
      <c r="H1768" s="9" t="inlineStr">
        <is>
          <t>Brussels Sprouts fresh</t>
        </is>
      </c>
      <c r="I1768" s="9" t="n">
        <v>0.67</v>
      </c>
      <c r="J1768" s="9" t="inlineStr">
        <is>
          <t>lb</t>
        </is>
      </c>
      <c r="K1768" s="9" t="n">
        <v>2.4</v>
      </c>
    </row>
    <row r="1769" ht="15" customFormat="1" customHeight="1" s="5">
      <c r="A1769" s="81" t="n">
        <v>45894</v>
      </c>
      <c r="B1769" s="82" t="n">
        <v>0.7381944444444445</v>
      </c>
      <c r="C1769" s="5" t="inlineStr">
        <is>
          <t>Safeway</t>
        </is>
      </c>
      <c r="E1769" s="5" t="n">
        <v>1</v>
      </c>
      <c r="F1769" s="16" t="inlineStr">
        <is>
          <t>2612 54 204 8854</t>
        </is>
      </c>
      <c r="G1769" s="10" t="n"/>
      <c r="H1769" s="9" t="inlineStr">
        <is>
          <t>Signature Select Cut Okra 12 Oz</t>
        </is>
      </c>
      <c r="I1769" s="9" t="n">
        <v>24</v>
      </c>
      <c r="J1769" s="9" t="inlineStr">
        <is>
          <t>oz</t>
        </is>
      </c>
      <c r="K1769" s="9" t="n">
        <v>3</v>
      </c>
    </row>
    <row r="1770" ht="15" customFormat="1" customHeight="1" s="5">
      <c r="A1770" s="81" t="n">
        <v>45894</v>
      </c>
      <c r="B1770" s="82" t="n">
        <v>0.7381944444444445</v>
      </c>
      <c r="C1770" s="5" t="inlineStr">
        <is>
          <t>Safeway</t>
        </is>
      </c>
      <c r="E1770" s="5" t="n">
        <v>1</v>
      </c>
      <c r="F1770" s="16" t="inlineStr">
        <is>
          <t>2612 54 204 8854</t>
        </is>
      </c>
      <c r="G1770" s="10" t="n"/>
      <c r="H1770" s="9" t="inlineStr">
        <is>
          <t>Signature Select Cut Okra 12 Oz</t>
        </is>
      </c>
      <c r="I1770" s="9" t="n">
        <v>12</v>
      </c>
      <c r="J1770" s="9" t="inlineStr">
        <is>
          <t>oz</t>
        </is>
      </c>
      <c r="K1770" s="9" t="n">
        <v>1.49</v>
      </c>
    </row>
    <row r="1771" ht="15" customFormat="1" customHeight="1" s="5">
      <c r="A1771" s="81" t="n">
        <v>45894</v>
      </c>
      <c r="B1771" s="82" t="n">
        <v>0.7381944444444445</v>
      </c>
      <c r="C1771" s="5" t="inlineStr">
        <is>
          <t>Safeway</t>
        </is>
      </c>
      <c r="E1771" s="5" t="n">
        <v>1</v>
      </c>
      <c r="F1771" s="16" t="inlineStr">
        <is>
          <t>2612 54 204 8854</t>
        </is>
      </c>
      <c r="G1771" s="10" t="n"/>
      <c r="H1771" s="9" t="inlineStr">
        <is>
          <t>Tax</t>
        </is>
      </c>
      <c r="I1771" s="9" t="n">
        <v>9</v>
      </c>
      <c r="J1771" s="9" t="inlineStr">
        <is>
          <t>cnt</t>
        </is>
      </c>
      <c r="K1771" s="9" t="n">
        <v>0</v>
      </c>
    </row>
    <row r="1772" ht="15" customFormat="1" customHeight="1" s="5">
      <c r="A1772" s="81" t="n">
        <v>45894</v>
      </c>
      <c r="B1772" s="82" t="n">
        <v>0.4451388888888889</v>
      </c>
      <c r="C1772" s="5" t="inlineStr">
        <is>
          <t>Costco</t>
        </is>
      </c>
      <c r="E1772" s="5" t="n">
        <v>1</v>
      </c>
      <c r="F1772" s="6" t="inlineStr">
        <is>
          <t>439 208 40 708</t>
        </is>
      </c>
      <c r="G1772" s="10" t="inlineStr">
        <is>
          <t>E 2</t>
        </is>
      </c>
      <c r="H1772" s="9" t="inlineStr">
        <is>
          <t>Whole Milk</t>
        </is>
      </c>
      <c r="I1772" s="9" t="n">
        <v>2</v>
      </c>
      <c r="J1772" s="9" t="inlineStr">
        <is>
          <t>gal</t>
        </is>
      </c>
      <c r="K1772" s="9" t="n">
        <v>6.39</v>
      </c>
    </row>
    <row r="1773" ht="15" customFormat="1" customHeight="1" s="5">
      <c r="A1773" s="81" t="n">
        <v>45894</v>
      </c>
      <c r="B1773" s="82" t="n">
        <v>0.4451388888888889</v>
      </c>
      <c r="C1773" s="5" t="inlineStr">
        <is>
          <t>Costco</t>
        </is>
      </c>
      <c r="E1773" s="5" t="n">
        <v>1</v>
      </c>
      <c r="F1773" s="6" t="inlineStr">
        <is>
          <t>439 208 40 708</t>
        </is>
      </c>
      <c r="G1773" s="10" t="inlineStr">
        <is>
          <t>E 512447</t>
        </is>
      </c>
      <c r="H1773" s="9" t="inlineStr">
        <is>
          <t>Dave's Killer Bread 21 whole grains, 2 loaves</t>
        </is>
      </c>
      <c r="I1773" s="9" t="n">
        <v>54</v>
      </c>
      <c r="J1773" s="9" t="inlineStr">
        <is>
          <t>oz</t>
        </is>
      </c>
      <c r="K1773" s="9" t="n">
        <v>8.99</v>
      </c>
    </row>
    <row r="1774" ht="15" customFormat="1" customHeight="1" s="5">
      <c r="A1774" s="81" t="n">
        <v>45894</v>
      </c>
      <c r="B1774" s="82" t="n">
        <v>0.4451388888888889</v>
      </c>
      <c r="C1774" s="5" t="inlineStr">
        <is>
          <t>Costco</t>
        </is>
      </c>
      <c r="E1774" s="5" t="n">
        <v>1</v>
      </c>
      <c r="F1774" s="6" t="inlineStr">
        <is>
          <t>439 208 40 708</t>
        </is>
      </c>
      <c r="G1774" s="10" t="inlineStr">
        <is>
          <t>E 1025795</t>
        </is>
      </c>
      <c r="H1774" s="9" t="inlineStr">
        <is>
          <t>KS 5-dozen Eggs</t>
        </is>
      </c>
      <c r="I1774" s="9" t="n">
        <v>120</v>
      </c>
      <c r="J1774" s="9" t="inlineStr">
        <is>
          <t>oz</t>
        </is>
      </c>
      <c r="K1774" s="9" t="n">
        <v>12.99</v>
      </c>
    </row>
    <row r="1775" ht="15" customFormat="1" customHeight="1" s="5">
      <c r="A1775" s="81" t="n">
        <v>45894</v>
      </c>
      <c r="B1775" s="82" t="n">
        <v>0.4451388888888889</v>
      </c>
      <c r="C1775" s="5" t="inlineStr">
        <is>
          <t>Costco</t>
        </is>
      </c>
      <c r="E1775" s="5" t="n">
        <v>1</v>
      </c>
      <c r="F1775" s="6" t="inlineStr">
        <is>
          <t>439 208 40 708</t>
        </is>
      </c>
      <c r="G1775" s="10" t="inlineStr">
        <is>
          <t>E 1927582</t>
        </is>
      </c>
      <c r="H1775" s="9" t="inlineStr">
        <is>
          <t>Cherry Cheese Danish Braid</t>
        </is>
      </c>
      <c r="I1775" s="9" t="n">
        <v>22</v>
      </c>
      <c r="J1775" s="9" t="inlineStr">
        <is>
          <t>oz</t>
        </is>
      </c>
      <c r="K1775" s="9" t="n">
        <v>7.99</v>
      </c>
    </row>
    <row r="1776" ht="15" customFormat="1" customHeight="1" s="5">
      <c r="A1776" s="81" t="n">
        <v>45894</v>
      </c>
      <c r="B1776" s="82" t="n">
        <v>0.4451388888888889</v>
      </c>
      <c r="C1776" s="5" t="inlineStr">
        <is>
          <t>Costco</t>
        </is>
      </c>
      <c r="E1776" s="5" t="n">
        <v>1</v>
      </c>
      <c r="F1776" s="6" t="inlineStr">
        <is>
          <t>439 208 40 708</t>
        </is>
      </c>
      <c r="G1776" s="10" t="inlineStr">
        <is>
          <t>E 0000360989</t>
        </is>
      </c>
      <c r="H1776" s="9" t="inlineStr">
        <is>
          <t>**DISCOUNT** /1927582 Danish Braid</t>
        </is>
      </c>
      <c r="I1776" s="9" t="n">
        <v>22</v>
      </c>
      <c r="J1776" s="9" t="inlineStr">
        <is>
          <t>oz</t>
        </is>
      </c>
      <c r="K1776" s="9" t="inlineStr">
        <is>
          <t>2.00-</t>
        </is>
      </c>
    </row>
    <row r="1777" ht="15" customFormat="1" customHeight="1" s="5">
      <c r="A1777" s="81" t="n">
        <v>45894</v>
      </c>
      <c r="B1777" s="82" t="n">
        <v>0.4451388888888889</v>
      </c>
      <c r="C1777" s="5" t="inlineStr">
        <is>
          <t>Costco</t>
        </is>
      </c>
      <c r="E1777" s="5" t="n">
        <v>1</v>
      </c>
      <c r="F1777" s="6" t="inlineStr">
        <is>
          <t>439 208 40 708</t>
        </is>
      </c>
      <c r="G1777" s="15" t="inlineStr">
        <is>
          <t>1811598</t>
        </is>
      </c>
      <c r="H1777" s="9" t="inlineStr">
        <is>
          <t>Head&amp;Shoulders Shampoo</t>
        </is>
      </c>
      <c r="I1777" s="9" t="n">
        <v>40</v>
      </c>
      <c r="J1777" s="9" t="inlineStr">
        <is>
          <t>fl oz</t>
        </is>
      </c>
      <c r="K1777" s="9" t="inlineStr">
        <is>
          <t>14.99 A</t>
        </is>
      </c>
    </row>
    <row r="1778" ht="15" customFormat="1" customHeight="1" s="5">
      <c r="A1778" s="81" t="n">
        <v>45894</v>
      </c>
      <c r="B1778" s="82" t="n">
        <v>0.4451388888888889</v>
      </c>
      <c r="C1778" s="5" t="inlineStr">
        <is>
          <t>Costco</t>
        </is>
      </c>
      <c r="E1778" s="5" t="n">
        <v>1</v>
      </c>
      <c r="F1778" s="6" t="inlineStr">
        <is>
          <t>439 208 40 708</t>
        </is>
      </c>
      <c r="G1778" s="15" t="inlineStr">
        <is>
          <t>0000359515</t>
        </is>
      </c>
      <c r="H1778" s="9" t="inlineStr">
        <is>
          <t>**DISCOUNT** /1811598 H&amp;S Shampoo</t>
        </is>
      </c>
      <c r="I1778" s="9" t="n">
        <v>40</v>
      </c>
      <c r="J1778" s="9" t="inlineStr">
        <is>
          <t>fl oz</t>
        </is>
      </c>
      <c r="K1778" s="9" t="inlineStr">
        <is>
          <t>4.50-A</t>
        </is>
      </c>
    </row>
    <row r="1779" ht="15" customFormat="1" customHeight="1" s="5">
      <c r="A1779" s="81" t="n">
        <v>45894</v>
      </c>
      <c r="B1779" s="82" t="n">
        <v>0.4451388888888889</v>
      </c>
      <c r="C1779" s="5" t="inlineStr">
        <is>
          <t>Costco</t>
        </is>
      </c>
      <c r="E1779" s="5" t="n">
        <v>1</v>
      </c>
      <c r="F1779" s="6" t="inlineStr">
        <is>
          <t>439 208 40 708</t>
        </is>
      </c>
      <c r="G1779" s="10" t="n"/>
      <c r="H1779" s="9" t="inlineStr">
        <is>
          <t>Tax A 8.00%</t>
        </is>
      </c>
      <c r="I1779" s="9" t="n">
        <v>5</v>
      </c>
      <c r="J1779" s="9" t="inlineStr">
        <is>
          <t>cnt</t>
        </is>
      </c>
      <c r="K1779" s="9" t="n">
        <v>0.84</v>
      </c>
    </row>
    <row r="1780" ht="15" customFormat="1" customHeight="1" s="5">
      <c r="A1780" s="81" t="n">
        <v>45893</v>
      </c>
      <c r="B1780" s="82" t="n">
        <v>0.9111111111111111</v>
      </c>
      <c r="C1780" s="5" t="inlineStr">
        <is>
          <t>Walmart</t>
        </is>
      </c>
      <c r="D1780" s="5" t="n">
        <v>1</v>
      </c>
      <c r="F1780" s="6" t="inlineStr">
        <is>
          <t>200013591857858</t>
        </is>
      </c>
      <c r="G1780" s="10" t="n"/>
      <c r="H1780" s="9" t="inlineStr">
        <is>
          <t>(2 pack) Seventh Generation Dishwasher Detergent Gel, Lemon Scent, 42 oz</t>
        </is>
      </c>
      <c r="I1780" s="9" t="n">
        <v>84</v>
      </c>
      <c r="J1780" s="9" t="inlineStr">
        <is>
          <t>oz</t>
        </is>
      </c>
      <c r="K1780" s="9" t="n">
        <v>13.74</v>
      </c>
    </row>
    <row r="1781" ht="15" customFormat="1" customHeight="1" s="5">
      <c r="A1781" s="81" t="n">
        <v>45893</v>
      </c>
      <c r="B1781" s="82" t="n">
        <v>0.9111111111111111</v>
      </c>
      <c r="C1781" s="5" t="inlineStr">
        <is>
          <t>Walmart</t>
        </is>
      </c>
      <c r="D1781" s="5" t="n">
        <v>1</v>
      </c>
      <c r="F1781" s="6" t="inlineStr">
        <is>
          <t>200013591857858</t>
        </is>
      </c>
      <c r="G1781" s="10" t="n"/>
      <c r="H1781" s="9" t="inlineStr">
        <is>
          <t>(2 pack) Seventh Generation Dishwasher Detergent Gel, Lemon Scent, 42 oz</t>
        </is>
      </c>
      <c r="I1781" s="9" t="n">
        <v>84</v>
      </c>
      <c r="J1781" s="9" t="inlineStr">
        <is>
          <t>oz</t>
        </is>
      </c>
      <c r="K1781" s="9" t="n">
        <v>13.74</v>
      </c>
    </row>
    <row r="1782" ht="15" customFormat="1" customHeight="1" s="5">
      <c r="A1782" s="81" t="n">
        <v>45893</v>
      </c>
      <c r="B1782" s="82" t="n">
        <v>0.9111111111111111</v>
      </c>
      <c r="C1782" s="5" t="inlineStr">
        <is>
          <t>Walmart</t>
        </is>
      </c>
      <c r="D1782" s="5" t="n">
        <v>1</v>
      </c>
      <c r="F1782" s="6" t="inlineStr">
        <is>
          <t>200013591857858</t>
        </is>
      </c>
      <c r="G1782" s="10" t="n"/>
      <c r="H1782" s="9" t="inlineStr">
        <is>
          <t>CO Retail delivery fees</t>
        </is>
      </c>
      <c r="I1782" s="9" t="n">
        <v>84</v>
      </c>
      <c r="J1782" s="9" t="inlineStr">
        <is>
          <t>oz</t>
        </is>
      </c>
      <c r="K1782" s="9" t="n">
        <v>0.28</v>
      </c>
    </row>
    <row r="1783" ht="15" customFormat="1" customHeight="1" s="5">
      <c r="A1783" s="81" t="n">
        <v>45893</v>
      </c>
      <c r="B1783" s="82" t="n">
        <v>0.9111111111111111</v>
      </c>
      <c r="C1783" s="5" t="inlineStr">
        <is>
          <t>Walmart</t>
        </is>
      </c>
      <c r="D1783" s="5" t="n">
        <v>1</v>
      </c>
      <c r="F1783" s="6" t="inlineStr">
        <is>
          <t>200013591857858</t>
        </is>
      </c>
      <c r="G1783" s="10" t="n"/>
      <c r="H1783" s="9" t="inlineStr">
        <is>
          <t>Tax</t>
        </is>
      </c>
      <c r="I1783" s="9" t="n">
        <v>84</v>
      </c>
      <c r="J1783" s="9" t="inlineStr">
        <is>
          <t>oz</t>
        </is>
      </c>
      <c r="K1783" s="9" t="n">
        <v>2.2</v>
      </c>
    </row>
    <row r="1784" ht="15" customFormat="1" customHeight="1" s="5">
      <c r="A1784" s="81" t="n">
        <v>45893</v>
      </c>
      <c r="B1784" s="82" t="n">
        <v>0.5423611111111111</v>
      </c>
      <c r="C1784" s="5" t="inlineStr">
        <is>
          <t>Burger King</t>
        </is>
      </c>
      <c r="E1784" s="5" t="n">
        <v>1</v>
      </c>
      <c r="F1784" s="16" t="inlineStr">
        <is>
          <t>#18222</t>
        </is>
      </c>
      <c r="G1784" s="10" t="n"/>
      <c r="H1784" s="9" t="inlineStr">
        <is>
          <t>Whopper: heavy pickle/mayo/onion</t>
        </is>
      </c>
      <c r="I1784" s="9" t="n">
        <v>1</v>
      </c>
      <c r="J1784" s="9" t="inlineStr">
        <is>
          <t>cnt</t>
        </is>
      </c>
      <c r="K1784" s="9" t="n">
        <v>6.69</v>
      </c>
    </row>
    <row r="1785" ht="15" customFormat="1" customHeight="1" s="5">
      <c r="A1785" s="81" t="n">
        <v>45893</v>
      </c>
      <c r="B1785" s="82" t="n">
        <v>0.5423611111111111</v>
      </c>
      <c r="C1785" s="5" t="inlineStr">
        <is>
          <t>Burger King</t>
        </is>
      </c>
      <c r="E1785" s="5" t="n">
        <v>1</v>
      </c>
      <c r="F1785" s="16" t="inlineStr">
        <is>
          <t>#18222</t>
        </is>
      </c>
      <c r="G1785" s="10" t="n"/>
      <c r="H1785" s="9" t="inlineStr">
        <is>
          <t>Whopper: heavy pickle/mustard/onion</t>
        </is>
      </c>
      <c r="I1785" s="9" t="n">
        <v>1</v>
      </c>
      <c r="J1785" s="9" t="inlineStr">
        <is>
          <t>cnt</t>
        </is>
      </c>
      <c r="K1785" s="9" t="n">
        <v>6.69</v>
      </c>
    </row>
    <row r="1786" ht="15" customFormat="1" customHeight="1" s="5">
      <c r="A1786" s="81" t="n">
        <v>45893</v>
      </c>
      <c r="B1786" s="82" t="n">
        <v>0.5423611111111111</v>
      </c>
      <c r="C1786" s="5" t="inlineStr">
        <is>
          <t>Burger King</t>
        </is>
      </c>
      <c r="E1786" s="5" t="n">
        <v>1</v>
      </c>
      <c r="F1786" s="16" t="inlineStr">
        <is>
          <t>#18222</t>
        </is>
      </c>
      <c r="G1786" s="10" t="n"/>
      <c r="H1786" s="9" t="inlineStr">
        <is>
          <t>**DISCOUNT** BOGO Whopper</t>
        </is>
      </c>
      <c r="I1786" s="9" t="n">
        <v>1</v>
      </c>
      <c r="J1786" s="9" t="inlineStr">
        <is>
          <t>cnt</t>
        </is>
      </c>
      <c r="K1786" s="9" t="n">
        <v>-6.69</v>
      </c>
    </row>
    <row r="1787" ht="15" customFormat="1" customHeight="1" s="5">
      <c r="A1787" s="81" t="n">
        <v>45893</v>
      </c>
      <c r="B1787" s="82" t="n">
        <v>0.5423611111111111</v>
      </c>
      <c r="C1787" s="5" t="inlineStr">
        <is>
          <t>Burger King</t>
        </is>
      </c>
      <c r="E1787" s="5" t="n">
        <v>1</v>
      </c>
      <c r="F1787" s="16" t="inlineStr">
        <is>
          <t>#18222</t>
        </is>
      </c>
      <c r="G1787" s="10" t="n"/>
      <c r="H1787" s="9" t="inlineStr">
        <is>
          <t>8% Tax</t>
        </is>
      </c>
      <c r="I1787" s="9" t="n">
        <v>2</v>
      </c>
      <c r="J1787" s="9" t="inlineStr">
        <is>
          <t>cnt</t>
        </is>
      </c>
      <c r="K1787" s="9" t="n">
        <v>0.54</v>
      </c>
    </row>
    <row r="1788" ht="15" customFormat="1" customHeight="1" s="5">
      <c r="A1788" s="81" t="n">
        <v>45893</v>
      </c>
      <c r="B1788" s="82" t="n">
        <v>0.5326388888888889</v>
      </c>
      <c r="C1788" s="5" t="inlineStr">
        <is>
          <t>In Person</t>
        </is>
      </c>
      <c r="E1788" s="5" t="n">
        <v>1</v>
      </c>
      <c r="F1788" s="6" t="inlineStr">
        <is>
          <t>51740</t>
        </is>
      </c>
      <c r="G1788" s="10" t="n"/>
      <c r="H1788" s="9" t="inlineStr">
        <is>
          <t>Wellshire flute performance</t>
        </is>
      </c>
      <c r="I1788" s="9" t="n">
        <v>1</v>
      </c>
      <c r="J1788" s="9" t="inlineStr">
        <is>
          <t>cnt</t>
        </is>
      </c>
      <c r="K1788" s="9" t="n">
        <v>-150</v>
      </c>
    </row>
    <row r="1789" ht="15" customFormat="1" customHeight="1" s="5">
      <c r="A1789" s="81" t="n">
        <v>45892</v>
      </c>
      <c r="B1789" s="82" t="n">
        <v>0.8916666666666667</v>
      </c>
      <c r="C1789" s="5" t="inlineStr">
        <is>
          <t>Costco</t>
        </is>
      </c>
      <c r="D1789" s="5" t="n">
        <v>1</v>
      </c>
      <c r="F1789" s="6" t="inlineStr">
        <is>
          <t>1219335892</t>
        </is>
      </c>
      <c r="G1789" s="15" t="inlineStr">
        <is>
          <t>955486</t>
        </is>
      </c>
      <c r="H1789" s="9" t="inlineStr">
        <is>
          <t>Huggies Little Snugglers Plus Diapers Size 2, 174-count</t>
        </is>
      </c>
      <c r="I1789" s="9" t="n">
        <v>174</v>
      </c>
      <c r="J1789" s="9" t="inlineStr">
        <is>
          <t>cnt</t>
        </is>
      </c>
      <c r="K1789" s="9" t="n">
        <v>39.99</v>
      </c>
    </row>
    <row r="1790" ht="15" customFormat="1" customHeight="1" s="5">
      <c r="A1790" s="81" t="n">
        <v>45892</v>
      </c>
      <c r="B1790" s="82" t="n">
        <v>0.8916666666666667</v>
      </c>
      <c r="C1790" s="5" t="inlineStr">
        <is>
          <t>Costco</t>
        </is>
      </c>
      <c r="D1790" s="5" t="n">
        <v>1</v>
      </c>
      <c r="F1790" s="6" t="inlineStr">
        <is>
          <t>1219335892</t>
        </is>
      </c>
      <c r="G1790" s="15" t="inlineStr">
        <is>
          <t>955486</t>
        </is>
      </c>
      <c r="H1790" s="9" t="inlineStr">
        <is>
          <t>Huggies Little Snugglers Plus Diapers Size 2, 174-count</t>
        </is>
      </c>
      <c r="I1790" s="9" t="n">
        <v>174</v>
      </c>
      <c r="J1790" s="9" t="inlineStr">
        <is>
          <t>cnt</t>
        </is>
      </c>
      <c r="K1790" s="9" t="n">
        <v>39.99</v>
      </c>
    </row>
    <row r="1791" ht="15" customFormat="1" customHeight="1" s="5">
      <c r="A1791" s="81" t="n">
        <v>45892</v>
      </c>
      <c r="B1791" s="82" t="n">
        <v>0.8916666666666667</v>
      </c>
      <c r="C1791" s="5" t="inlineStr">
        <is>
          <t>Costco</t>
        </is>
      </c>
      <c r="D1791" s="5" t="n">
        <v>1</v>
      </c>
      <c r="F1791" s="6" t="inlineStr">
        <is>
          <t>1219335892</t>
        </is>
      </c>
      <c r="G1791" s="15" t="inlineStr">
        <is>
          <t>955483</t>
        </is>
      </c>
      <c r="H1791" s="9" t="inlineStr">
        <is>
          <t>Huggies Little Snugglers Plus Diapers Size 1, 192-count</t>
        </is>
      </c>
      <c r="I1791" s="9" t="n">
        <v>192</v>
      </c>
      <c r="J1791" s="9" t="inlineStr">
        <is>
          <t>cnt</t>
        </is>
      </c>
      <c r="K1791" s="9" t="n">
        <v>39.99</v>
      </c>
    </row>
    <row r="1792" ht="15" customFormat="1" customHeight="1" s="5">
      <c r="A1792" s="81" t="n">
        <v>45892</v>
      </c>
      <c r="B1792" s="82" t="n">
        <v>0.8916666666666667</v>
      </c>
      <c r="C1792" s="5" t="inlineStr">
        <is>
          <t>Costco</t>
        </is>
      </c>
      <c r="D1792" s="5" t="n">
        <v>1</v>
      </c>
      <c r="F1792" s="6" t="inlineStr">
        <is>
          <t>1219335892</t>
        </is>
      </c>
      <c r="G1792" s="15" t="inlineStr">
        <is>
          <t>955483</t>
        </is>
      </c>
      <c r="H1792" s="9" t="inlineStr">
        <is>
          <t>Huggies Little Snugglers Plus Diapers Size 1, 192-count</t>
        </is>
      </c>
      <c r="I1792" s="9" t="n">
        <v>192</v>
      </c>
      <c r="J1792" s="9" t="inlineStr">
        <is>
          <t>cnt</t>
        </is>
      </c>
      <c r="K1792" s="9" t="n">
        <v>39.99</v>
      </c>
    </row>
    <row r="1793" ht="15" customFormat="1" customHeight="1" s="5">
      <c r="A1793" s="81" t="n">
        <v>45892</v>
      </c>
      <c r="B1793" s="82" t="n">
        <v>0.8916666666666667</v>
      </c>
      <c r="C1793" s="5" t="inlineStr">
        <is>
          <t>Costco</t>
        </is>
      </c>
      <c r="D1793" s="5" t="n">
        <v>1</v>
      </c>
      <c r="F1793" s="6" t="inlineStr">
        <is>
          <t>1219335892</t>
        </is>
      </c>
      <c r="G1793" s="10" t="n"/>
      <c r="H1793" s="9" t="inlineStr">
        <is>
          <t>**DISCOUNT** $10/off per box</t>
        </is>
      </c>
      <c r="I1793" s="9" t="n">
        <v>-732</v>
      </c>
      <c r="J1793" s="9" t="inlineStr">
        <is>
          <t>cnt</t>
        </is>
      </c>
      <c r="K1793" s="9" t="n">
        <v>-40</v>
      </c>
    </row>
    <row r="1794" ht="15" customFormat="1" customHeight="1" s="5">
      <c r="A1794" s="81" t="n">
        <v>45892</v>
      </c>
      <c r="B1794" s="82" t="n">
        <v>0.8916666666666667</v>
      </c>
      <c r="C1794" s="5" t="inlineStr">
        <is>
          <t>Costco</t>
        </is>
      </c>
      <c r="D1794" s="5" t="n">
        <v>1</v>
      </c>
      <c r="F1794" s="6" t="inlineStr">
        <is>
          <t>1219335892</t>
        </is>
      </c>
      <c r="G1794" s="10" t="n"/>
      <c r="H1794" s="9" t="inlineStr">
        <is>
          <t>Tax</t>
        </is>
      </c>
      <c r="I1794" s="9" t="n">
        <v>732</v>
      </c>
      <c r="J1794" s="9" t="inlineStr">
        <is>
          <t>cnt</t>
        </is>
      </c>
      <c r="K1794" s="9" t="n">
        <v>0</v>
      </c>
    </row>
    <row r="1795" ht="15" customFormat="1" customHeight="1" s="5">
      <c r="A1795" s="81" t="n">
        <v>45892</v>
      </c>
      <c r="B1795" s="82" t="n">
        <v>0.75</v>
      </c>
      <c r="C1795" s="5" t="inlineStr">
        <is>
          <t>Costco</t>
        </is>
      </c>
      <c r="E1795" s="5" t="n">
        <v>1</v>
      </c>
      <c r="F1795" s="6" t="inlineStr">
        <is>
          <t>45098</t>
        </is>
      </c>
      <c r="G1795" s="15" t="inlineStr">
        <is>
          <t>8</t>
        </is>
      </c>
      <c r="H1795" s="9" t="inlineStr">
        <is>
          <t>Subaru Gas 13.481 Gallons @ $2.839/gal</t>
        </is>
      </c>
      <c r="I1795" s="9" t="n">
        <v>13.481</v>
      </c>
      <c r="J1795" s="9" t="inlineStr">
        <is>
          <t>gal</t>
        </is>
      </c>
      <c r="K1795" s="9" t="n">
        <v>38.27</v>
      </c>
    </row>
    <row r="1796" ht="15" customFormat="1" customHeight="1" s="5">
      <c r="A1796" s="81" t="n">
        <v>45892</v>
      </c>
      <c r="B1796" s="82" t="n">
        <v>0.7423611111111111</v>
      </c>
      <c r="C1796" s="5" t="inlineStr">
        <is>
          <t>Costco</t>
        </is>
      </c>
      <c r="E1796" s="5" t="n">
        <v>1</v>
      </c>
      <c r="F1796" s="16" t="inlineStr">
        <is>
          <t>439 1 461 38</t>
        </is>
      </c>
      <c r="G1796" s="10" t="inlineStr">
        <is>
          <t>E 47735</t>
        </is>
      </c>
      <c r="H1796" s="9" t="inlineStr">
        <is>
          <t>BNLS/SL BRST Boneless Skinless Chicken Breast @$2.99/lb</t>
        </is>
      </c>
      <c r="I1796" s="9" t="n">
        <v>8.24</v>
      </c>
      <c r="J1796" s="9" t="inlineStr">
        <is>
          <t>lb</t>
        </is>
      </c>
      <c r="K1796" s="9" t="n">
        <v>24.64</v>
      </c>
    </row>
    <row r="1797" ht="15" customFormat="1" customHeight="1" s="5">
      <c r="A1797" s="81" t="n">
        <v>45892</v>
      </c>
      <c r="B1797" s="82" t="n">
        <v>0.7423611111111111</v>
      </c>
      <c r="C1797" s="5" t="inlineStr">
        <is>
          <t>Costco</t>
        </is>
      </c>
      <c r="E1797" s="5" t="n">
        <v>1</v>
      </c>
      <c r="F1797" s="16" t="inlineStr">
        <is>
          <t>439 1 461 38</t>
        </is>
      </c>
      <c r="G1797" s="10" t="inlineStr">
        <is>
          <t>E 1312849</t>
        </is>
      </c>
      <c r="H1797" s="9" t="inlineStr">
        <is>
          <t>PICKLE CHIPS</t>
        </is>
      </c>
      <c r="I1797" s="9" t="n">
        <v>32</v>
      </c>
      <c r="J1797" s="9" t="inlineStr">
        <is>
          <t>fl oz</t>
        </is>
      </c>
      <c r="K1797" s="9" t="n">
        <v>5.99</v>
      </c>
    </row>
    <row r="1798" ht="15" customFormat="1" customHeight="1" s="5">
      <c r="A1798" s="81" t="n">
        <v>45892</v>
      </c>
      <c r="B1798" s="82" t="n">
        <v>0.7423611111111111</v>
      </c>
      <c r="C1798" s="5" t="inlineStr">
        <is>
          <t>Costco</t>
        </is>
      </c>
      <c r="E1798" s="5" t="n">
        <v>1</v>
      </c>
      <c r="F1798" s="16" t="inlineStr">
        <is>
          <t>439 1 461 38</t>
        </is>
      </c>
      <c r="G1798" s="10" t="inlineStr">
        <is>
          <t>E 39036</t>
        </is>
      </c>
      <c r="H1798" s="9" t="inlineStr">
        <is>
          <t>Hearts of Romaine Lettuce</t>
        </is>
      </c>
      <c r="I1798" s="9" t="n">
        <v>1.13</v>
      </c>
      <c r="J1798" s="9" t="inlineStr">
        <is>
          <t>kg</t>
        </is>
      </c>
      <c r="K1798" s="9" t="n">
        <v>3.69</v>
      </c>
    </row>
    <row r="1799" ht="15" customFormat="1" customHeight="1" s="5">
      <c r="A1799" s="81" t="n">
        <v>45892</v>
      </c>
      <c r="B1799" s="82" t="n">
        <v>0.7423611111111111</v>
      </c>
      <c r="C1799" s="5" t="inlineStr">
        <is>
          <t>Costco</t>
        </is>
      </c>
      <c r="E1799" s="5" t="n">
        <v>1</v>
      </c>
      <c r="F1799" s="16" t="inlineStr">
        <is>
          <t>439 1 461 38</t>
        </is>
      </c>
      <c r="G1799" s="10" t="inlineStr">
        <is>
          <t>E 96716</t>
        </is>
      </c>
      <c r="H1799" s="9" t="inlineStr">
        <is>
          <t>ORG SPINACH</t>
        </is>
      </c>
      <c r="I1799" s="9" t="n">
        <v>16</v>
      </c>
      <c r="J1799" s="9" t="inlineStr">
        <is>
          <t>oz</t>
        </is>
      </c>
      <c r="K1799" s="9" t="n">
        <v>3.89</v>
      </c>
    </row>
    <row r="1800" ht="15" customFormat="1" customHeight="1" s="5">
      <c r="A1800" s="81" t="n">
        <v>45892</v>
      </c>
      <c r="B1800" s="82" t="n">
        <v>0.7423611111111111</v>
      </c>
      <c r="C1800" s="5" t="inlineStr">
        <is>
          <t>Costco</t>
        </is>
      </c>
      <c r="E1800" s="5" t="n">
        <v>1</v>
      </c>
      <c r="F1800" s="16" t="inlineStr">
        <is>
          <t>439 1 461 38</t>
        </is>
      </c>
      <c r="G1800" s="10" t="inlineStr">
        <is>
          <t>E 7947</t>
        </is>
      </c>
      <c r="H1800" s="9" t="inlineStr">
        <is>
          <t>4LB FUJI APPLES</t>
        </is>
      </c>
      <c r="I1800" s="9" t="n">
        <v>4</v>
      </c>
      <c r="J1800" s="9" t="inlineStr">
        <is>
          <t>lb</t>
        </is>
      </c>
      <c r="K1800" s="9" t="n">
        <v>4.89</v>
      </c>
    </row>
    <row r="1801" ht="15" customFormat="1" customHeight="1" s="5">
      <c r="A1801" s="81" t="n">
        <v>45892</v>
      </c>
      <c r="B1801" s="82" t="n">
        <v>0.7423611111111111</v>
      </c>
      <c r="C1801" s="5" t="inlineStr">
        <is>
          <t>Costco</t>
        </is>
      </c>
      <c r="E1801" s="5" t="n">
        <v>1</v>
      </c>
      <c r="F1801" s="16" t="inlineStr">
        <is>
          <t>439 1 461 38</t>
        </is>
      </c>
      <c r="G1801" s="10" t="n"/>
      <c r="H1801" s="9" t="inlineStr">
        <is>
          <t>COSTCO REWARDS (Eli) Paid</t>
        </is>
      </c>
      <c r="I1801" s="9" t="n">
        <v>5</v>
      </c>
      <c r="J1801" s="9" t="inlineStr">
        <is>
          <t>cnt</t>
        </is>
      </c>
      <c r="K1801" s="9" t="n">
        <v>-43.1</v>
      </c>
    </row>
    <row r="1802" ht="15" customFormat="1" customHeight="1" s="5">
      <c r="A1802" s="81" t="n">
        <v>45892</v>
      </c>
      <c r="B1802" s="82" t="n">
        <v>0.7423611111111111</v>
      </c>
      <c r="C1802" s="5" t="inlineStr">
        <is>
          <t>Costco</t>
        </is>
      </c>
      <c r="E1802" s="5" t="n">
        <v>1</v>
      </c>
      <c r="F1802" s="16" t="inlineStr">
        <is>
          <t>439 1 461 38</t>
        </is>
      </c>
      <c r="G1802" s="10" t="n"/>
      <c r="H1802" s="9" t="inlineStr">
        <is>
          <t>COSTCO REWARDS (Eli) Cashback</t>
        </is>
      </c>
      <c r="I1802" s="9" t="n">
        <v>1</v>
      </c>
      <c r="J1802" s="9" t="inlineStr">
        <is>
          <t>cnt</t>
        </is>
      </c>
      <c r="K1802" s="9" t="n">
        <v>-55.19</v>
      </c>
    </row>
    <row r="1803" ht="15" customFormat="1" customHeight="1" s="5">
      <c r="A1803" s="81" t="n">
        <v>45892</v>
      </c>
      <c r="B1803" s="82" t="n">
        <v>0.375</v>
      </c>
      <c r="C1803" s="5" t="inlineStr">
        <is>
          <t>In Person</t>
        </is>
      </c>
      <c r="E1803" s="5" t="n">
        <v>1</v>
      </c>
      <c r="F1803" s="16" t="n"/>
      <c r="G1803" s="10" t="n"/>
      <c r="H1803" s="9" t="inlineStr">
        <is>
          <t>From Amy! Happy Birthday Elisheva!</t>
        </is>
      </c>
      <c r="I1803" s="9" t="n">
        <v>1</v>
      </c>
      <c r="J1803" s="9" t="inlineStr">
        <is>
          <t>cnt</t>
        </is>
      </c>
      <c r="K1803" s="9" t="n">
        <v>-100</v>
      </c>
    </row>
    <row r="1804" ht="15" customFormat="1" customHeight="1" s="5">
      <c r="A1804" s="81" t="n">
        <v>45892</v>
      </c>
      <c r="B1804" s="82" t="n">
        <v>0.375</v>
      </c>
      <c r="C1804" s="5" t="inlineStr">
        <is>
          <t>In Person</t>
        </is>
      </c>
      <c r="E1804" s="5" t="n">
        <v>1</v>
      </c>
      <c r="F1804" s="16" t="n"/>
      <c r="G1804" s="10" t="n"/>
      <c r="H1804" s="9" t="inlineStr">
        <is>
          <t>From Lori! Happy Birthday Elisheva!</t>
        </is>
      </c>
      <c r="I1804" s="9" t="n">
        <v>1</v>
      </c>
      <c r="J1804" s="9" t="inlineStr">
        <is>
          <t>cnt</t>
        </is>
      </c>
      <c r="K1804" s="9" t="n">
        <v>-30</v>
      </c>
    </row>
    <row r="1805" ht="15" customFormat="1" customHeight="1" s="5">
      <c r="A1805" s="81" t="n">
        <v>45892</v>
      </c>
      <c r="B1805" s="82" t="n">
        <v>0.375</v>
      </c>
      <c r="C1805" s="5" t="inlineStr">
        <is>
          <t>In Person</t>
        </is>
      </c>
      <c r="E1805" s="5" t="n">
        <v>1</v>
      </c>
      <c r="F1805" s="16" t="n"/>
      <c r="G1805" s="10" t="n"/>
      <c r="H1805" s="9" t="inlineStr">
        <is>
          <t>From Diane! Happy Birthday Elisheva!</t>
        </is>
      </c>
      <c r="I1805" s="9" t="n">
        <v>1</v>
      </c>
      <c r="J1805" s="9" t="inlineStr">
        <is>
          <t>cnt</t>
        </is>
      </c>
      <c r="K1805" s="9" t="n">
        <v>-35</v>
      </c>
    </row>
    <row r="1806" ht="15" customFormat="1" customHeight="1" s="5">
      <c r="A1806" s="81" t="n">
        <v>45891</v>
      </c>
      <c r="B1806" s="82" t="n">
        <v>0.7840277777777778</v>
      </c>
      <c r="C1806" s="5" t="inlineStr">
        <is>
          <t>Costco</t>
        </is>
      </c>
      <c r="E1806" s="5" t="n">
        <v>1</v>
      </c>
      <c r="F1806" s="16" t="inlineStr">
        <is>
          <t>439 204 293 704</t>
        </is>
      </c>
      <c r="G1806" s="10" t="inlineStr">
        <is>
          <t>E 1564153</t>
        </is>
      </c>
      <c r="H1806" s="9" t="inlineStr">
        <is>
          <t>Chosen Foods Classic Mayo with 100% Pure Avocado Oil</t>
        </is>
      </c>
      <c r="I1806" s="9" t="n">
        <v>32</v>
      </c>
      <c r="J1806" s="9" t="inlineStr">
        <is>
          <t>fl oz</t>
        </is>
      </c>
      <c r="K1806" s="9" t="n">
        <v>9.49</v>
      </c>
    </row>
    <row r="1807" ht="15" customFormat="1" customHeight="1" s="5">
      <c r="A1807" s="81" t="n">
        <v>45891</v>
      </c>
      <c r="B1807" s="82" t="n">
        <v>0.7840277777777778</v>
      </c>
      <c r="C1807" s="5" t="inlineStr">
        <is>
          <t>Costco</t>
        </is>
      </c>
      <c r="E1807" s="5" t="n">
        <v>1</v>
      </c>
      <c r="F1807" s="16" t="inlineStr">
        <is>
          <t>439 204 293 704</t>
        </is>
      </c>
      <c r="G1807" s="10" t="inlineStr">
        <is>
          <t>E 826365</t>
        </is>
      </c>
      <c r="H1807" s="9" t="inlineStr">
        <is>
          <t>Fresh Squash</t>
        </is>
      </c>
      <c r="I1807" s="9" t="n">
        <v>3.5</v>
      </c>
      <c r="J1807" s="9" t="inlineStr">
        <is>
          <t>lb</t>
        </is>
      </c>
      <c r="K1807" s="9" t="n">
        <v>7.99</v>
      </c>
    </row>
    <row r="1808" ht="15" customFormat="1" customHeight="1" s="5">
      <c r="A1808" s="81" t="n">
        <v>45891</v>
      </c>
      <c r="B1808" s="82" t="n">
        <v>0.7840277777777778</v>
      </c>
      <c r="C1808" s="5" t="inlineStr">
        <is>
          <t>Costco</t>
        </is>
      </c>
      <c r="E1808" s="5" t="n">
        <v>1</v>
      </c>
      <c r="F1808" s="16" t="inlineStr">
        <is>
          <t>439 204 293 704</t>
        </is>
      </c>
      <c r="G1808" s="10" t="inlineStr">
        <is>
          <t>E 1673748</t>
        </is>
      </c>
      <c r="H1808" s="9" t="inlineStr">
        <is>
          <t>Del Monte Fruit Cups in 100% Juice (diced Peaches / Mixed Fruit) x 20 cups x 4 oz</t>
        </is>
      </c>
      <c r="I1808" s="9" t="n">
        <v>80</v>
      </c>
      <c r="J1808" s="9" t="inlineStr">
        <is>
          <t>oz</t>
        </is>
      </c>
      <c r="K1808" s="9" t="n">
        <v>10.99</v>
      </c>
    </row>
    <row r="1809" ht="15" customFormat="1" customHeight="1" s="5">
      <c r="A1809" s="81" t="n">
        <v>45891</v>
      </c>
      <c r="B1809" s="82" t="n">
        <v>0.7840277777777778</v>
      </c>
      <c r="C1809" s="5" t="inlineStr">
        <is>
          <t>Costco</t>
        </is>
      </c>
      <c r="E1809" s="5" t="n">
        <v>1</v>
      </c>
      <c r="F1809" s="16" t="inlineStr">
        <is>
          <t>439 204 293 704</t>
        </is>
      </c>
      <c r="G1809" s="10" t="inlineStr">
        <is>
          <t>E 1180452</t>
        </is>
      </c>
      <c r="H1809" s="9" t="inlineStr">
        <is>
          <t>Org Mango 5#: Frozen Mango Chunks</t>
        </is>
      </c>
      <c r="I1809" s="9" t="n">
        <v>80</v>
      </c>
      <c r="J1809" s="9" t="inlineStr">
        <is>
          <t>oz</t>
        </is>
      </c>
      <c r="K1809" s="9" t="n">
        <v>9.99</v>
      </c>
    </row>
    <row r="1810" ht="15" customFormat="1" customHeight="1" s="5">
      <c r="A1810" s="81" t="n">
        <v>45891</v>
      </c>
      <c r="B1810" s="82" t="n">
        <v>0.7840277777777778</v>
      </c>
      <c r="C1810" s="5" t="inlineStr">
        <is>
          <t>Costco</t>
        </is>
      </c>
      <c r="E1810" s="5" t="n">
        <v>1</v>
      </c>
      <c r="F1810" s="16" t="inlineStr">
        <is>
          <t>439 204 293 704</t>
        </is>
      </c>
      <c r="G1810" s="10" t="inlineStr">
        <is>
          <t>E 9055</t>
        </is>
      </c>
      <c r="H1810" s="9" t="inlineStr">
        <is>
          <t>Organic Peaches Colorado from Mesa Fruit Co, 2 x 2lb bags</t>
        </is>
      </c>
      <c r="I1810" s="9" t="n">
        <v>6</v>
      </c>
      <c r="J1810" s="9" t="inlineStr">
        <is>
          <t>lb</t>
        </is>
      </c>
      <c r="K1810" s="9" t="n">
        <v>20.97</v>
      </c>
    </row>
    <row r="1811" ht="15" customFormat="1" customHeight="1" s="5">
      <c r="A1811" s="81" t="n">
        <v>45891</v>
      </c>
      <c r="B1811" s="82" t="n">
        <v>0.7840277777777778</v>
      </c>
      <c r="C1811" s="5" t="inlineStr">
        <is>
          <t>Costco</t>
        </is>
      </c>
      <c r="E1811" s="5" t="n">
        <v>1</v>
      </c>
      <c r="F1811" s="16" t="inlineStr">
        <is>
          <t>439 204 293 704</t>
        </is>
      </c>
      <c r="G1811" s="10" t="inlineStr">
        <is>
          <t>E 512688</t>
        </is>
      </c>
      <c r="H1811" s="9" t="inlineStr">
        <is>
          <t>KS Sliced Greek Peaches in Extra-Light Syrup, 4 jars x 1.5 lb</t>
        </is>
      </c>
      <c r="I1811" s="9" t="n">
        <v>6</v>
      </c>
      <c r="J1811" s="9" t="inlineStr">
        <is>
          <t>lb</t>
        </is>
      </c>
      <c r="K1811" s="9" t="n">
        <v>12.99</v>
      </c>
      <c r="M1811" s="5" t="inlineStr">
        <is>
          <t>1a</t>
        </is>
      </c>
      <c r="N1811" s="87">
        <f>-K1817-K1806-K1807-K1808</f>
        <v/>
      </c>
    </row>
    <row r="1812" ht="15" customFormat="1" customHeight="1" s="5">
      <c r="A1812" s="81" t="n">
        <v>45891</v>
      </c>
      <c r="B1812" s="82" t="n">
        <v>0.7840277777777778</v>
      </c>
      <c r="C1812" s="5" t="inlineStr">
        <is>
          <t>Costco</t>
        </is>
      </c>
      <c r="E1812" s="5" t="n">
        <v>1</v>
      </c>
      <c r="F1812" s="16" t="inlineStr">
        <is>
          <t>439 204 293 704</t>
        </is>
      </c>
      <c r="G1812" s="10" t="inlineStr">
        <is>
          <t>E 37839</t>
        </is>
      </c>
      <c r="H1812" s="9" t="inlineStr">
        <is>
          <t>KS Bakery Cheesecake</t>
        </is>
      </c>
      <c r="I1812" s="9" t="n">
        <v>4.5</v>
      </c>
      <c r="J1812" s="9" t="inlineStr">
        <is>
          <t>lb</t>
        </is>
      </c>
      <c r="K1812" s="9" t="n">
        <v>19.99</v>
      </c>
      <c r="M1812" s="5" t="inlineStr">
        <is>
          <t>1b</t>
        </is>
      </c>
      <c r="N1812" s="5" t="n">
        <v>26</v>
      </c>
    </row>
    <row r="1813" ht="15" customFormat="1" customHeight="1" s="5">
      <c r="A1813" s="81" t="n">
        <v>45891</v>
      </c>
      <c r="B1813" s="82" t="n">
        <v>0.7840277777777778</v>
      </c>
      <c r="C1813" s="5" t="inlineStr">
        <is>
          <t>Costco</t>
        </is>
      </c>
      <c r="E1813" s="5" t="n">
        <v>1</v>
      </c>
      <c r="F1813" s="16" t="inlineStr">
        <is>
          <t>439 204 293 704</t>
        </is>
      </c>
      <c r="G1813" s="10" t="n"/>
      <c r="H1813" s="9" t="inlineStr">
        <is>
          <t>TAX</t>
        </is>
      </c>
      <c r="I1813" s="9" t="n"/>
      <c r="J1813" s="9" t="n"/>
      <c r="K1813" s="9" t="n">
        <v>0</v>
      </c>
      <c r="M1813" s="5" t="inlineStr">
        <is>
          <t>1c</t>
        </is>
      </c>
      <c r="N1813" s="5">
        <f>N1811*N1812</f>
        <v/>
      </c>
    </row>
    <row r="1814" ht="15" customFormat="1" customHeight="1" s="5">
      <c r="A1814" s="81" t="n">
        <v>45891</v>
      </c>
      <c r="B1814" s="82" t="n">
        <v>0.6477662037037037</v>
      </c>
      <c r="C1814" s="5" t="inlineStr">
        <is>
          <t>Biryani Bliss</t>
        </is>
      </c>
      <c r="E1814" s="5" t="n">
        <v>1</v>
      </c>
      <c r="F1814" s="6" t="inlineStr">
        <is>
          <t>000197</t>
        </is>
      </c>
      <c r="G1814" s="10" t="n"/>
      <c r="H1814" s="9" t="inlineStr">
        <is>
          <t>Butter Naan</t>
        </is>
      </c>
      <c r="I1814" s="9" t="n">
        <v>4</v>
      </c>
      <c r="J1814" s="9" t="inlineStr">
        <is>
          <t>cnt</t>
        </is>
      </c>
      <c r="K1814" s="9" t="n">
        <v>3.99</v>
      </c>
      <c r="M1814" s="5" t="inlineStr">
        <is>
          <t>1d</t>
        </is>
      </c>
      <c r="N1814" s="5" t="n">
        <v>19000</v>
      </c>
    </row>
    <row r="1815" ht="15" customFormat="1" customHeight="1" s="5">
      <c r="A1815" s="81" t="n">
        <v>45891</v>
      </c>
      <c r="B1815" s="82" t="n">
        <v>0.6477662037037037</v>
      </c>
      <c r="C1815" s="5" t="inlineStr">
        <is>
          <t>Biryani Bliss</t>
        </is>
      </c>
      <c r="E1815" s="5" t="n">
        <v>1</v>
      </c>
      <c r="F1815" s="6" t="inlineStr">
        <is>
          <t>000197</t>
        </is>
      </c>
      <c r="G1815" s="10" t="n"/>
      <c r="H1815" s="9" t="inlineStr">
        <is>
          <t>Vegetable Korma, mild</t>
        </is>
      </c>
      <c r="I1815" s="9" t="n">
        <v>1</v>
      </c>
      <c r="J1815" s="9" t="inlineStr">
        <is>
          <t>cnt</t>
        </is>
      </c>
      <c r="K1815" s="9" t="n">
        <v>14.99</v>
      </c>
      <c r="M1815" s="5" t="inlineStr">
        <is>
          <t>1e</t>
        </is>
      </c>
      <c r="N1815" s="5">
        <f>N1813+N1814</f>
        <v/>
      </c>
    </row>
    <row r="1816" ht="15" customFormat="1" customHeight="1" s="5">
      <c r="A1816" s="81" t="n">
        <v>45891</v>
      </c>
      <c r="B1816" s="82" t="n">
        <v>0.6477662037037037</v>
      </c>
      <c r="C1816" s="5" t="inlineStr">
        <is>
          <t>Biryani Bliss</t>
        </is>
      </c>
      <c r="E1816" s="5" t="n">
        <v>1</v>
      </c>
      <c r="F1816" s="6" t="inlineStr">
        <is>
          <t>000197</t>
        </is>
      </c>
      <c r="G1816" s="10" t="n"/>
      <c r="H1816" s="9" t="inlineStr">
        <is>
          <t>Lamb Vindaloo, 3/4 spice (meat not as much or as tender as 'mutton')</t>
        </is>
      </c>
      <c r="I1816" s="9" t="n">
        <v>1</v>
      </c>
      <c r="J1816" s="9" t="inlineStr">
        <is>
          <t>cnt</t>
        </is>
      </c>
      <c r="K1816" s="9" t="n">
        <v>17.99</v>
      </c>
      <c r="M1816" s="5" t="inlineStr">
        <is>
          <t>1f</t>
        </is>
      </c>
      <c r="N1816" s="5" t="n">
        <v>8000</v>
      </c>
    </row>
    <row r="1817" ht="15" customFormat="1" customHeight="1" s="5">
      <c r="A1817" s="81" t="n">
        <v>45891</v>
      </c>
      <c r="B1817" s="82" t="n">
        <v>0.6477662037037037</v>
      </c>
      <c r="C1817" s="5" t="inlineStr">
        <is>
          <t>Biryani Bliss</t>
        </is>
      </c>
      <c r="E1817" s="5" t="n">
        <v>1</v>
      </c>
      <c r="F1817" s="6" t="inlineStr">
        <is>
          <t>000197</t>
        </is>
      </c>
      <c r="G1817" s="10" t="n"/>
      <c r="H1817" s="9" t="inlineStr">
        <is>
          <t>Cracker Appetizer, complimentary!</t>
        </is>
      </c>
      <c r="I1817" s="9" t="n">
        <v>1</v>
      </c>
      <c r="J1817" s="9" t="inlineStr">
        <is>
          <t>cnt</t>
        </is>
      </c>
      <c r="K1817" s="9" t="n">
        <v>0</v>
      </c>
      <c r="M1817" s="87" t="inlineStr">
        <is>
          <t>1g</t>
        </is>
      </c>
      <c r="N1817" s="5" t="n">
        <v>12900</v>
      </c>
    </row>
    <row r="1818" ht="15" customFormat="1" customHeight="1" s="5">
      <c r="A1818" s="81" t="n">
        <v>45891</v>
      </c>
      <c r="B1818" s="82" t="n">
        <v>0.6477662037037037</v>
      </c>
      <c r="C1818" s="5" t="inlineStr">
        <is>
          <t>Biryani Bliss</t>
        </is>
      </c>
      <c r="E1818" s="5" t="n">
        <v>1</v>
      </c>
      <c r="F1818" s="6" t="inlineStr">
        <is>
          <t>000197</t>
        </is>
      </c>
      <c r="G1818" s="10" t="n"/>
      <c r="H1818" s="9" t="inlineStr">
        <is>
          <t>Buttermilk Lassi</t>
        </is>
      </c>
      <c r="I1818" s="9" t="n">
        <v>1</v>
      </c>
      <c r="J1818" s="9" t="inlineStr">
        <is>
          <t>cnt</t>
        </is>
      </c>
      <c r="K1818" s="9" t="n">
        <v>4.99</v>
      </c>
      <c r="M1818" s="5" t="inlineStr">
        <is>
          <t>1h</t>
        </is>
      </c>
      <c r="N1818" s="5">
        <f>SUM(N1816:N1817)</f>
        <v/>
      </c>
    </row>
    <row r="1819" ht="15" customFormat="1" customHeight="1" s="5">
      <c r="A1819" s="81" t="n">
        <v>45891</v>
      </c>
      <c r="B1819" s="82" t="n">
        <v>0.6477662037037037</v>
      </c>
      <c r="C1819" s="5" t="inlineStr">
        <is>
          <t>Biryani Bliss</t>
        </is>
      </c>
      <c r="E1819" s="5" t="n">
        <v>1</v>
      </c>
      <c r="F1819" s="6" t="inlineStr">
        <is>
          <t>000197</t>
        </is>
      </c>
      <c r="G1819" s="10" t="n"/>
      <c r="H1819" s="9" t="inlineStr">
        <is>
          <t>Tip</t>
        </is>
      </c>
      <c r="I1819" s="9" t="n">
        <v>5</v>
      </c>
      <c r="J1819" s="9" t="inlineStr">
        <is>
          <t>cnt</t>
        </is>
      </c>
      <c r="K1819" s="9" t="n">
        <v>14.42</v>
      </c>
    </row>
    <row r="1820" ht="15" customFormat="1" customHeight="1" s="5">
      <c r="A1820" s="81" t="n">
        <v>45891</v>
      </c>
      <c r="B1820" s="82" t="n">
        <v>0.6477662037037037</v>
      </c>
      <c r="C1820" s="5" t="inlineStr">
        <is>
          <t>Biryani Bliss</t>
        </is>
      </c>
      <c r="E1820" s="5" t="n">
        <v>1</v>
      </c>
      <c r="F1820" s="6" t="inlineStr">
        <is>
          <t>000197</t>
        </is>
      </c>
      <c r="G1820" s="10" t="n"/>
      <c r="H1820" s="9" t="inlineStr">
        <is>
          <t>Tax 8.96%</t>
        </is>
      </c>
      <c r="I1820" s="9" t="n">
        <v>5</v>
      </c>
      <c r="J1820" s="9" t="inlineStr">
        <is>
          <t>cnt</t>
        </is>
      </c>
      <c r="K1820" s="9" t="n">
        <v>4.74</v>
      </c>
    </row>
    <row r="1821" ht="15" customFormat="1" customHeight="1" s="5">
      <c r="A1821" s="81" t="n">
        <v>45891</v>
      </c>
      <c r="B1821" s="82" t="n">
        <v>0.6477662037037037</v>
      </c>
      <c r="C1821" s="5" t="inlineStr">
        <is>
          <t>Biryani Bliss</t>
        </is>
      </c>
      <c r="E1821" s="5" t="n">
        <v>1</v>
      </c>
      <c r="F1821" s="6" t="inlineStr">
        <is>
          <t>000197</t>
        </is>
      </c>
      <c r="G1821" s="10" t="n"/>
      <c r="H1821" s="9" t="inlineStr">
        <is>
          <t>"Kid's Meal" Paneer Dosa (Crepe) "fermented rice batter with paneer, cooked in ghee"</t>
        </is>
      </c>
      <c r="I1821" s="9" t="n">
        <v>1</v>
      </c>
      <c r="J1821" s="9" t="inlineStr">
        <is>
          <t>cnt</t>
        </is>
      </c>
      <c r="K1821" s="9" t="n">
        <v>10.99</v>
      </c>
    </row>
    <row r="1822" ht="15" customFormat="1" customHeight="1" s="5">
      <c r="A1822" s="79" t="n">
        <v>45890</v>
      </c>
      <c r="B1822" s="78" t="n">
        <v>0.7083333333333334</v>
      </c>
      <c r="C1822" s="35" t="inlineStr">
        <is>
          <t>Accelerate Health</t>
        </is>
      </c>
      <c r="D1822" s="35" t="n"/>
      <c r="E1822" s="35" t="n">
        <v>1</v>
      </c>
      <c r="F1822" s="47" t="inlineStr">
        <is>
          <t>821225916</t>
        </is>
      </c>
      <c r="G1822" s="15" t="inlineStr">
        <is>
          <t>2025225BH2561</t>
        </is>
      </c>
      <c r="H1822" s="9" t="inlineStr">
        <is>
          <t>8/8 Lydia: surplus insurance charge to CICN for spot massage</t>
        </is>
      </c>
      <c r="I1822" s="9" t="n">
        <v>1</v>
      </c>
      <c r="J1822" s="9" t="inlineStr">
        <is>
          <t>cnt</t>
        </is>
      </c>
      <c r="K1822" s="9" t="n">
        <v>31.86</v>
      </c>
    </row>
    <row r="1823" ht="15" customFormat="1" customHeight="1" s="5">
      <c r="A1823" s="79" t="n">
        <v>45890</v>
      </c>
      <c r="B1823" s="78" t="n">
        <v>0.7083333333333334</v>
      </c>
      <c r="C1823" s="35" t="inlineStr">
        <is>
          <t>Accelerate Health</t>
        </is>
      </c>
      <c r="D1823" s="35" t="n"/>
      <c r="E1823" s="35" t="n">
        <v>1</v>
      </c>
      <c r="F1823" s="47" t="inlineStr">
        <is>
          <t>821225916</t>
        </is>
      </c>
      <c r="G1823" s="15" t="n"/>
      <c r="H1823" s="9" t="inlineStr">
        <is>
          <t>8/21 Lydia Chiro 20 minute appointment</t>
        </is>
      </c>
      <c r="I1823" s="9" t="n">
        <v>1</v>
      </c>
      <c r="J1823" s="9" t="inlineStr">
        <is>
          <t>cnt</t>
        </is>
      </c>
      <c r="K1823" s="9" t="n">
        <v>103.88</v>
      </c>
    </row>
    <row r="1824" ht="15" customFormat="1" customHeight="1" s="5">
      <c r="A1824" s="79" t="n">
        <v>45890</v>
      </c>
      <c r="B1824" s="78" t="n">
        <v>0.7083333333333334</v>
      </c>
      <c r="C1824" s="35" t="inlineStr">
        <is>
          <t>Accelerate Health</t>
        </is>
      </c>
      <c r="D1824" s="35" t="n"/>
      <c r="E1824" s="35" t="n">
        <v>1</v>
      </c>
      <c r="F1824" s="47" t="inlineStr">
        <is>
          <t>821225916</t>
        </is>
      </c>
      <c r="G1824" s="53" t="inlineStr">
        <is>
          <t>2025238BF9107</t>
        </is>
      </c>
      <c r="H1824" s="49" t="inlineStr">
        <is>
          <t xml:space="preserve">8/25 Lydia Chiro proactive payment </t>
        </is>
      </c>
      <c r="I1824" s="49" t="n">
        <v>3</v>
      </c>
      <c r="J1824" s="49" t="inlineStr">
        <is>
          <t>cnt</t>
        </is>
      </c>
      <c r="K1824" s="49">
        <f>239.62-31.86-103.88</f>
        <v/>
      </c>
    </row>
    <row r="1825" ht="15" customFormat="1" customHeight="1" s="5">
      <c r="A1825" s="81" t="n">
        <v>45890</v>
      </c>
      <c r="B1825" s="82" t="n">
        <v>0.6444444444444445</v>
      </c>
      <c r="C1825" s="5" t="inlineStr">
        <is>
          <t>Safeway</t>
        </is>
      </c>
      <c r="E1825" s="5" t="n">
        <v>1</v>
      </c>
      <c r="F1825" s="6" t="inlineStr">
        <is>
          <t>742821422090</t>
        </is>
      </c>
      <c r="G1825" s="10" t="n"/>
      <c r="H1825" s="9" t="inlineStr">
        <is>
          <t>Two large Peaches Large @$2.99/lb</t>
        </is>
      </c>
      <c r="I1825" s="9" t="n">
        <v>0.83</v>
      </c>
      <c r="J1825" s="9" t="inlineStr">
        <is>
          <t>lb</t>
        </is>
      </c>
      <c r="K1825" s="9" t="n">
        <v>2.48</v>
      </c>
    </row>
    <row r="1826" ht="15" customFormat="1" customHeight="1" s="5">
      <c r="A1826" s="81" t="n">
        <v>45890</v>
      </c>
      <c r="B1826" s="82" t="n">
        <v>0.6444444444444445</v>
      </c>
      <c r="C1826" s="5" t="inlineStr">
        <is>
          <t>Safeway</t>
        </is>
      </c>
      <c r="E1826" s="5" t="n">
        <v>1</v>
      </c>
      <c r="F1826" s="6" t="inlineStr">
        <is>
          <t>742821422090</t>
        </is>
      </c>
      <c r="G1826" s="10" t="n"/>
      <c r="H1826" s="9" t="inlineStr">
        <is>
          <t>Medium Hass Avocados @$0.77/each</t>
        </is>
      </c>
      <c r="I1826" s="9" t="n">
        <v>5</v>
      </c>
      <c r="J1826" s="9" t="inlineStr">
        <is>
          <t>cnt</t>
        </is>
      </c>
      <c r="K1826" s="9" t="n">
        <v>3.85</v>
      </c>
    </row>
    <row r="1827" ht="15" customFormat="1" customHeight="1" s="5">
      <c r="A1827" s="81" t="n">
        <v>45890</v>
      </c>
      <c r="B1827" s="82" t="n">
        <v>0.6444444444444445</v>
      </c>
      <c r="C1827" s="5" t="inlineStr">
        <is>
          <t>Safeway</t>
        </is>
      </c>
      <c r="E1827" s="5" t="n">
        <v>1</v>
      </c>
      <c r="F1827" s="6" t="inlineStr">
        <is>
          <t>742821422090</t>
        </is>
      </c>
      <c r="G1827" s="10" t="n"/>
      <c r="H1827" s="9" t="inlineStr">
        <is>
          <t>Tax</t>
        </is>
      </c>
      <c r="I1827" s="9" t="n">
        <v>4</v>
      </c>
      <c r="J1827" s="9" t="inlineStr">
        <is>
          <t>cnt</t>
        </is>
      </c>
      <c r="K1827" s="9" t="n">
        <v>0</v>
      </c>
    </row>
    <row r="1828" ht="15" customFormat="1" customHeight="1" s="5">
      <c r="A1828" s="81" t="n">
        <v>45890</v>
      </c>
      <c r="B1828" s="82" t="n">
        <v>0.6444444444444445</v>
      </c>
      <c r="C1828" s="5" t="inlineStr">
        <is>
          <t>Safeway</t>
        </is>
      </c>
      <c r="E1828" s="5" t="n">
        <v>1</v>
      </c>
      <c r="F1828" s="6" t="inlineStr">
        <is>
          <t>742821422090</t>
        </is>
      </c>
      <c r="G1828" s="10" t="n"/>
      <c r="H1828" s="9" t="inlineStr">
        <is>
          <t>Signature Select Blueberries</t>
        </is>
      </c>
      <c r="I1828" s="9" t="n">
        <v>18</v>
      </c>
      <c r="J1828" s="9" t="inlineStr">
        <is>
          <t>oz</t>
        </is>
      </c>
      <c r="K1828" s="9" t="n">
        <v>3.77</v>
      </c>
    </row>
    <row r="1829" ht="15" customFormat="1" customHeight="1" s="5">
      <c r="A1829" s="81" t="n">
        <v>45890</v>
      </c>
      <c r="B1829" s="82" t="n">
        <v>0.6444444444444445</v>
      </c>
      <c r="C1829" s="5" t="inlineStr">
        <is>
          <t>Safeway</t>
        </is>
      </c>
      <c r="E1829" s="5" t="n">
        <v>1</v>
      </c>
      <c r="F1829" s="6" t="inlineStr">
        <is>
          <t>742821422090</t>
        </is>
      </c>
      <c r="G1829" s="10" t="n"/>
      <c r="H1829" s="9" t="inlineStr">
        <is>
          <t>Lucern Whipping Cream Heavy Ultra Pasteurized</t>
        </is>
      </c>
      <c r="I1829" s="9" t="n">
        <v>32</v>
      </c>
      <c r="J1829" s="9" t="inlineStr">
        <is>
          <t>fl oz</t>
        </is>
      </c>
      <c r="K1829" s="9" t="n">
        <v>5.99</v>
      </c>
    </row>
    <row r="1830" ht="15" customFormat="1" customHeight="1" s="5">
      <c r="A1830" s="81" t="n">
        <v>45890</v>
      </c>
      <c r="B1830" s="82" t="n">
        <v>0.2916666666666667</v>
      </c>
      <c r="C1830" s="5" t="inlineStr">
        <is>
          <t>US Tax Witholding</t>
        </is>
      </c>
      <c r="D1830" s="5" t="n">
        <v>1</v>
      </c>
      <c r="F1830" s="6" t="inlineStr">
        <is>
          <t>RTX_Paycheck_25_43</t>
        </is>
      </c>
      <c r="G1830" s="7" t="n"/>
      <c r="H1830" s="9" t="inlineStr">
        <is>
          <t>Federal Income Tax</t>
        </is>
      </c>
      <c r="I1830" s="9" t="n"/>
      <c r="J1830" s="9" t="n"/>
      <c r="K1830" s="85" t="n">
        <v>509.72</v>
      </c>
    </row>
    <row r="1831" ht="15" customFormat="1" customHeight="1" s="5">
      <c r="A1831" s="81" t="n">
        <v>45890</v>
      </c>
      <c r="B1831" s="82" t="n">
        <v>0.2916666666666667</v>
      </c>
      <c r="C1831" s="5" t="inlineStr">
        <is>
          <t>US Tax Witholding</t>
        </is>
      </c>
      <c r="D1831" s="5" t="n">
        <v>1</v>
      </c>
      <c r="F1831" s="6" t="inlineStr">
        <is>
          <t>RTX_Paycheck_25_43</t>
        </is>
      </c>
      <c r="G1831" s="7" t="n"/>
      <c r="H1831" s="9" t="inlineStr">
        <is>
          <t>Social Security Tax</t>
        </is>
      </c>
      <c r="I1831" s="9" t="n"/>
      <c r="J1831" s="9" t="n"/>
      <c r="K1831" s="85" t="n">
        <v>290.38</v>
      </c>
    </row>
    <row r="1832" ht="15" customFormat="1" customHeight="1" s="5">
      <c r="A1832" s="81" t="n">
        <v>45890</v>
      </c>
      <c r="B1832" s="82" t="n">
        <v>0.2916666666666667</v>
      </c>
      <c r="C1832" s="5" t="inlineStr">
        <is>
          <t>US Tax Witholding</t>
        </is>
      </c>
      <c r="D1832" s="5" t="n">
        <v>1</v>
      </c>
      <c r="F1832" s="6" t="inlineStr">
        <is>
          <t>RTX_Paycheck_25_43</t>
        </is>
      </c>
      <c r="G1832" s="7" t="n"/>
      <c r="H1832" s="9" t="inlineStr">
        <is>
          <t>Medicare Tax</t>
        </is>
      </c>
      <c r="I1832" s="9" t="n"/>
      <c r="J1832" s="9" t="n"/>
      <c r="K1832" s="85" t="n">
        <v>67.91</v>
      </c>
    </row>
    <row r="1833" ht="15" customFormat="1" customHeight="1" s="5">
      <c r="A1833" s="81" t="n">
        <v>45890</v>
      </c>
      <c r="B1833" s="82" t="n">
        <v>0.2916666666666667</v>
      </c>
      <c r="C1833" s="5" t="inlineStr">
        <is>
          <t>Raytheon</t>
        </is>
      </c>
      <c r="D1833" s="5" t="n">
        <v>1</v>
      </c>
      <c r="F1833" s="6" t="inlineStr">
        <is>
          <t>RTX_Paycheck_25_43</t>
        </is>
      </c>
      <c r="G1833" s="17" t="inlineStr">
        <is>
          <t>XXXX3523</t>
        </is>
      </c>
      <c r="H1833" s="9" t="inlineStr">
        <is>
          <t>Net Paycheck [Aug 02 - Aug 15]</t>
        </is>
      </c>
      <c r="I1833" s="9" t="n"/>
      <c r="J1833" s="9" t="n"/>
      <c r="K1833" s="85" t="n">
        <v>2625.84</v>
      </c>
    </row>
    <row r="1834" ht="15" customFormat="1" customHeight="1" s="5">
      <c r="A1834" s="81" t="n">
        <v>45890</v>
      </c>
      <c r="B1834" s="82" t="n">
        <v>0.2916666666666667</v>
      </c>
      <c r="C1834" s="5" t="inlineStr">
        <is>
          <t>Raytheon</t>
        </is>
      </c>
      <c r="D1834" s="5" t="n">
        <v>1</v>
      </c>
      <c r="F1834" s="6" t="inlineStr">
        <is>
          <t>RTX_Paycheck_25_43</t>
        </is>
      </c>
      <c r="G1834" s="7" t="n"/>
      <c r="H1834" s="9" t="inlineStr">
        <is>
          <t>RTX Direct Deposit -- cancelling offset</t>
        </is>
      </c>
      <c r="I1834" s="9" t="n"/>
      <c r="J1834" s="9" t="n"/>
      <c r="K1834" s="85" t="n">
        <v>-2625.85</v>
      </c>
    </row>
    <row r="1835" ht="15" customFormat="1" customHeight="1" s="5">
      <c r="A1835" s="81" t="n">
        <v>45890</v>
      </c>
      <c r="B1835" s="82" t="n">
        <v>0.2916666666666667</v>
      </c>
      <c r="C1835" s="5" t="inlineStr">
        <is>
          <t>Raytheon</t>
        </is>
      </c>
      <c r="D1835" s="5" t="n">
        <v>1</v>
      </c>
      <c r="F1835" s="6" t="inlineStr">
        <is>
          <t>RTX_Paycheck_25_43</t>
        </is>
      </c>
      <c r="G1835" s="7" t="n"/>
      <c r="H1835" s="9" t="inlineStr">
        <is>
          <t>Gross Paycheck [Aug 02 - Aug 15]</t>
        </is>
      </c>
      <c r="I1835" s="9" t="n"/>
      <c r="J1835" s="9" t="n"/>
      <c r="K1835" s="85" t="n">
        <v>-5117.4</v>
      </c>
    </row>
    <row r="1836" ht="15" customFormat="1" customHeight="1" s="5">
      <c r="A1836" s="81" t="n">
        <v>45890</v>
      </c>
      <c r="B1836" s="82" t="n">
        <v>0.2916666666666667</v>
      </c>
      <c r="C1836" s="5" t="inlineStr">
        <is>
          <t>Raytheon</t>
        </is>
      </c>
      <c r="D1836" s="5" t="n">
        <v>1</v>
      </c>
      <c r="F1836" s="6" t="inlineStr">
        <is>
          <t>RTX_Paycheck_25_43</t>
        </is>
      </c>
      <c r="G1836" s="7" t="n"/>
      <c r="H1836" s="9" t="inlineStr">
        <is>
          <t>Ed(ucation) Assi(tance) Offset</t>
        </is>
      </c>
      <c r="I1836" s="9" t="n"/>
      <c r="J1836" s="9" t="n"/>
      <c r="K1836" s="85" t="n">
        <v>711.63</v>
      </c>
    </row>
    <row r="1837" ht="15" customFormat="1" customHeight="1" s="5">
      <c r="A1837" s="81" t="n">
        <v>45890</v>
      </c>
      <c r="B1837" s="82" t="n">
        <v>0.2916666666666667</v>
      </c>
      <c r="C1837" s="5" t="inlineStr">
        <is>
          <t>Parents Gift Account</t>
        </is>
      </c>
      <c r="D1837" s="5" t="n">
        <v>1</v>
      </c>
      <c r="F1837" s="6" t="inlineStr">
        <is>
          <t>RTX_Paycheck_25_43</t>
        </is>
      </c>
      <c r="G1837" s="17" t="inlineStr">
        <is>
          <t>XXXX7146</t>
        </is>
      </c>
      <c r="H1837" s="9" t="inlineStr">
        <is>
          <t>Contribution to Parents Gift Account</t>
        </is>
      </c>
      <c r="I1837" s="9" t="n"/>
      <c r="J1837" s="9" t="n"/>
      <c r="K1837" s="85" t="n">
        <v>0.01</v>
      </c>
    </row>
    <row r="1838" ht="15" customFormat="1" customHeight="1" s="5">
      <c r="A1838" s="81" t="n">
        <v>45890</v>
      </c>
      <c r="B1838" s="82" t="n">
        <v>0.2916666666666667</v>
      </c>
      <c r="C1838" s="5" t="inlineStr">
        <is>
          <t>HSA</t>
        </is>
      </c>
      <c r="D1838" s="5" t="n">
        <v>1</v>
      </c>
      <c r="F1838" s="6" t="inlineStr">
        <is>
          <t>RTX_Paycheck_25_43</t>
        </is>
      </c>
      <c r="G1838" s="7" t="n"/>
      <c r="H1838" s="9" t="inlineStr">
        <is>
          <t>Personal contribution to HSA</t>
        </is>
      </c>
      <c r="I1838" s="9" t="n"/>
      <c r="J1838" s="9" t="n"/>
      <c r="K1838" s="85" t="n">
        <v>299.91</v>
      </c>
    </row>
    <row r="1839" ht="15" customFormat="1" customHeight="1" s="5">
      <c r="A1839" s="81" t="n">
        <v>45890</v>
      </c>
      <c r="B1839" s="82" t="n">
        <v>0.2916666666666667</v>
      </c>
      <c r="C1839" s="5" t="inlineStr">
        <is>
          <t>Delta Dental</t>
        </is>
      </c>
      <c r="D1839" s="5" t="n">
        <v>1</v>
      </c>
      <c r="F1839" s="6" t="inlineStr">
        <is>
          <t>RTX_Paycheck_25_43</t>
        </is>
      </c>
      <c r="G1839" s="10" t="n"/>
      <c r="H1839" s="9" t="inlineStr">
        <is>
          <t>Dental Insurance</t>
        </is>
      </c>
      <c r="I1839" s="9" t="n"/>
      <c r="J1839" s="9" t="n"/>
      <c r="K1839" s="85" t="n">
        <v>4.26</v>
      </c>
    </row>
    <row r="1840" ht="15" customFormat="1" customHeight="1" s="5">
      <c r="A1840" s="81" t="n">
        <v>45890</v>
      </c>
      <c r="B1840" s="82" t="n">
        <v>0.2916666666666667</v>
      </c>
      <c r="C1840" s="5" t="inlineStr">
        <is>
          <t>CO Tax Witholding</t>
        </is>
      </c>
      <c r="D1840" s="5" t="n">
        <v>1</v>
      </c>
      <c r="F1840" s="6" t="inlineStr">
        <is>
          <t>RTX_Paycheck_25_43</t>
        </is>
      </c>
      <c r="G1840" s="7" t="n"/>
      <c r="H1840" s="9" t="inlineStr">
        <is>
          <t>CO State Income Tax</t>
        </is>
      </c>
      <c r="I1840" s="9" t="n"/>
      <c r="J1840" s="9" t="n"/>
      <c r="K1840" s="85" t="n">
        <v>189.08</v>
      </c>
    </row>
    <row r="1841" ht="15" customFormat="1" customHeight="1" s="5">
      <c r="A1841" s="81" t="n">
        <v>45890</v>
      </c>
      <c r="B1841" s="82" t="n">
        <v>0.2916666666666667</v>
      </c>
      <c r="C1841" s="5" t="inlineStr">
        <is>
          <t>CO Tax Witholding</t>
        </is>
      </c>
      <c r="D1841" s="5" t="n">
        <v>1</v>
      </c>
      <c r="F1841" s="6" t="inlineStr">
        <is>
          <t>RTX_Paycheck_25_43</t>
        </is>
      </c>
      <c r="G1841" s="7" t="n"/>
      <c r="H1841" s="9" t="inlineStr">
        <is>
          <t>CO Paid Family Leave Insurance</t>
        </is>
      </c>
      <c r="I1841" s="9" t="n"/>
      <c r="J1841" s="9" t="n"/>
      <c r="K1841" s="85" t="n">
        <v>23.03</v>
      </c>
    </row>
    <row r="1842" ht="15" customFormat="1" customHeight="1" s="5">
      <c r="A1842" s="81" t="n">
        <v>45890</v>
      </c>
      <c r="B1842" s="82" t="n">
        <v>0.2916666666666667</v>
      </c>
      <c r="C1842" s="5" t="inlineStr">
        <is>
          <t>Anthem BcBs</t>
        </is>
      </c>
      <c r="D1842" s="5" t="n">
        <v>1</v>
      </c>
      <c r="F1842" s="6" t="inlineStr">
        <is>
          <t>RTX_Paycheck_25_43</t>
        </is>
      </c>
      <c r="G1842" s="7" t="n"/>
      <c r="H1842" s="9" t="inlineStr">
        <is>
          <t>Medical Insurance</t>
        </is>
      </c>
      <c r="I1842" s="9" t="n"/>
      <c r="J1842" s="9" t="n"/>
      <c r="K1842" s="85" t="n">
        <v>131.28</v>
      </c>
    </row>
    <row r="1843" ht="15" customFormat="1" customHeight="1" s="5">
      <c r="A1843" s="81" t="n">
        <v>45890</v>
      </c>
      <c r="B1843" s="82" t="n">
        <v>0.2916666666666667</v>
      </c>
      <c r="C1843" s="5" t="inlineStr">
        <is>
          <t>Alight</t>
        </is>
      </c>
      <c r="D1843" s="5" t="n">
        <v>1</v>
      </c>
      <c r="F1843" s="6" t="inlineStr">
        <is>
          <t>RTX_Paycheck_25_43</t>
        </is>
      </c>
      <c r="G1843" s="7" t="n"/>
      <c r="H1843" s="9" t="inlineStr">
        <is>
          <t>401k Basic -- Traditional</t>
        </is>
      </c>
      <c r="I1843" s="9" t="n"/>
      <c r="J1843" s="9" t="n"/>
      <c r="K1843" s="85" t="n">
        <v>0</v>
      </c>
    </row>
    <row r="1844" ht="15" customFormat="1" customHeight="1" s="5">
      <c r="A1844" s="81" t="n">
        <v>45890</v>
      </c>
      <c r="B1844" s="82" t="n">
        <v>0.2916666666666667</v>
      </c>
      <c r="C1844" s="5" t="inlineStr">
        <is>
          <t>Alight</t>
        </is>
      </c>
      <c r="D1844" s="5" t="n">
        <v>1</v>
      </c>
      <c r="F1844" s="6" t="inlineStr">
        <is>
          <t>RTX_Paycheck_25_43</t>
        </is>
      </c>
      <c r="G1844" s="7" t="n"/>
      <c r="H1844" s="9" t="inlineStr">
        <is>
          <t>Roth 401k Basic</t>
        </is>
      </c>
      <c r="I1844" s="9" t="n"/>
      <c r="J1844" s="9" t="n"/>
      <c r="K1844" s="85" t="n">
        <v>264.35</v>
      </c>
    </row>
    <row r="1845" ht="15" customFormat="1" customHeight="1" s="5">
      <c r="A1845" s="81" t="n">
        <v>45889</v>
      </c>
      <c r="B1845" s="82" t="n">
        <v>0.90625</v>
      </c>
      <c r="C1845" s="5" t="inlineStr">
        <is>
          <t>Amazon</t>
        </is>
      </c>
      <c r="D1845" s="5" t="n">
        <v>1</v>
      </c>
      <c r="F1845" s="6" t="inlineStr">
        <is>
          <t>111-3581322-6477863</t>
        </is>
      </c>
      <c r="G1845" s="10" t="n"/>
      <c r="H1845" s="9" t="inlineStr">
        <is>
          <t>Tax</t>
        </is>
      </c>
      <c r="I1845" s="9" t="n">
        <v>1</v>
      </c>
      <c r="J1845" s="9" t="inlineStr">
        <is>
          <t>cnt</t>
        </is>
      </c>
      <c r="K1845" s="85" t="n">
        <v>4</v>
      </c>
    </row>
    <row r="1846" ht="15" customFormat="1" customHeight="1" s="5">
      <c r="A1846" s="81" t="n">
        <v>45889</v>
      </c>
      <c r="B1846" s="82" t="n">
        <v>0.90625</v>
      </c>
      <c r="C1846" s="5" t="inlineStr">
        <is>
          <t>Amazon</t>
        </is>
      </c>
      <c r="D1846" s="5" t="n">
        <v>1</v>
      </c>
      <c r="F1846" s="6" t="inlineStr">
        <is>
          <t>111-3581322-6477863</t>
        </is>
      </c>
      <c r="G1846" s="10" t="n"/>
      <c r="H1846" s="9" t="inlineStr">
        <is>
          <t>Skechers Women's Hands Free Slip-INS BOBS Squad Chaos-Current Muse Sneaker, Taupe, 8.5 Wide; sold by: Zappos</t>
        </is>
      </c>
      <c r="I1846" s="9" t="n">
        <v>1</v>
      </c>
      <c r="J1846" s="9" t="inlineStr">
        <is>
          <t>cnt</t>
        </is>
      </c>
      <c r="K1846" s="85" t="n">
        <v>50</v>
      </c>
    </row>
    <row r="1847" ht="15" customFormat="1" customHeight="1" s="5">
      <c r="A1847" s="81" t="n">
        <v>45889</v>
      </c>
      <c r="B1847" s="82" t="n">
        <v>0.90625</v>
      </c>
      <c r="C1847" s="5" t="inlineStr">
        <is>
          <t>Amazon</t>
        </is>
      </c>
      <c r="D1847" s="5" t="n">
        <v>1</v>
      </c>
      <c r="F1847" s="6" t="inlineStr">
        <is>
          <t>111-3581322-6477863</t>
        </is>
      </c>
      <c r="G1847" s="10" t="n"/>
      <c r="H1847" s="9" t="inlineStr">
        <is>
          <t>Gift card balance</t>
        </is>
      </c>
      <c r="I1847" s="9" t="n">
        <v>1</v>
      </c>
      <c r="J1847" s="9" t="inlineStr">
        <is>
          <t>cnt</t>
        </is>
      </c>
      <c r="K1847" s="85" t="n">
        <v>-16.73</v>
      </c>
    </row>
    <row r="1848" ht="15" customFormat="1" customHeight="1" s="5">
      <c r="A1848" s="81" t="n">
        <v>45889</v>
      </c>
      <c r="B1848" s="82" t="n">
        <v>0.90625</v>
      </c>
      <c r="C1848" s="5" t="inlineStr">
        <is>
          <t>Amazon</t>
        </is>
      </c>
      <c r="D1848" s="5" t="n">
        <v>1</v>
      </c>
      <c r="F1848" s="6" t="inlineStr">
        <is>
          <t>111-3581322-6477863</t>
        </is>
      </c>
      <c r="G1848" s="10" t="n"/>
      <c r="H1848" s="9" t="inlineStr">
        <is>
          <t>Gift card balance offset</t>
        </is>
      </c>
      <c r="I1848" s="9" t="n">
        <v>1</v>
      </c>
      <c r="J1848" s="9" t="inlineStr">
        <is>
          <t>cnt</t>
        </is>
      </c>
      <c r="K1848" s="85" t="n">
        <v>16.73</v>
      </c>
    </row>
    <row r="1849" ht="15" customFormat="1" customHeight="1" s="5">
      <c r="A1849" s="81" t="n">
        <v>45889</v>
      </c>
      <c r="B1849" s="82" t="n">
        <v>0.90625</v>
      </c>
      <c r="C1849" s="5" t="inlineStr">
        <is>
          <t>Amazon</t>
        </is>
      </c>
      <c r="D1849" s="5" t="n">
        <v>1</v>
      </c>
      <c r="F1849" s="6" t="inlineStr">
        <is>
          <t>111-8709666-3050647</t>
        </is>
      </c>
      <c r="G1849" s="10" t="n"/>
      <c r="H1849" s="9" t="inlineStr">
        <is>
          <t>Topus Extra Strong Upholstery Repair Sewing Thread Kit and Heavy Duty Household Hand Needles, Including 7 Styles of Leather Canvas Sewing Needles and 3 Rolls Nylon Thread (70 Yard Per Roll), 3 Colors</t>
        </is>
      </c>
      <c r="I1849" s="9" t="n">
        <v>210</v>
      </c>
      <c r="J1849" s="9" t="inlineStr">
        <is>
          <t>Yards</t>
        </is>
      </c>
      <c r="K1849" s="85" t="n">
        <v>9.99</v>
      </c>
      <c r="M1849" s="87" t="n"/>
    </row>
    <row r="1850" ht="15" customFormat="1" customHeight="1" s="5">
      <c r="A1850" s="81" t="n">
        <v>45889</v>
      </c>
      <c r="B1850" s="82" t="n">
        <v>0.90625</v>
      </c>
      <c r="C1850" s="5" t="inlineStr">
        <is>
          <t>Amazon</t>
        </is>
      </c>
      <c r="D1850" s="5" t="n">
        <v>1</v>
      </c>
      <c r="F1850" s="6" t="inlineStr">
        <is>
          <t>111-8709666-3050647</t>
        </is>
      </c>
      <c r="G1850" s="10" t="n"/>
      <c r="H1850" s="9" t="inlineStr">
        <is>
          <t>Tax</t>
        </is>
      </c>
      <c r="I1850" s="9" t="n">
        <v>210</v>
      </c>
      <c r="J1850" s="9" t="inlineStr">
        <is>
          <t>Yards</t>
        </is>
      </c>
      <c r="K1850" s="85" t="n">
        <v>0.8</v>
      </c>
    </row>
    <row r="1851" ht="15" customFormat="1" customHeight="1" s="5">
      <c r="A1851" s="81" t="n">
        <v>45889</v>
      </c>
      <c r="B1851" s="82" t="n">
        <v>0.90625</v>
      </c>
      <c r="C1851" s="5" t="inlineStr">
        <is>
          <t>Amazon</t>
        </is>
      </c>
      <c r="D1851" s="5" t="n">
        <v>1</v>
      </c>
      <c r="F1851" s="6" t="inlineStr">
        <is>
          <t>111-8709666-3050647</t>
        </is>
      </c>
      <c r="G1851" s="10" t="n"/>
      <c r="H1851" s="9" t="inlineStr">
        <is>
          <t>CO Retail Delivery Fees</t>
        </is>
      </c>
      <c r="I1851" s="9" t="n">
        <v>210</v>
      </c>
      <c r="J1851" s="9" t="inlineStr">
        <is>
          <t>Yards</t>
        </is>
      </c>
      <c r="K1851" s="85" t="n">
        <v>0.28</v>
      </c>
    </row>
    <row r="1852" ht="15" customFormat="1" customHeight="1" s="5">
      <c r="A1852" s="81" t="n">
        <v>45889</v>
      </c>
      <c r="B1852" s="82" t="n">
        <v>0.90625</v>
      </c>
      <c r="C1852" s="5" t="inlineStr">
        <is>
          <t>Amazon</t>
        </is>
      </c>
      <c r="D1852" s="5" t="n">
        <v>1</v>
      </c>
      <c r="F1852" s="6" t="inlineStr">
        <is>
          <t>111-8709666-3050647</t>
        </is>
      </c>
      <c r="G1852" s="10" t="n"/>
      <c r="H1852" s="9" t="inlineStr">
        <is>
          <t>Gift card balance</t>
        </is>
      </c>
      <c r="I1852" s="9" t="n">
        <v>210</v>
      </c>
      <c r="J1852" s="9" t="inlineStr">
        <is>
          <t>Yards</t>
        </is>
      </c>
      <c r="K1852" s="85" t="n">
        <v>-10.48</v>
      </c>
    </row>
    <row r="1853" ht="15" customFormat="1" customHeight="1" s="5">
      <c r="A1853" s="81" t="n">
        <v>45889</v>
      </c>
      <c r="B1853" s="82" t="n">
        <v>0.90625</v>
      </c>
      <c r="C1853" s="5" t="inlineStr">
        <is>
          <t>Amazon</t>
        </is>
      </c>
      <c r="D1853" s="5" t="n">
        <v>1</v>
      </c>
      <c r="F1853" s="6" t="inlineStr">
        <is>
          <t>111-8709666-3050647</t>
        </is>
      </c>
      <c r="G1853" s="10" t="n"/>
      <c r="H1853" s="9" t="inlineStr">
        <is>
          <t>Amazon rewards points redeemed!</t>
        </is>
      </c>
      <c r="I1853" s="9" t="n">
        <v>210</v>
      </c>
      <c r="J1853" s="9" t="inlineStr">
        <is>
          <t>Yards</t>
        </is>
      </c>
      <c r="K1853" s="85" t="n">
        <v>-0.31</v>
      </c>
    </row>
    <row r="1854" ht="15" customFormat="1" customHeight="1" s="5">
      <c r="A1854" s="81" t="n">
        <v>45889</v>
      </c>
      <c r="B1854" s="82" t="n">
        <v>0.90625</v>
      </c>
      <c r="C1854" s="5" t="inlineStr">
        <is>
          <t>Amazon</t>
        </is>
      </c>
      <c r="D1854" s="5" t="n">
        <v>1</v>
      </c>
      <c r="F1854" s="6" t="inlineStr">
        <is>
          <t>111-8709666-3050647</t>
        </is>
      </c>
      <c r="G1854" s="10" t="n"/>
      <c r="H1854" s="9" t="inlineStr">
        <is>
          <t>Gift card balance offset</t>
        </is>
      </c>
      <c r="I1854" s="9" t="n">
        <v>210</v>
      </c>
      <c r="J1854" s="9" t="inlineStr">
        <is>
          <t>Yards</t>
        </is>
      </c>
      <c r="K1854" s="85" t="n">
        <v>10.48</v>
      </c>
    </row>
    <row r="1855" ht="15" customFormat="1" customHeight="1" s="5">
      <c r="A1855" s="81" t="n">
        <v>45889</v>
      </c>
      <c r="B1855" s="82" t="n">
        <v>0.6993055555555555</v>
      </c>
      <c r="C1855" s="5" t="inlineStr">
        <is>
          <t>Costco</t>
        </is>
      </c>
      <c r="E1855" s="5" t="n">
        <v>1</v>
      </c>
      <c r="F1855" s="6" t="inlineStr">
        <is>
          <t>439 207 239 707</t>
        </is>
      </c>
      <c r="G1855" s="10" t="inlineStr">
        <is>
          <t>E 633563</t>
        </is>
      </c>
      <c r="H1855" s="9" t="inlineStr">
        <is>
          <t>KS Tomato Sauce, 15 oz, 12-count</t>
        </is>
      </c>
      <c r="I1855" s="9" t="n">
        <v>180</v>
      </c>
      <c r="J1855" s="9" t="inlineStr">
        <is>
          <t>oz</t>
        </is>
      </c>
      <c r="K1855" s="85" t="inlineStr">
        <is>
          <t>12.69 N</t>
        </is>
      </c>
    </row>
    <row r="1856" ht="15" customFormat="1" customHeight="1" s="5">
      <c r="A1856" s="81" t="n">
        <v>45889</v>
      </c>
      <c r="B1856" s="82" t="n">
        <v>0.6993055555555555</v>
      </c>
      <c r="C1856" s="5" t="inlineStr">
        <is>
          <t>Costco</t>
        </is>
      </c>
      <c r="E1856" s="5" t="n">
        <v>1</v>
      </c>
      <c r="F1856" s="6" t="inlineStr">
        <is>
          <t>439 207 239 707</t>
        </is>
      </c>
      <c r="G1856" s="10" t="n"/>
      <c r="H1856" s="9" t="inlineStr">
        <is>
          <t>Tax</t>
        </is>
      </c>
      <c r="I1856" s="9" t="n">
        <v>180</v>
      </c>
      <c r="J1856" s="9" t="inlineStr">
        <is>
          <t>oz</t>
        </is>
      </c>
      <c r="K1856" s="85" t="n">
        <v>0</v>
      </c>
    </row>
    <row r="1857" ht="15" customFormat="1" customHeight="1" s="5">
      <c r="A1857" s="81" t="n">
        <v>45889</v>
      </c>
      <c r="B1857" s="82" t="n">
        <v>0.2916666666666667</v>
      </c>
      <c r="C1857" s="5" t="inlineStr">
        <is>
          <t>Amazon</t>
        </is>
      </c>
      <c r="D1857" s="5" t="n">
        <v>1</v>
      </c>
      <c r="F1857" s="6" t="n"/>
      <c r="G1857" s="10" t="n"/>
      <c r="H1857" s="9" t="inlineStr">
        <is>
          <t>BABY GIFT from Carly Watkins: amazon gift card</t>
        </is>
      </c>
      <c r="I1857" s="9" t="n"/>
      <c r="J1857" s="9" t="n"/>
      <c r="K1857" s="85" t="n">
        <v>20</v>
      </c>
    </row>
    <row r="1858" ht="15" customFormat="1" customHeight="1" s="5">
      <c r="A1858" s="81" t="n">
        <v>45889</v>
      </c>
      <c r="B1858" s="82" t="n">
        <v>0.2916666666666667</v>
      </c>
      <c r="C1858" s="5" t="inlineStr">
        <is>
          <t>Amazon</t>
        </is>
      </c>
      <c r="D1858" s="5" t="n">
        <v>1</v>
      </c>
      <c r="F1858" s="6" t="n"/>
      <c r="G1858" s="10" t="n"/>
      <c r="H1858" s="9" t="inlineStr">
        <is>
          <t>Amaozn Gift Card add to account</t>
        </is>
      </c>
      <c r="I1858" s="9" t="n"/>
      <c r="J1858" s="9" t="n"/>
      <c r="K1858" s="85" t="n">
        <v>-20</v>
      </c>
    </row>
    <row r="1859" ht="15" customFormat="1" customHeight="1" s="5">
      <c r="A1859" s="81" t="n">
        <v>45889</v>
      </c>
      <c r="B1859" s="82" t="n">
        <v>0.2916666666666667</v>
      </c>
      <c r="C1859" s="5" t="inlineStr">
        <is>
          <t>Amazon</t>
        </is>
      </c>
      <c r="D1859" s="5" t="n">
        <v>1</v>
      </c>
      <c r="F1859" s="6" t="n"/>
      <c r="G1859" s="10" t="n"/>
      <c r="H1859" s="9" t="inlineStr">
        <is>
          <t xml:space="preserve">Margo Grasser BABY GIFT visa gift card </t>
        </is>
      </c>
      <c r="I1859" s="9" t="n">
        <v>1</v>
      </c>
      <c r="J1859" s="9" t="inlineStr">
        <is>
          <t>cnt</t>
        </is>
      </c>
      <c r="K1859" s="85" t="n">
        <v>50</v>
      </c>
    </row>
    <row r="1860" ht="15" customFormat="1" customHeight="1" s="5">
      <c r="A1860" s="81" t="n">
        <v>45889</v>
      </c>
      <c r="B1860" s="82" t="n">
        <v>0.2916666666666667</v>
      </c>
      <c r="C1860" s="5" t="inlineStr">
        <is>
          <t>Amazon</t>
        </is>
      </c>
      <c r="D1860" s="5" t="n">
        <v>1</v>
      </c>
      <c r="F1860" s="6" t="n"/>
      <c r="G1860" s="10" t="n"/>
      <c r="H1860" s="9" t="inlineStr">
        <is>
          <t>Amazon Gift Card Purchase</t>
        </is>
      </c>
      <c r="I1860" s="9" t="n">
        <v>1</v>
      </c>
      <c r="J1860" s="9" t="inlineStr">
        <is>
          <t>cnt</t>
        </is>
      </c>
      <c r="K1860" s="85" t="n">
        <v>-50</v>
      </c>
    </row>
    <row r="1861" ht="15" customFormat="1" customHeight="1" s="5">
      <c r="A1861" s="81" t="n">
        <v>45888</v>
      </c>
      <c r="B1861" s="82" t="n">
        <v>0.8756944444444444</v>
      </c>
      <c r="C1861" s="5" t="inlineStr">
        <is>
          <t>Venmo</t>
        </is>
      </c>
      <c r="D1861" s="5" t="n">
        <v>1</v>
      </c>
      <c r="F1861" s="6" t="inlineStr">
        <is>
          <t>4403104677278794393</t>
        </is>
      </c>
      <c r="G1861" s="10" t="n"/>
      <c r="H1861" s="9" t="inlineStr">
        <is>
          <t>Monthly AT&amp;T Phone and Service cost for Eli's iPhone 16+</t>
        </is>
      </c>
      <c r="I1861" s="9" t="n"/>
      <c r="J1861" s="9" t="n"/>
      <c r="K1861" s="85">
        <f>#REF!</f>
        <v/>
      </c>
    </row>
    <row r="1862" ht="15" customFormat="1" customHeight="1" s="5">
      <c r="A1862" s="81" t="n">
        <v>45888</v>
      </c>
      <c r="B1862" s="82" t="n">
        <v>0.8756944444444444</v>
      </c>
      <c r="C1862" s="5" t="inlineStr">
        <is>
          <t>Venmo</t>
        </is>
      </c>
      <c r="D1862" s="5" t="n">
        <v>1</v>
      </c>
      <c r="F1862" s="6" t="inlineStr">
        <is>
          <t>4403104677278794393</t>
        </is>
      </c>
      <c r="G1862" s="10" t="n"/>
      <c r="H1862" s="9" t="inlineStr">
        <is>
          <t>Monthly AT&amp;T Phone and Service cost for Eli's iPhone 16+</t>
        </is>
      </c>
      <c r="I1862" s="9" t="n"/>
      <c r="J1862" s="9" t="n"/>
      <c r="K1862" s="85">
        <f>#REF!</f>
        <v/>
      </c>
    </row>
    <row r="1863" ht="15" customFormat="1" customHeight="1" s="5">
      <c r="A1863" s="81" t="n">
        <v>45888</v>
      </c>
      <c r="B1863" s="82" t="n">
        <v>0.8756944444444444</v>
      </c>
      <c r="C1863" s="5" t="inlineStr">
        <is>
          <t>Venmo</t>
        </is>
      </c>
      <c r="D1863" s="5" t="n">
        <v>1</v>
      </c>
      <c r="F1863" s="6" t="inlineStr">
        <is>
          <t>4403104677278794393</t>
        </is>
      </c>
      <c r="G1863" s="10" t="n"/>
      <c r="H1863" s="9" t="inlineStr">
        <is>
          <t>Monthly AT&amp;T Phone and Service cost for Eli's iPhone 16+</t>
        </is>
      </c>
      <c r="I1863" s="9" t="n"/>
      <c r="J1863" s="9" t="n"/>
      <c r="K1863" s="85">
        <f>#REF!</f>
        <v/>
      </c>
    </row>
    <row r="1864" ht="15" customFormat="1" customHeight="1" s="5">
      <c r="A1864" s="81" t="n">
        <v>45888</v>
      </c>
      <c r="B1864" s="82" t="n">
        <v>0.8756944444444444</v>
      </c>
      <c r="C1864" s="5" t="inlineStr">
        <is>
          <t>Venmo</t>
        </is>
      </c>
      <c r="D1864" s="5" t="n">
        <v>1</v>
      </c>
      <c r="F1864" s="6" t="inlineStr">
        <is>
          <t>4403104677278794393</t>
        </is>
      </c>
      <c r="G1864" s="10" t="n"/>
      <c r="H1864" s="9" t="inlineStr">
        <is>
          <t>Monthly AT&amp;T Phone and Service cost for Eli's iPhone 16+</t>
        </is>
      </c>
      <c r="I1864" s="9" t="n"/>
      <c r="J1864" s="9" t="n"/>
      <c r="K1864" s="85">
        <f>#REF!</f>
        <v/>
      </c>
    </row>
    <row r="1865" ht="15" customFormat="1" customHeight="1" s="5">
      <c r="A1865" s="81" t="n">
        <v>45888</v>
      </c>
      <c r="B1865" s="82" t="n">
        <v>0.7173611111111111</v>
      </c>
      <c r="C1865" s="5" t="inlineStr">
        <is>
          <t>Aurora Water</t>
        </is>
      </c>
      <c r="D1865" s="5" t="n">
        <v>1</v>
      </c>
      <c r="F1865" s="6" t="n">
        <v>4454836238</v>
      </c>
      <c r="G1865" s="10" t="n"/>
      <c r="H1865" s="9" t="inlineStr">
        <is>
          <t>First 5K GAL @$5.63/KGal</t>
        </is>
      </c>
      <c r="I1865" s="9" t="n">
        <v>5</v>
      </c>
      <c r="J1865" s="9" t="inlineStr">
        <is>
          <t>KGal</t>
        </is>
      </c>
      <c r="K1865" s="9" t="n">
        <v>28.15</v>
      </c>
    </row>
    <row r="1866" ht="15" customFormat="1" customHeight="1" s="5">
      <c r="A1866" s="81" t="n">
        <v>45888</v>
      </c>
      <c r="B1866" s="82" t="n">
        <v>0.7173611111111111</v>
      </c>
      <c r="C1866" s="5" t="inlineStr">
        <is>
          <t>Aurora Water</t>
        </is>
      </c>
      <c r="D1866" s="5" t="n">
        <v>1</v>
      </c>
      <c r="F1866" s="6" t="n">
        <v>4454836238</v>
      </c>
      <c r="G1866" s="10" t="n"/>
      <c r="H1866" s="9" t="inlineStr">
        <is>
          <t>Sewer Usage Chg @$5.06/Kgal</t>
        </is>
      </c>
      <c r="I1866" s="9" t="n">
        <v>3.33</v>
      </c>
      <c r="J1866" s="9" t="inlineStr">
        <is>
          <t>kGal</t>
        </is>
      </c>
      <c r="K1866" s="9" t="n">
        <v>16.85</v>
      </c>
    </row>
    <row r="1867" ht="15" customFormat="1" customHeight="1" s="5">
      <c r="A1867" s="81" t="n">
        <v>45888</v>
      </c>
      <c r="B1867" s="82" t="n">
        <v>0.7173611111111111</v>
      </c>
      <c r="C1867" s="5" t="inlineStr">
        <is>
          <t>Aurora Water</t>
        </is>
      </c>
      <c r="D1867" s="5" t="n">
        <v>1</v>
      </c>
      <c r="F1867" s="6" t="n">
        <v>4454836238</v>
      </c>
      <c r="G1867" s="10" t="n"/>
      <c r="H1867" s="9" t="inlineStr">
        <is>
          <t>Water Monthly Svc Chg</t>
        </is>
      </c>
      <c r="I1867" s="9" t="n"/>
      <c r="J1867" s="9" t="n"/>
      <c r="K1867" s="9" t="n">
        <v>14.94</v>
      </c>
    </row>
    <row r="1868" ht="15" customFormat="1" customHeight="1" s="5">
      <c r="A1868" s="81" t="n">
        <v>45888</v>
      </c>
      <c r="B1868" s="82" t="n">
        <v>0.7173611111111111</v>
      </c>
      <c r="C1868" s="5" t="inlineStr">
        <is>
          <t>Aurora Water</t>
        </is>
      </c>
      <c r="D1868" s="5" t="n">
        <v>1</v>
      </c>
      <c r="F1868" s="6" t="n">
        <v>4454836238</v>
      </c>
      <c r="G1868" s="10" t="n"/>
      <c r="H1868" s="9" t="inlineStr">
        <is>
          <t>Storm Drain Base</t>
        </is>
      </c>
      <c r="I1868" s="9" t="n"/>
      <c r="J1868" s="9" t="n"/>
      <c r="K1868" s="9" t="n">
        <v>11.6</v>
      </c>
    </row>
    <row r="1869" ht="15" customFormat="1" customHeight="1" s="5">
      <c r="A1869" s="81" t="n">
        <v>45888</v>
      </c>
      <c r="B1869" s="82" t="n">
        <v>0.7173611111111111</v>
      </c>
      <c r="C1869" s="5" t="inlineStr">
        <is>
          <t>Aurora Water</t>
        </is>
      </c>
      <c r="D1869" s="5" t="n">
        <v>1</v>
      </c>
      <c r="F1869" s="6" t="n">
        <v>4454836238</v>
      </c>
      <c r="G1869" s="10" t="n"/>
      <c r="H1869" s="9" t="inlineStr">
        <is>
          <t>Sewer Monthly Svc Chg</t>
        </is>
      </c>
      <c r="I1869" s="9" t="n"/>
      <c r="J1869" s="9" t="n"/>
      <c r="K1869" s="9" t="n">
        <v>5.51</v>
      </c>
    </row>
    <row r="1870" ht="15" customFormat="1" customHeight="1" s="5">
      <c r="A1870" s="81" t="n">
        <v>45888</v>
      </c>
      <c r="B1870" s="82" t="n">
        <v>0.4777777777777778</v>
      </c>
      <c r="C1870" s="5" t="inlineStr">
        <is>
          <t>Amazon</t>
        </is>
      </c>
      <c r="D1870" s="5" t="n">
        <v>1</v>
      </c>
      <c r="F1870" s="6" t="inlineStr">
        <is>
          <t>111-4525889-3221841</t>
        </is>
      </c>
      <c r="G1870" s="10" t="n"/>
      <c r="H1870" s="9" t="inlineStr">
        <is>
          <t>SHUNXI Nearsighted Glasses Distance Myopia Glasses Lightweight For Men Women</t>
        </is>
      </c>
      <c r="I1870" s="9" t="n">
        <v>3</v>
      </c>
      <c r="J1870" s="9" t="inlineStr">
        <is>
          <t>cnt</t>
        </is>
      </c>
      <c r="K1870" s="9" t="n">
        <v>19.99</v>
      </c>
      <c r="M1870" s="87" t="inlineStr">
        <is>
          <t>2a</t>
        </is>
      </c>
      <c r="N1870" s="5">
        <f>N1844</f>
        <v/>
      </c>
    </row>
    <row r="1871" ht="15" customFormat="1" customHeight="1" s="5">
      <c r="A1871" s="81" t="n">
        <v>45888</v>
      </c>
      <c r="B1871" s="82" t="n">
        <v>0.4777777777777778</v>
      </c>
      <c r="C1871" s="5" t="inlineStr">
        <is>
          <t>Amazon</t>
        </is>
      </c>
      <c r="D1871" s="5" t="n">
        <v>1</v>
      </c>
      <c r="F1871" s="6" t="inlineStr">
        <is>
          <t>111-4525889-3221841</t>
        </is>
      </c>
      <c r="G1871" s="10" t="n"/>
      <c r="H1871" s="9" t="inlineStr">
        <is>
          <t>Tax</t>
        </is>
      </c>
      <c r="I1871" s="9" t="n">
        <v>4</v>
      </c>
      <c r="J1871" s="9" t="inlineStr">
        <is>
          <t>cnt</t>
        </is>
      </c>
      <c r="K1871" s="9" t="n">
        <v>5.63</v>
      </c>
    </row>
    <row r="1872" ht="15" customFormat="1" customHeight="1" s="5">
      <c r="A1872" s="81" t="n">
        <v>45888</v>
      </c>
      <c r="B1872" s="82" t="n">
        <v>0.4777777777777778</v>
      </c>
      <c r="C1872" s="5" t="inlineStr">
        <is>
          <t>Amazon</t>
        </is>
      </c>
      <c r="D1872" s="5" t="n">
        <v>1</v>
      </c>
      <c r="F1872" s="6" t="inlineStr">
        <is>
          <t>111-4525889-3221841</t>
        </is>
      </c>
      <c r="G1872" s="10" t="inlineStr"/>
      <c r="H1872" s="9" t="inlineStr">
        <is>
          <t>CVC Word Educational Toy Spelling Games, Preschool Toddler Learning Activities, Montessori Learning Toys Gifts for 3 4 5 6 Years Old Kids, 60 Sight Words Flash Cards Alphabet Puzzle for Toddlers</t>
        </is>
      </c>
      <c r="I1872" s="9" t="n">
        <v>60</v>
      </c>
      <c r="J1872" s="9" t="inlineStr">
        <is>
          <t>cnt</t>
        </is>
      </c>
      <c r="K1872" s="9" t="n">
        <v>13.99</v>
      </c>
    </row>
    <row r="1873" ht="15" customFormat="1" customHeight="1" s="5">
      <c r="A1873" s="81" t="n">
        <v>45888</v>
      </c>
      <c r="B1873" s="82" t="n">
        <v>0.4777777777777778</v>
      </c>
      <c r="C1873" s="5" t="inlineStr">
        <is>
          <t>Amazon</t>
        </is>
      </c>
      <c r="D1873" s="5" t="n">
        <v>1</v>
      </c>
      <c r="F1873" s="6" t="inlineStr">
        <is>
          <t>111-4525889-3221841</t>
        </is>
      </c>
      <c r="G1873" s="10" t="n"/>
      <c r="H1873" s="9" t="inlineStr">
        <is>
          <t>KYTE BABY Toddler Short Sleeve Pajama Set - Pjs for Toddlers Made of Soft Rayon Made From Bamboo Material, (18-24 Months, Peach)</t>
        </is>
      </c>
      <c r="I1873" s="9" t="n">
        <v>1</v>
      </c>
      <c r="J1873" s="9" t="inlineStr">
        <is>
          <t>cnt</t>
        </is>
      </c>
      <c r="K1873" s="9" t="n">
        <v>34.99</v>
      </c>
    </row>
    <row r="1874" ht="15" customFormat="1" customHeight="1" s="5">
      <c r="A1874" s="81" t="n">
        <v>45888</v>
      </c>
      <c r="B1874" s="82" t="n">
        <v>0.4777777777777778</v>
      </c>
      <c r="C1874" s="5" t="inlineStr">
        <is>
          <t>Amazon</t>
        </is>
      </c>
      <c r="D1874" s="5" t="n">
        <v>1</v>
      </c>
      <c r="F1874" s="6" t="inlineStr">
        <is>
          <t>111-4525889-3221841</t>
        </is>
      </c>
      <c r="G1874" s="10" t="n"/>
      <c r="H1874" s="9" t="inlineStr">
        <is>
          <t>Urban Infant Non-Toxic Sidewalk Chalk for Toddlers 1-3 and Kids - Washable Outdoor Jumbo Chalk - Birthday</t>
        </is>
      </c>
      <c r="I1874" s="9" t="n">
        <v>5</v>
      </c>
      <c r="J1874" s="9" t="inlineStr">
        <is>
          <t>cnt</t>
        </is>
      </c>
      <c r="K1874" s="9" t="n">
        <v>11.95</v>
      </c>
    </row>
    <row r="1875" ht="15" customFormat="1" customHeight="1" s="5">
      <c r="A1875" s="81" t="n">
        <v>45888</v>
      </c>
      <c r="B1875" s="82" t="n">
        <v>0.4777777777777778</v>
      </c>
      <c r="C1875" s="5" t="inlineStr">
        <is>
          <t>Amazon</t>
        </is>
      </c>
      <c r="D1875" s="5" t="n">
        <v>1</v>
      </c>
      <c r="F1875" s="6" t="inlineStr">
        <is>
          <t>111-8576315-5309847</t>
        </is>
      </c>
      <c r="G1875" s="10" t="n"/>
      <c r="H1875" s="9" t="inlineStr">
        <is>
          <t>SHUNXI 3 Pack Nearsighted Glasses For Men Women, Myopia Lightweight Distance Glasses…</t>
        </is>
      </c>
      <c r="I1875" s="9" t="n">
        <v>3</v>
      </c>
      <c r="J1875" s="9" t="inlineStr">
        <is>
          <t>cnt</t>
        </is>
      </c>
      <c r="K1875" s="9" t="n">
        <v>19.99</v>
      </c>
    </row>
    <row r="1876" ht="15" customFormat="1" customHeight="1" s="5">
      <c r="A1876" s="81" t="n">
        <v>45888</v>
      </c>
      <c r="B1876" s="82" t="n">
        <v>0.4777777777777778</v>
      </c>
      <c r="C1876" s="5" t="inlineStr">
        <is>
          <t>Amazon</t>
        </is>
      </c>
      <c r="D1876" s="5" t="n">
        <v>1</v>
      </c>
      <c r="F1876" s="6" t="inlineStr">
        <is>
          <t>111-8576315-5309847</t>
        </is>
      </c>
      <c r="G1876" s="10" t="n"/>
      <c r="H1876" s="9" t="inlineStr">
        <is>
          <t>Safety 1st Electrical Outlet Baby Proof Covers, Secure Outlet Plugs, Baby Proofing, 36 Count</t>
        </is>
      </c>
      <c r="I1876" s="9" t="n">
        <v>36</v>
      </c>
      <c r="J1876" s="9" t="inlineStr">
        <is>
          <t>cnt</t>
        </is>
      </c>
      <c r="K1876" s="9" t="n">
        <v>3.49</v>
      </c>
    </row>
    <row r="1877" ht="15" customFormat="1" customHeight="1" s="5">
      <c r="A1877" s="81" t="n">
        <v>45888</v>
      </c>
      <c r="B1877" s="82" t="n">
        <v>0.4777777777777778</v>
      </c>
      <c r="C1877" s="5" t="inlineStr">
        <is>
          <t>Amazon</t>
        </is>
      </c>
      <c r="D1877" s="5" t="n">
        <v>1</v>
      </c>
      <c r="F1877" s="6" t="inlineStr">
        <is>
          <t>111-8576315-5309847</t>
        </is>
      </c>
      <c r="G1877" s="10" t="n"/>
      <c r="H1877" s="9" t="inlineStr">
        <is>
          <t>Faber-Castell Little Creatives Extra Jumbo Ultra Washable Markers for Kids - 6 Colors, Back to School Supplies, Art Supplies for Kids Toddlers, Preschool Ages 3+</t>
        </is>
      </c>
      <c r="I1877" s="9" t="n">
        <v>6</v>
      </c>
      <c r="J1877" s="9" t="inlineStr">
        <is>
          <t>cnt</t>
        </is>
      </c>
      <c r="K1877" s="9" t="n">
        <v>10.5</v>
      </c>
    </row>
    <row r="1878" ht="15" customFormat="1" customHeight="1" s="5">
      <c r="A1878" s="81" t="n">
        <v>45888</v>
      </c>
      <c r="B1878" s="82" t="n">
        <v>0.4777777777777778</v>
      </c>
      <c r="C1878" s="5" t="inlineStr">
        <is>
          <t>Amazon</t>
        </is>
      </c>
      <c r="D1878" s="5" t="n">
        <v>1</v>
      </c>
      <c r="F1878" s="6" t="inlineStr">
        <is>
          <t>111-8576315-5309847</t>
        </is>
      </c>
      <c r="G1878" s="10" t="n"/>
      <c r="H1878" s="9" t="inlineStr">
        <is>
          <t>Tax</t>
        </is>
      </c>
      <c r="I1878" s="9" t="n">
        <v>3</v>
      </c>
      <c r="J1878" s="9" t="inlineStr">
        <is>
          <t>cnt</t>
        </is>
      </c>
      <c r="K1878" s="9" t="n">
        <v>1.87</v>
      </c>
    </row>
    <row r="1879" ht="15" customFormat="1" customHeight="1" s="5">
      <c r="A1879" s="81" t="n">
        <v>45888</v>
      </c>
      <c r="B1879" s="82" t="n">
        <v>0.2916666666666667</v>
      </c>
      <c r="C1879" s="5" t="inlineStr">
        <is>
          <t>Xcel Energy</t>
        </is>
      </c>
      <c r="D1879" s="5" t="n">
        <v>1</v>
      </c>
      <c r="F1879" s="6" t="inlineStr">
        <is>
          <t>938163432_</t>
        </is>
      </c>
      <c r="G1879" s="10" t="n"/>
      <c r="H1879" s="9" t="inlineStr">
        <is>
          <t>Franchise Fee 3.00%</t>
        </is>
      </c>
      <c r="I1879" s="9" t="n"/>
      <c r="J1879" s="9" t="n"/>
      <c r="K1879" s="9">
        <f>3.71+0.6</f>
        <v/>
      </c>
    </row>
    <row r="1880" ht="15" customFormat="1" customHeight="1" s="5">
      <c r="A1880" s="81" t="n">
        <v>45888</v>
      </c>
      <c r="B1880" s="82" t="n">
        <v>0.2916666666666667</v>
      </c>
      <c r="C1880" s="5" t="inlineStr">
        <is>
          <t>Xcel Energy</t>
        </is>
      </c>
      <c r="D1880" s="5" t="n">
        <v>1</v>
      </c>
      <c r="F1880" s="6" t="inlineStr">
        <is>
          <t>938163432_</t>
        </is>
      </c>
      <c r="G1880" s="10" t="n"/>
      <c r="H1880" s="9" t="inlineStr">
        <is>
          <t>"Service Quality Credit"</t>
        </is>
      </c>
      <c r="I1880" s="9" t="n">
        <v>1</v>
      </c>
      <c r="J1880" s="9" t="inlineStr">
        <is>
          <t>cnt</t>
        </is>
      </c>
      <c r="K1880" s="9" t="n">
        <v>-0.92</v>
      </c>
    </row>
    <row r="1881" ht="15" customFormat="1" customHeight="1" s="5">
      <c r="A1881" s="81" t="n">
        <v>45888</v>
      </c>
      <c r="B1881" s="82" t="n">
        <v>0.2916666666666667</v>
      </c>
      <c r="C1881" s="5" t="inlineStr">
        <is>
          <t>Xcel Energy</t>
        </is>
      </c>
      <c r="D1881" s="5" t="n">
        <v>1</v>
      </c>
      <c r="F1881" s="6" t="inlineStr">
        <is>
          <t>938163432_</t>
        </is>
      </c>
      <c r="G1881" s="10" t="n"/>
      <c r="H1881" s="9" t="inlineStr">
        <is>
          <t>Electricity 06/29/25 - 07/29/25</t>
        </is>
      </c>
      <c r="I1881" s="9" t="n">
        <v>691</v>
      </c>
      <c r="J1881" s="9" t="inlineStr">
        <is>
          <t>kWh</t>
        </is>
      </c>
      <c r="K1881" s="9" t="n">
        <v>123.69</v>
      </c>
    </row>
    <row r="1882" ht="15" customFormat="1" customHeight="1" s="5">
      <c r="A1882" s="81" t="n">
        <v>45888</v>
      </c>
      <c r="B1882" s="82" t="n">
        <v>0.2916666666666667</v>
      </c>
      <c r="C1882" s="5" t="inlineStr">
        <is>
          <t>Xcel Energy</t>
        </is>
      </c>
      <c r="D1882" s="5" t="n">
        <v>1</v>
      </c>
      <c r="F1882" s="6" t="inlineStr">
        <is>
          <t>938163432_</t>
        </is>
      </c>
      <c r="G1882" s="10" t="n"/>
      <c r="H1882" s="9" t="inlineStr">
        <is>
          <t>Natural Gas 07/01/25 - 07/30/25</t>
        </is>
      </c>
      <c r="I1882" s="9" t="n">
        <v>9</v>
      </c>
      <c r="J1882" s="9" t="inlineStr">
        <is>
          <t>therms</t>
        </is>
      </c>
      <c r="K1882" s="9" t="n">
        <v>19.91</v>
      </c>
    </row>
    <row r="1883" ht="15" customFormat="1" customHeight="1" s="5">
      <c r="A1883" s="81" t="n">
        <v>45888</v>
      </c>
      <c r="B1883" s="82" t="n">
        <v>0.2916666666666667</v>
      </c>
      <c r="C1883" s="5" t="inlineStr">
        <is>
          <t>Xcel Energy</t>
        </is>
      </c>
      <c r="D1883" s="5" t="n">
        <v>1</v>
      </c>
      <c r="F1883" s="6" t="inlineStr">
        <is>
          <t>938163432_</t>
        </is>
      </c>
      <c r="G1883" s="10" t="n"/>
      <c r="H1883" s="9" t="inlineStr">
        <is>
          <t>Sales Tax</t>
        </is>
      </c>
      <c r="I1883" s="9" t="n"/>
      <c r="J1883" s="9" t="n"/>
      <c r="K1883" s="9">
        <f>4.78+0.77</f>
        <v/>
      </c>
    </row>
    <row r="1884" ht="15" customFormat="1" customHeight="1" s="5">
      <c r="A1884" s="81" t="n">
        <v>45887</v>
      </c>
      <c r="B1884" s="82" t="n">
        <v>0.5625</v>
      </c>
      <c r="C1884" s="5" t="inlineStr">
        <is>
          <t>Sacred Heart Jesuit Retreat House</t>
        </is>
      </c>
      <c r="D1884" s="5" t="n">
        <v>1</v>
      </c>
      <c r="F1884" s="6" t="inlineStr">
        <is>
          <t>230382055806</t>
        </is>
      </c>
      <c r="G1884" s="10" t="n"/>
      <c r="H1884" s="9" t="inlineStr">
        <is>
          <t>2-night stay, $140/night, less the deposit</t>
        </is>
      </c>
      <c r="I1884" s="9" t="n">
        <v>2</v>
      </c>
      <c r="J1884" s="9" t="inlineStr">
        <is>
          <t>cnt</t>
        </is>
      </c>
      <c r="K1884" s="85" t="n">
        <v>230</v>
      </c>
    </row>
    <row r="1885" ht="15" customFormat="1" customHeight="1" s="5">
      <c r="A1885" s="81" t="n">
        <v>45887</v>
      </c>
      <c r="B1885" s="82" t="n">
        <v>0.5597222222222222</v>
      </c>
      <c r="C1885" s="5" t="inlineStr">
        <is>
          <t>Sacred Heart Jesuit Retreat House</t>
        </is>
      </c>
      <c r="D1885" s="5" t="n">
        <v>1</v>
      </c>
      <c r="F1885" s="6" t="inlineStr">
        <is>
          <t>230214255579</t>
        </is>
      </c>
      <c r="G1885" s="10" t="n"/>
      <c r="H1885" s="9" t="inlineStr">
        <is>
          <t>Deposit</t>
        </is>
      </c>
      <c r="I1885" s="9" t="n">
        <v>1</v>
      </c>
      <c r="J1885" s="9" t="inlineStr">
        <is>
          <t>cnt</t>
        </is>
      </c>
      <c r="K1885" s="85" t="n">
        <v>50</v>
      </c>
    </row>
    <row r="1886" ht="15" customFormat="1" customHeight="1" s="5">
      <c r="A1886" s="81" t="n">
        <v>45887</v>
      </c>
      <c r="B1886" s="82" t="n">
        <v>0.2916666666666667</v>
      </c>
      <c r="C1886" s="5" t="inlineStr">
        <is>
          <t>Walmart</t>
        </is>
      </c>
      <c r="D1886" s="5" t="n">
        <v>1</v>
      </c>
      <c r="F1886" s="6" t="inlineStr">
        <is>
          <t>2000137-45299018</t>
        </is>
      </c>
      <c r="G1886" s="10" t="n"/>
      <c r="H1886" s="9" t="inlineStr">
        <is>
          <t>**REFUNDED** Temporary HOLD Charge</t>
        </is>
      </c>
      <c r="I1886" s="9" t="n">
        <v>1</v>
      </c>
      <c r="J1886" s="9" t="inlineStr">
        <is>
          <t>cnt</t>
        </is>
      </c>
      <c r="K1886" s="9" t="n">
        <v>-4.12</v>
      </c>
    </row>
    <row r="1887" ht="15" customFormat="1" customHeight="1" s="5">
      <c r="A1887" s="81" t="n">
        <v>45886</v>
      </c>
      <c r="B1887" s="82" t="n">
        <v>0.9305555555555556</v>
      </c>
      <c r="C1887" s="5" t="inlineStr">
        <is>
          <t>Walmart</t>
        </is>
      </c>
      <c r="D1887" s="5" t="n">
        <v>1</v>
      </c>
      <c r="F1887" s="6" t="inlineStr">
        <is>
          <t>2000137-45299018</t>
        </is>
      </c>
      <c r="G1887" s="10" t="n"/>
      <c r="H1887" s="9" t="inlineStr">
        <is>
          <t>Fresh Cucumber, Each 67.0¢/ea</t>
        </is>
      </c>
      <c r="I1887" s="9" t="n">
        <v>1</v>
      </c>
      <c r="J1887" s="9" t="inlineStr">
        <is>
          <t>cnt</t>
        </is>
      </c>
      <c r="K1887" s="9" t="n">
        <v>0.67</v>
      </c>
    </row>
    <row r="1888" ht="15" customFormat="1" customHeight="1" s="5">
      <c r="A1888" s="81" t="n">
        <v>45886</v>
      </c>
      <c r="B1888" s="82" t="n">
        <v>0.9305555555555556</v>
      </c>
      <c r="C1888" s="5" t="inlineStr">
        <is>
          <t>Walmart</t>
        </is>
      </c>
      <c r="D1888" s="5" t="n">
        <v>1</v>
      </c>
      <c r="F1888" s="6" t="inlineStr">
        <is>
          <t>2000137-45299018</t>
        </is>
      </c>
      <c r="G1888" s="10" t="n"/>
      <c r="H1888" s="9" t="inlineStr">
        <is>
          <t>Fresh Cucumber, Each 67.0¢/ea</t>
        </is>
      </c>
      <c r="I1888" s="9" t="n">
        <v>1</v>
      </c>
      <c r="J1888" s="9" t="inlineStr">
        <is>
          <t>cnt</t>
        </is>
      </c>
      <c r="K1888" s="9" t="n">
        <v>0.67</v>
      </c>
    </row>
    <row r="1889" ht="15" customFormat="1" customHeight="1" s="5">
      <c r="A1889" s="81" t="n">
        <v>45886</v>
      </c>
      <c r="B1889" s="82" t="n">
        <v>0.9305555555555556</v>
      </c>
      <c r="C1889" s="5" t="inlineStr">
        <is>
          <t>Walmart</t>
        </is>
      </c>
      <c r="D1889" s="5" t="n">
        <v>1</v>
      </c>
      <c r="F1889" s="6" t="inlineStr">
        <is>
          <t>2000137-45299018</t>
        </is>
      </c>
      <c r="G1889" s="10" t="n"/>
      <c r="H1889" s="9" t="inlineStr">
        <is>
          <t>Fresh Cucumber, Each 67.0¢/ea</t>
        </is>
      </c>
      <c r="I1889" s="9" t="n">
        <v>1</v>
      </c>
      <c r="J1889" s="9" t="inlineStr">
        <is>
          <t>cnt</t>
        </is>
      </c>
      <c r="K1889" s="9" t="n">
        <v>0.67</v>
      </c>
    </row>
    <row r="1890" ht="15" customFormat="1" customHeight="1" s="5">
      <c r="A1890" s="81" t="n">
        <v>45886</v>
      </c>
      <c r="B1890" s="82" t="n">
        <v>0.9305555555555556</v>
      </c>
      <c r="C1890" s="5" t="inlineStr">
        <is>
          <t>Walmart</t>
        </is>
      </c>
      <c r="D1890" s="5" t="n">
        <v>1</v>
      </c>
      <c r="F1890" s="6" t="inlineStr">
        <is>
          <t>2000137-45299018</t>
        </is>
      </c>
      <c r="G1890" s="10" t="n"/>
      <c r="H1890" s="9" t="inlineStr">
        <is>
          <t>KOOPS' Mustard, Stone Ground Mustard, 12 oz 16.4¢/oz</t>
        </is>
      </c>
      <c r="I1890" s="9" t="n">
        <v>12</v>
      </c>
      <c r="J1890" s="9" t="inlineStr">
        <is>
          <t>oz</t>
        </is>
      </c>
      <c r="K1890" s="9" t="n">
        <v>1.97</v>
      </c>
    </row>
    <row r="1891" ht="15" customFormat="1" customHeight="1" s="5">
      <c r="A1891" s="81" t="n">
        <v>45886</v>
      </c>
      <c r="B1891" s="82" t="n">
        <v>0.9305555555555556</v>
      </c>
      <c r="C1891" s="5" t="inlineStr">
        <is>
          <t>Walmart</t>
        </is>
      </c>
      <c r="D1891" s="5" t="n">
        <v>1</v>
      </c>
      <c r="F1891" s="6" t="inlineStr">
        <is>
          <t>2000137-45299018</t>
        </is>
      </c>
      <c r="G1891" s="10" t="n"/>
      <c r="H1891" s="9" t="inlineStr">
        <is>
          <t>Great Value Bite Size Tortilla Chips, 13 oz Bag 15.2¢/oz</t>
        </is>
      </c>
      <c r="I1891" s="9" t="n">
        <v>13</v>
      </c>
      <c r="J1891" s="9" t="inlineStr">
        <is>
          <t>oz</t>
        </is>
      </c>
      <c r="K1891" s="9" t="n">
        <v>1.97</v>
      </c>
    </row>
    <row r="1892" ht="15" customFormat="1" customHeight="1" s="5">
      <c r="A1892" s="81" t="n">
        <v>45886</v>
      </c>
      <c r="B1892" s="82" t="n">
        <v>0.9305555555555556</v>
      </c>
      <c r="C1892" s="5" t="inlineStr">
        <is>
          <t>Walmart</t>
        </is>
      </c>
      <c r="D1892" s="5" t="n">
        <v>1</v>
      </c>
      <c r="F1892" s="6" t="inlineStr">
        <is>
          <t>2000137-45299018</t>
        </is>
      </c>
      <c r="G1892" s="10" t="n"/>
      <c r="H1892" s="9" t="inlineStr">
        <is>
          <t>CO Retail Delivery Fees</t>
        </is>
      </c>
      <c r="I1892" s="9" t="n">
        <v>1</v>
      </c>
      <c r="J1892" s="9" t="inlineStr">
        <is>
          <t>cnt</t>
        </is>
      </c>
      <c r="K1892" s="9" t="n">
        <v>0.28</v>
      </c>
    </row>
    <row r="1893" ht="15" customFormat="1" customHeight="1" s="5">
      <c r="A1893" s="81" t="n">
        <v>45886</v>
      </c>
      <c r="B1893" s="82" t="n">
        <v>0.9305555555555556</v>
      </c>
      <c r="C1893" s="5" t="inlineStr">
        <is>
          <t>Walmart</t>
        </is>
      </c>
      <c r="D1893" s="5" t="n">
        <v>1</v>
      </c>
      <c r="F1893" s="6" t="inlineStr">
        <is>
          <t>2000137-45299018</t>
        </is>
      </c>
      <c r="G1893" s="10" t="n"/>
      <c r="H1893" s="9" t="inlineStr">
        <is>
          <t>Tax</t>
        </is>
      </c>
      <c r="I1893" s="9" t="n">
        <v>8</v>
      </c>
      <c r="J1893" s="9" t="inlineStr">
        <is>
          <t>cnt</t>
        </is>
      </c>
      <c r="K1893" s="9" t="n">
        <v>2.08</v>
      </c>
    </row>
    <row r="1894" ht="15" customFormat="1" customHeight="1" s="5">
      <c r="A1894" s="81" t="n">
        <v>45886</v>
      </c>
      <c r="B1894" s="82" t="n">
        <v>0.9305555555555556</v>
      </c>
      <c r="C1894" s="5" t="inlineStr">
        <is>
          <t>Walmart</t>
        </is>
      </c>
      <c r="D1894" s="5" t="n">
        <v>1</v>
      </c>
      <c r="F1894" s="6" t="inlineStr">
        <is>
          <t>2000137-45299018</t>
        </is>
      </c>
      <c r="G1894" s="10" t="n"/>
      <c r="H1894" s="9" t="inlineStr">
        <is>
          <t>Temporary HOLD charge</t>
        </is>
      </c>
      <c r="I1894" s="9" t="n">
        <v>1</v>
      </c>
      <c r="J1894" s="9" t="inlineStr">
        <is>
          <t>cnt</t>
        </is>
      </c>
      <c r="K1894" s="9" t="n">
        <v>4.12</v>
      </c>
    </row>
    <row r="1895" ht="15" customFormat="1" customHeight="1" s="5">
      <c r="A1895" s="81" t="n">
        <v>45886</v>
      </c>
      <c r="B1895" s="82" t="n">
        <v>0.9305555555555556</v>
      </c>
      <c r="C1895" s="5" t="inlineStr">
        <is>
          <t>Walmart</t>
        </is>
      </c>
      <c r="D1895" s="5" t="n">
        <v>1</v>
      </c>
      <c r="F1895" s="6" t="inlineStr">
        <is>
          <t>2000137-45299018</t>
        </is>
      </c>
      <c r="G1895" s="10" t="n"/>
      <c r="H1895" s="9" t="inlineStr">
        <is>
          <t>Native Deodorant, Aluminum Free, Eucalyptus &amp; Mint, for Women and Men, 2.65 oz $4.80/oz</t>
        </is>
      </c>
      <c r="I1895" s="9" t="n">
        <v>2.65</v>
      </c>
      <c r="J1895" s="9" t="inlineStr">
        <is>
          <t>oz</t>
        </is>
      </c>
      <c r="K1895" s="9" t="n">
        <v>12.97</v>
      </c>
    </row>
    <row r="1896" ht="15" customFormat="1" customHeight="1" s="5">
      <c r="A1896" s="81" t="n">
        <v>45886</v>
      </c>
      <c r="B1896" s="82" t="n">
        <v>0.9305555555555556</v>
      </c>
      <c r="C1896" s="5" t="inlineStr">
        <is>
          <t>Walmart</t>
        </is>
      </c>
      <c r="D1896" s="5" t="n">
        <v>1</v>
      </c>
      <c r="F1896" s="6" t="inlineStr">
        <is>
          <t>2000137-45299018</t>
        </is>
      </c>
      <c r="G1896" s="10" t="n"/>
      <c r="H1896" s="9" t="inlineStr">
        <is>
          <t>Native Deodorant, Aluminum Free, Sea Salt &amp; Cedar, for Women and Men, 2.65 oz
$4.80/oz</t>
        </is>
      </c>
      <c r="I1896" s="9" t="n">
        <v>2.65</v>
      </c>
      <c r="J1896" s="9" t="inlineStr">
        <is>
          <t>oz</t>
        </is>
      </c>
      <c r="K1896" s="9" t="n">
        <v>12.97</v>
      </c>
    </row>
    <row r="1897" ht="15" customFormat="1" customHeight="1" s="5">
      <c r="A1897" s="81" t="n">
        <v>45886</v>
      </c>
      <c r="B1897" s="82" t="n">
        <v>0.9305555555555556</v>
      </c>
      <c r="C1897" s="5" t="inlineStr">
        <is>
          <t>Walmart</t>
        </is>
      </c>
      <c r="D1897" s="5" t="n">
        <v>1</v>
      </c>
      <c r="F1897" s="6" t="inlineStr">
        <is>
          <t>2000137-45299018</t>
        </is>
      </c>
      <c r="G1897" s="10" t="n"/>
      <c r="H1897" s="9" t="inlineStr">
        <is>
          <t>Sweet Potatoes Whole Fresh, 3 lb Bag $1.66/lb</t>
        </is>
      </c>
      <c r="I1897" s="9" t="n">
        <v>3</v>
      </c>
      <c r="J1897" s="9" t="inlineStr">
        <is>
          <t>lb</t>
        </is>
      </c>
      <c r="K1897" s="9" t="n">
        <v>4.98</v>
      </c>
    </row>
    <row r="1898" ht="15" customFormat="1" customHeight="1" s="5">
      <c r="A1898" s="81" t="n">
        <v>45886</v>
      </c>
      <c r="B1898" s="82" t="n">
        <v>0.8159722222222222</v>
      </c>
      <c r="C1898" s="5" t="inlineStr">
        <is>
          <t>Apple</t>
        </is>
      </c>
      <c r="D1898" s="5" t="n">
        <v>1</v>
      </c>
      <c r="F1898" s="6" t="inlineStr">
        <is>
          <t>MK5Y0N8GK5</t>
        </is>
      </c>
      <c r="G1898" s="10" t="n"/>
      <c r="H1898" s="9" t="inlineStr">
        <is>
          <t>Calm Premium Annual subscription</t>
        </is>
      </c>
      <c r="I1898" s="9" t="n">
        <v>1</v>
      </c>
      <c r="J1898" s="9" t="inlineStr">
        <is>
          <t>cnt</t>
        </is>
      </c>
      <c r="K1898" s="9" t="n">
        <v>9.99</v>
      </c>
    </row>
    <row r="1899" ht="15" customFormat="1" customHeight="1" s="5">
      <c r="A1899" s="81" t="n">
        <v>45886</v>
      </c>
      <c r="B1899" s="82" t="n">
        <v>0.8159722222222222</v>
      </c>
      <c r="C1899" s="5" t="inlineStr">
        <is>
          <t>Apple</t>
        </is>
      </c>
      <c r="D1899" s="5" t="n">
        <v>1</v>
      </c>
      <c r="F1899" s="6" t="inlineStr">
        <is>
          <t>MK5Y0N8GK5</t>
        </is>
      </c>
      <c r="G1899" s="10" t="n"/>
      <c r="H1899" s="9" t="inlineStr">
        <is>
          <t>Tax</t>
        </is>
      </c>
      <c r="I1899" s="9" t="n"/>
      <c r="J1899" s="9" t="n"/>
      <c r="K1899" s="9" t="n">
        <v>0.7</v>
      </c>
    </row>
    <row r="1900" ht="15" customFormat="1" customHeight="1" s="5">
      <c r="A1900" s="81" t="n">
        <v>45886</v>
      </c>
      <c r="B1900" s="82" t="n">
        <v>0.8159722222222222</v>
      </c>
      <c r="C1900" s="5" t="inlineStr">
        <is>
          <t>Apple</t>
        </is>
      </c>
      <c r="D1900" s="5" t="n">
        <v>1</v>
      </c>
      <c r="F1900" s="6" t="inlineStr">
        <is>
          <t>MK5Y0N8GK5</t>
        </is>
      </c>
      <c r="G1900" s="10" t="n"/>
      <c r="H1900" s="9" t="inlineStr">
        <is>
          <t>Gift! Joseph Wu</t>
        </is>
      </c>
      <c r="I1900" s="9" t="n">
        <v>1</v>
      </c>
      <c r="J1900" s="9" t="inlineStr">
        <is>
          <t>cnt</t>
        </is>
      </c>
      <c r="K1900" s="9" t="n">
        <v>-10.69</v>
      </c>
    </row>
    <row r="1901" ht="15" customFormat="1" customHeight="1" s="5">
      <c r="A1901" s="81" t="n">
        <v>45885</v>
      </c>
      <c r="B1901" s="82" t="n">
        <v>0.7548611111111111</v>
      </c>
      <c r="C1901" s="5" t="inlineStr">
        <is>
          <t>The Piper Inn</t>
        </is>
      </c>
      <c r="E1901" s="5" t="n">
        <v>1</v>
      </c>
      <c r="F1901" s="6" t="inlineStr">
        <is>
          <t>#110</t>
        </is>
      </c>
      <c r="G1901" s="10" t="n"/>
      <c r="H1901" s="9" t="inlineStr">
        <is>
          <t>2 Coronas (for Neil)</t>
        </is>
      </c>
      <c r="I1901" s="9" t="n">
        <v>2</v>
      </c>
      <c r="J1901" s="9" t="inlineStr">
        <is>
          <t>cnt</t>
        </is>
      </c>
      <c r="K1901" s="9" t="n">
        <v>14</v>
      </c>
    </row>
    <row r="1902" ht="15" customFormat="1" customHeight="1" s="5">
      <c r="A1902" s="81" t="n">
        <v>45885</v>
      </c>
      <c r="B1902" s="82" t="n">
        <v>0.7548611111111111</v>
      </c>
      <c r="C1902" s="5" t="inlineStr">
        <is>
          <t>The Piper Inn</t>
        </is>
      </c>
      <c r="E1902" s="5" t="n">
        <v>1</v>
      </c>
      <c r="F1902" s="6" t="inlineStr">
        <is>
          <t>#110</t>
        </is>
      </c>
      <c r="G1902" s="10" t="n"/>
      <c r="H1902" s="9" t="inlineStr">
        <is>
          <t>O'Dell's IPA Pint on tap</t>
        </is>
      </c>
      <c r="I1902" s="9" t="n">
        <v>1</v>
      </c>
      <c r="J1902" s="9" t="inlineStr">
        <is>
          <t>pint</t>
        </is>
      </c>
      <c r="K1902" s="9" t="n">
        <v>7.5</v>
      </c>
    </row>
    <row r="1903" ht="15" customFormat="1" customHeight="1" s="5">
      <c r="A1903" s="81" t="n">
        <v>45885</v>
      </c>
      <c r="B1903" s="82" t="n">
        <v>0.7548611111111111</v>
      </c>
      <c r="C1903" s="5" t="inlineStr">
        <is>
          <t>The Piper Inn</t>
        </is>
      </c>
      <c r="E1903" s="5" t="n">
        <v>1</v>
      </c>
      <c r="F1903" s="6" t="inlineStr">
        <is>
          <t>#110</t>
        </is>
      </c>
      <c r="G1903" s="10" t="n"/>
      <c r="H1903" s="9" t="inlineStr">
        <is>
          <t>2 waters</t>
        </is>
      </c>
      <c r="I1903" s="9" t="n">
        <v>2</v>
      </c>
      <c r="J1903" s="9" t="inlineStr">
        <is>
          <t>cnt</t>
        </is>
      </c>
      <c r="K1903" s="9" t="n">
        <v>0</v>
      </c>
    </row>
    <row r="1904" ht="15" customFormat="1" customHeight="1" s="5">
      <c r="A1904" s="81" t="n">
        <v>45885</v>
      </c>
      <c r="B1904" s="82" t="n">
        <v>0.7548611111111111</v>
      </c>
      <c r="C1904" s="5" t="inlineStr">
        <is>
          <t>The Piper Inn</t>
        </is>
      </c>
      <c r="E1904" s="5" t="n">
        <v>1</v>
      </c>
      <c r="F1904" s="6" t="inlineStr">
        <is>
          <t>#110</t>
        </is>
      </c>
      <c r="G1904" s="10" t="n"/>
      <c r="H1904" s="9" t="inlineStr">
        <is>
          <t>Burger</t>
        </is>
      </c>
      <c r="I1904" s="9" t="n">
        <v>1</v>
      </c>
      <c r="J1904" s="9" t="inlineStr">
        <is>
          <t>cnt</t>
        </is>
      </c>
      <c r="K1904" s="9" t="n">
        <v>15</v>
      </c>
    </row>
    <row r="1905" ht="15" customFormat="1" customHeight="1" s="5">
      <c r="A1905" s="81" t="n">
        <v>45885</v>
      </c>
      <c r="B1905" s="82" t="n">
        <v>0.7548611111111111</v>
      </c>
      <c r="C1905" s="5" t="inlineStr">
        <is>
          <t>The Piper Inn</t>
        </is>
      </c>
      <c r="E1905" s="5" t="n">
        <v>1</v>
      </c>
      <c r="F1905" s="6" t="inlineStr">
        <is>
          <t>#110</t>
        </is>
      </c>
      <c r="G1905" s="10" t="n"/>
      <c r="H1905" s="9" t="inlineStr">
        <is>
          <t>5 Seasonal</t>
        </is>
      </c>
      <c r="I1905" s="9" t="n">
        <v>1</v>
      </c>
      <c r="J1905" s="9" t="inlineStr">
        <is>
          <t>cnt</t>
        </is>
      </c>
      <c r="K1905" s="9" t="n">
        <v>9.75</v>
      </c>
    </row>
    <row r="1906" ht="15" customFormat="1" customHeight="1" s="5">
      <c r="A1906" s="81" t="n">
        <v>45885</v>
      </c>
      <c r="B1906" s="82" t="n">
        <v>0.7548611111111111</v>
      </c>
      <c r="C1906" s="5" t="inlineStr">
        <is>
          <t>The Piper Inn</t>
        </is>
      </c>
      <c r="E1906" s="5" t="n">
        <v>1</v>
      </c>
      <c r="F1906" s="6" t="inlineStr">
        <is>
          <t>#110</t>
        </is>
      </c>
      <c r="G1906" s="10" t="n"/>
      <c r="H1906" s="9" t="inlineStr">
        <is>
          <t>Tip</t>
        </is>
      </c>
      <c r="I1906" s="9" t="n">
        <v>4</v>
      </c>
      <c r="J1906" s="9" t="inlineStr">
        <is>
          <t>cnt</t>
        </is>
      </c>
      <c r="K1906" s="9" t="n">
        <v>10</v>
      </c>
    </row>
    <row r="1907" ht="15" customFormat="1" customHeight="1" s="5">
      <c r="A1907" s="81" t="n">
        <v>45885</v>
      </c>
      <c r="B1907" s="82" t="n">
        <v>0.7548611111111111</v>
      </c>
      <c r="C1907" s="5" t="inlineStr">
        <is>
          <t>The Piper Inn</t>
        </is>
      </c>
      <c r="E1907" s="5" t="n">
        <v>1</v>
      </c>
      <c r="F1907" s="6" t="inlineStr">
        <is>
          <t>#110</t>
        </is>
      </c>
      <c r="G1907" s="10" t="n"/>
      <c r="H1907" s="9" t="inlineStr">
        <is>
          <t>Tax</t>
        </is>
      </c>
      <c r="I1907" s="9" t="n">
        <v>4</v>
      </c>
      <c r="J1907" s="9" t="inlineStr">
        <is>
          <t>cnt</t>
        </is>
      </c>
      <c r="K1907" s="9" t="n">
        <v>1.97</v>
      </c>
    </row>
    <row r="1908" ht="15" customFormat="1" customHeight="1" s="5">
      <c r="A1908" s="81" t="n">
        <v>45885</v>
      </c>
      <c r="B1908" s="82" t="n">
        <v>0.6145833333333334</v>
      </c>
      <c r="C1908" s="5" t="inlineStr">
        <is>
          <t>Costco</t>
        </is>
      </c>
      <c r="E1908" s="5" t="n">
        <v>1</v>
      </c>
      <c r="F1908" s="6" t="inlineStr">
        <is>
          <t>650 8 252 16</t>
        </is>
      </c>
      <c r="G1908" s="10" t="inlineStr">
        <is>
          <t>E 7895</t>
        </is>
      </c>
      <c r="H1908" s="9" t="inlineStr">
        <is>
          <t>Guac Tub 6lb Yucatan</t>
        </is>
      </c>
      <c r="I1908" s="9" t="n">
        <v>6</v>
      </c>
      <c r="J1908" s="9" t="inlineStr">
        <is>
          <t>lb</t>
        </is>
      </c>
      <c r="K1908" s="9" t="n">
        <v>21.99</v>
      </c>
    </row>
    <row r="1909" ht="15" customFormat="1" customHeight="1" s="5">
      <c r="A1909" s="81" t="n">
        <v>45885</v>
      </c>
      <c r="B1909" s="82" t="n">
        <v>0.6145833333333334</v>
      </c>
      <c r="C1909" s="5" t="inlineStr">
        <is>
          <t>Costco</t>
        </is>
      </c>
      <c r="E1909" s="5" t="n">
        <v>1</v>
      </c>
      <c r="F1909" s="6" t="inlineStr">
        <is>
          <t>650 8 252 16</t>
        </is>
      </c>
      <c r="G1909" s="10" t="inlineStr">
        <is>
          <t>E 96716</t>
        </is>
      </c>
      <c r="H1909" s="9" t="inlineStr">
        <is>
          <t>Organic Spinach Box</t>
        </is>
      </c>
      <c r="I1909" s="9" t="n">
        <v>1</v>
      </c>
      <c r="J1909" s="9" t="inlineStr">
        <is>
          <t>lb</t>
        </is>
      </c>
      <c r="K1909" s="9" t="n">
        <v>3.89</v>
      </c>
    </row>
    <row r="1910" ht="15" customFormat="1" customHeight="1" s="5">
      <c r="A1910" s="81" t="n">
        <v>45885</v>
      </c>
      <c r="B1910" s="82" t="n">
        <v>0.6145833333333334</v>
      </c>
      <c r="C1910" s="5" t="inlineStr">
        <is>
          <t>Costco</t>
        </is>
      </c>
      <c r="E1910" s="5" t="n">
        <v>1</v>
      </c>
      <c r="F1910" s="6" t="inlineStr">
        <is>
          <t>650 8 252 16</t>
        </is>
      </c>
      <c r="G1910" s="10" t="inlineStr">
        <is>
          <t>E 1735359</t>
        </is>
      </c>
      <c r="H1910" s="9" t="inlineStr">
        <is>
          <t>Kirkland Signature Mild Italian Sausage, 56 oz, 14 links per package</t>
        </is>
      </c>
      <c r="I1910" s="9" t="n">
        <v>56</v>
      </c>
      <c r="J1910" s="9" t="inlineStr">
        <is>
          <t>oz</t>
        </is>
      </c>
      <c r="K1910" s="9" t="n">
        <v>10.49</v>
      </c>
    </row>
    <row r="1911" ht="15" customFormat="1" customHeight="1" s="5">
      <c r="A1911" s="81" t="n">
        <v>45885</v>
      </c>
      <c r="B1911" s="82" t="n">
        <v>0.6145833333333334</v>
      </c>
      <c r="C1911" s="5" t="inlineStr">
        <is>
          <t>Costco</t>
        </is>
      </c>
      <c r="E1911" s="5" t="n">
        <v>1</v>
      </c>
      <c r="F1911" s="6" t="inlineStr">
        <is>
          <t>650 8 252 16</t>
        </is>
      </c>
      <c r="G1911" s="10" t="inlineStr">
        <is>
          <t>E 77053</t>
        </is>
      </c>
      <c r="H1911" s="9" t="inlineStr">
        <is>
          <t>Grape Tomatos</t>
        </is>
      </c>
      <c r="I1911" s="9" t="n">
        <v>2</v>
      </c>
      <c r="J1911" s="9" t="inlineStr">
        <is>
          <t>lb</t>
        </is>
      </c>
      <c r="K1911" s="9" t="n">
        <v>5.39</v>
      </c>
    </row>
    <row r="1912" ht="15" customFormat="1" customHeight="1" s="5">
      <c r="A1912" s="81" t="n">
        <v>45885</v>
      </c>
      <c r="B1912" s="82" t="n">
        <v>0.6145833333333334</v>
      </c>
      <c r="C1912" s="5" t="inlineStr">
        <is>
          <t>Costco</t>
        </is>
      </c>
      <c r="E1912" s="5" t="n">
        <v>1</v>
      </c>
      <c r="F1912" s="6" t="inlineStr">
        <is>
          <t>650 8 252 16</t>
        </is>
      </c>
      <c r="G1912" s="10" t="inlineStr">
        <is>
          <t>E 607237</t>
        </is>
      </c>
      <c r="H1912" s="9" t="inlineStr">
        <is>
          <t>KS Frozen Pepperoni Pizzas</t>
        </is>
      </c>
      <c r="I1912" s="9" t="n">
        <v>4</v>
      </c>
      <c r="J1912" s="9" t="inlineStr">
        <is>
          <t>cnt</t>
        </is>
      </c>
      <c r="K1912" s="9" t="n">
        <v>14.39</v>
      </c>
    </row>
    <row r="1913" ht="15" customFormat="1" customHeight="1" s="5">
      <c r="A1913" s="81" t="n">
        <v>45885</v>
      </c>
      <c r="B1913" s="82" t="n">
        <v>0.6145833333333334</v>
      </c>
      <c r="C1913" s="5" t="inlineStr">
        <is>
          <t>Costco</t>
        </is>
      </c>
      <c r="E1913" s="5" t="n">
        <v>1</v>
      </c>
      <c r="F1913" s="6" t="inlineStr">
        <is>
          <t>650 8 252 16</t>
        </is>
      </c>
      <c r="G1913" s="10" t="n"/>
      <c r="H1913" s="9" t="inlineStr">
        <is>
          <t>Tax</t>
        </is>
      </c>
      <c r="I1913" s="9" t="n">
        <v>6</v>
      </c>
      <c r="J1913" s="9" t="inlineStr">
        <is>
          <t>cnt</t>
        </is>
      </c>
      <c r="K1913" s="9" t="n">
        <v>0</v>
      </c>
    </row>
    <row r="1914" ht="15" customFormat="1" customHeight="1" s="5">
      <c r="A1914" s="81" t="n">
        <v>45885</v>
      </c>
      <c r="B1914" s="82" t="n">
        <v>0.6145833333333334</v>
      </c>
      <c r="C1914" s="5" t="inlineStr">
        <is>
          <t>Costco</t>
        </is>
      </c>
      <c r="E1914" s="5" t="n">
        <v>1</v>
      </c>
      <c r="F1914" s="6" t="inlineStr">
        <is>
          <t>650 8 252 16</t>
        </is>
      </c>
      <c r="G1914" s="10" t="inlineStr">
        <is>
          <t>E 2597590</t>
        </is>
      </c>
      <c r="H1914" s="9" t="inlineStr">
        <is>
          <t>Beef Marrow Bones, Swift</t>
        </is>
      </c>
      <c r="I1914" s="9" t="n">
        <v>4</v>
      </c>
      <c r="J1914" s="9" t="inlineStr">
        <is>
          <t>lb</t>
        </is>
      </c>
      <c r="K1914" s="9" t="n">
        <v>12.99</v>
      </c>
    </row>
    <row r="1915" ht="15" customFormat="1" customHeight="1" s="5">
      <c r="A1915" s="81" t="n">
        <v>45884</v>
      </c>
      <c r="B1915" s="82" t="n">
        <v>0.7944444444444444</v>
      </c>
      <c r="C1915" s="5" t="inlineStr">
        <is>
          <t>Safeway</t>
        </is>
      </c>
      <c r="E1915" s="5" t="n">
        <v>1</v>
      </c>
      <c r="F1915" s="6" t="inlineStr">
        <is>
          <t>2612 96 136 8896</t>
        </is>
      </c>
      <c r="G1915" s="10" t="n"/>
      <c r="H1915" s="9" t="inlineStr">
        <is>
          <t>Sig Peas and Carrots</t>
        </is>
      </c>
      <c r="I1915" s="9" t="n">
        <v>32</v>
      </c>
      <c r="J1915" s="9" t="inlineStr">
        <is>
          <t>oz</t>
        </is>
      </c>
      <c r="K1915" s="9" t="n">
        <v>3.99</v>
      </c>
    </row>
    <row r="1916" ht="15" customFormat="1" customHeight="1" s="5">
      <c r="A1916" s="81" t="n">
        <v>45884</v>
      </c>
      <c r="B1916" s="82" t="n">
        <v>0.7944444444444444</v>
      </c>
      <c r="C1916" s="5" t="inlineStr">
        <is>
          <t>Safeway</t>
        </is>
      </c>
      <c r="E1916" s="5" t="n">
        <v>1</v>
      </c>
      <c r="F1916" s="6" t="inlineStr">
        <is>
          <t>2612 96 136 8896</t>
        </is>
      </c>
      <c r="G1916" s="10" t="n"/>
      <c r="H1916" s="9" t="inlineStr">
        <is>
          <t xml:space="preserve">Signature Select Okra Cut and Frozen </t>
        </is>
      </c>
      <c r="I1916" s="9" t="n">
        <v>12</v>
      </c>
      <c r="J1916" s="9" t="inlineStr">
        <is>
          <t>oz</t>
        </is>
      </c>
      <c r="K1916" s="9" t="n">
        <v>1.99</v>
      </c>
    </row>
    <row r="1917" ht="15" customFormat="1" customHeight="1" s="5">
      <c r="A1917" s="81" t="n">
        <v>45884</v>
      </c>
      <c r="B1917" s="82" t="n">
        <v>0.7944444444444444</v>
      </c>
      <c r="C1917" s="5" t="inlineStr">
        <is>
          <t>Safeway</t>
        </is>
      </c>
      <c r="E1917" s="5" t="n">
        <v>1</v>
      </c>
      <c r="F1917" s="6" t="inlineStr">
        <is>
          <t>2612 96 136 8896</t>
        </is>
      </c>
      <c r="G1917" s="10" t="n"/>
      <c r="H1917" s="9" t="inlineStr">
        <is>
          <t>**DISCOUNT** Okra</t>
        </is>
      </c>
      <c r="I1917" s="9" t="n">
        <v>12</v>
      </c>
      <c r="J1917" s="9" t="inlineStr">
        <is>
          <t>oz</t>
        </is>
      </c>
      <c r="K1917" s="9" t="n">
        <v>-0.32</v>
      </c>
    </row>
    <row r="1918" ht="15" customFormat="1" customHeight="1" s="5">
      <c r="A1918" s="81" t="n">
        <v>45884</v>
      </c>
      <c r="B1918" s="82" t="n">
        <v>0.7944444444444444</v>
      </c>
      <c r="C1918" s="5" t="inlineStr">
        <is>
          <t>Safeway</t>
        </is>
      </c>
      <c r="E1918" s="5" t="n">
        <v>1</v>
      </c>
      <c r="F1918" s="6" t="inlineStr">
        <is>
          <t>2612 96 136 8896</t>
        </is>
      </c>
      <c r="G1918" s="10" t="n"/>
      <c r="H1918" s="9" t="inlineStr">
        <is>
          <t>Fage Greek Yogurt Single Serve</t>
        </is>
      </c>
      <c r="I1918" s="9" t="n">
        <v>5.3</v>
      </c>
      <c r="J1918" s="9" t="inlineStr">
        <is>
          <t>oz</t>
        </is>
      </c>
      <c r="K1918" s="9" t="n">
        <v>1.89</v>
      </c>
    </row>
    <row r="1919" ht="15" customFormat="1" customHeight="1" s="5">
      <c r="A1919" s="81" t="n">
        <v>45884</v>
      </c>
      <c r="B1919" s="82" t="n">
        <v>0.7944444444444444</v>
      </c>
      <c r="C1919" s="5" t="inlineStr">
        <is>
          <t>Safeway</t>
        </is>
      </c>
      <c r="E1919" s="5" t="n">
        <v>1</v>
      </c>
      <c r="F1919" s="6" t="inlineStr">
        <is>
          <t>2612 96 136 8896</t>
        </is>
      </c>
      <c r="G1919" s="10" t="n"/>
      <c r="H1919" s="9" t="inlineStr">
        <is>
          <t>**DISCOUNT** Fage</t>
        </is>
      </c>
      <c r="I1919" s="9" t="n">
        <v>5.3</v>
      </c>
      <c r="J1919" s="9" t="inlineStr">
        <is>
          <t>oz</t>
        </is>
      </c>
      <c r="K1919" s="9" t="n">
        <v>-0.55</v>
      </c>
    </row>
    <row r="1920" ht="15" customFormat="1" customHeight="1" s="5">
      <c r="A1920" s="81" t="n">
        <v>45884</v>
      </c>
      <c r="B1920" s="82" t="n">
        <v>0.7944444444444444</v>
      </c>
      <c r="C1920" s="5" t="inlineStr">
        <is>
          <t>Safeway</t>
        </is>
      </c>
      <c r="E1920" s="5" t="n">
        <v>1</v>
      </c>
      <c r="F1920" s="6" t="inlineStr">
        <is>
          <t>2612 96 136 8896</t>
        </is>
      </c>
      <c r="G1920" s="10" t="n"/>
      <c r="H1920" s="9" t="inlineStr">
        <is>
          <t>V CRNR Whole Milk</t>
        </is>
      </c>
      <c r="I1920" s="9" t="n">
        <v>1</v>
      </c>
      <c r="J1920" s="9" t="inlineStr">
        <is>
          <t>gal</t>
        </is>
      </c>
      <c r="K1920" s="9" t="n">
        <v>3.49</v>
      </c>
    </row>
    <row r="1921" ht="15" customFormat="1" customHeight="1" s="5">
      <c r="A1921" s="81" t="n">
        <v>45884</v>
      </c>
      <c r="B1921" s="82" t="n">
        <v>0.7944444444444444</v>
      </c>
      <c r="C1921" s="5" t="inlineStr">
        <is>
          <t>Safeway</t>
        </is>
      </c>
      <c r="E1921" s="5" t="n">
        <v>1</v>
      </c>
      <c r="F1921" s="6" t="inlineStr">
        <is>
          <t>2612 96 136 8896</t>
        </is>
      </c>
      <c r="G1921" s="10" t="n"/>
      <c r="H1921" s="9" t="inlineStr">
        <is>
          <t>Organic Raindow Chard</t>
        </is>
      </c>
      <c r="I1921" s="9" t="n">
        <v>1</v>
      </c>
      <c r="J1921" s="9" t="inlineStr">
        <is>
          <t>cnt</t>
        </is>
      </c>
      <c r="K1921" s="9" t="n">
        <v>3.79</v>
      </c>
    </row>
    <row r="1922" ht="15" customFormat="1" customHeight="1" s="5">
      <c r="A1922" s="81" t="n">
        <v>45884</v>
      </c>
      <c r="B1922" s="82" t="n">
        <v>0.7944444444444444</v>
      </c>
      <c r="C1922" s="5" t="inlineStr">
        <is>
          <t>Safeway</t>
        </is>
      </c>
      <c r="E1922" s="5" t="n">
        <v>1</v>
      </c>
      <c r="F1922" s="6" t="inlineStr">
        <is>
          <t>2612 96 136 8896</t>
        </is>
      </c>
      <c r="G1922" s="10" t="n"/>
      <c r="H1922" s="9" t="inlineStr">
        <is>
          <t>**DISCOUNT** Safeware Rewards and CashOff</t>
        </is>
      </c>
      <c r="I1922" s="9" t="n">
        <v>5</v>
      </c>
      <c r="J1922" s="9" t="inlineStr">
        <is>
          <t>cnt</t>
        </is>
      </c>
      <c r="K1922" s="9" t="n">
        <v>-1</v>
      </c>
    </row>
    <row r="1923" customFormat="1" s="5">
      <c r="A1923" s="81" t="n">
        <v>45884</v>
      </c>
      <c r="B1923" s="82" t="n">
        <v>0.7944444444444444</v>
      </c>
      <c r="C1923" s="5" t="inlineStr">
        <is>
          <t>Safeway</t>
        </is>
      </c>
      <c r="E1923" s="5" t="n">
        <v>1</v>
      </c>
      <c r="F1923" s="6" t="inlineStr">
        <is>
          <t>2612 96 136 8896</t>
        </is>
      </c>
      <c r="G1923" s="10" t="n"/>
      <c r="H1923" s="9" t="inlineStr">
        <is>
          <t>Tax</t>
        </is>
      </c>
      <c r="I1923" s="9" t="n">
        <v>5</v>
      </c>
      <c r="J1923" s="9" t="inlineStr">
        <is>
          <t>cnt</t>
        </is>
      </c>
      <c r="K1923" s="9" t="n">
        <v>0</v>
      </c>
    </row>
    <row r="1924" ht="15" customFormat="1" customHeight="1" s="5">
      <c r="A1924" s="81" t="n">
        <v>45884</v>
      </c>
      <c r="B1924" s="82" t="n">
        <v>0.7916666666666666</v>
      </c>
      <c r="C1924" s="5" t="inlineStr">
        <is>
          <t>Allegacy FCU</t>
        </is>
      </c>
      <c r="D1924" s="5" t="n">
        <v>1</v>
      </c>
      <c r="F1924" s="6" t="inlineStr">
        <is>
          <t>NA_noTransactNumber</t>
        </is>
      </c>
      <c r="G1924" s="10" t="n"/>
      <c r="H1924" s="9" t="inlineStr">
        <is>
          <t>Joe Wu treat reimbursement</t>
        </is>
      </c>
      <c r="I1924" s="9" t="n"/>
      <c r="J1924" s="9" t="n"/>
      <c r="K1924" s="9" t="n">
        <v>-79.13</v>
      </c>
    </row>
    <row r="1925" ht="15" customFormat="1" customHeight="1" s="5">
      <c r="A1925" s="81" t="n">
        <v>45884</v>
      </c>
      <c r="B1925" s="82" t="n">
        <v>0.55625</v>
      </c>
      <c r="C1925" s="5" t="inlineStr">
        <is>
          <t>NFCU</t>
        </is>
      </c>
      <c r="D1925" s="5" t="n">
        <v>1</v>
      </c>
      <c r="F1925" s="6" t="inlineStr">
        <is>
          <t>NA_Zelle TransferToNFCU</t>
        </is>
      </c>
      <c r="G1925" s="10" t="n"/>
      <c r="H1925" s="9" t="inlineStr">
        <is>
          <t>Zelle HAPPY BIRTHDAY SHEVA from Nonnie and Papa!</t>
        </is>
      </c>
      <c r="I1925" s="9" t="n">
        <v>1</v>
      </c>
      <c r="J1925" s="9" t="inlineStr">
        <is>
          <t>cnt</t>
        </is>
      </c>
      <c r="K1925" s="9" t="n">
        <v>-60</v>
      </c>
    </row>
    <row r="1926" ht="15" customFormat="1" customHeight="1" s="5">
      <c r="A1926" s="81" t="n">
        <v>45884</v>
      </c>
      <c r="B1926" s="82" t="n">
        <v>0.2916666666666667</v>
      </c>
      <c r="C1926" s="5" t="inlineStr">
        <is>
          <t>USAA</t>
        </is>
      </c>
      <c r="D1926" s="5" t="n">
        <v>1</v>
      </c>
      <c r="F1926" s="6" t="inlineStr">
        <is>
          <t>24492165227100020109493</t>
        </is>
      </c>
      <c r="G1926" s="10" t="n"/>
      <c r="H1926" s="9" t="inlineStr">
        <is>
          <t>Car insurance payment</t>
        </is>
      </c>
      <c r="I1926" s="9" t="n"/>
      <c r="J1926" s="9" t="n"/>
      <c r="K1926" s="9" t="n">
        <v>722.23</v>
      </c>
    </row>
    <row r="1927" ht="15" customFormat="1" customHeight="1" s="5">
      <c r="A1927" s="81" t="n">
        <v>45883</v>
      </c>
      <c r="B1927" s="82" t="n">
        <v>0.7597222222222222</v>
      </c>
      <c r="C1927" s="5" t="inlineStr">
        <is>
          <t>Giordano's</t>
        </is>
      </c>
      <c r="D1927" s="5" t="n">
        <v>1</v>
      </c>
      <c r="F1927" s="6" t="inlineStr">
        <is>
          <t>113-8577463-1025043</t>
        </is>
      </c>
      <c r="G1927" s="10" t="n"/>
      <c r="H1927" s="9" t="inlineStr">
        <is>
          <t>MEDIUM Super Veggie Deep Dish</t>
        </is>
      </c>
      <c r="I1927" s="9" t="n"/>
      <c r="J1927" s="9" t="n"/>
      <c r="K1927" s="9" t="n">
        <v>35.15</v>
      </c>
    </row>
    <row r="1928" ht="15" customFormat="1" customHeight="1" s="5">
      <c r="A1928" s="81" t="n">
        <v>45883</v>
      </c>
      <c r="B1928" s="82" t="n">
        <v>0.7597222222222222</v>
      </c>
      <c r="C1928" s="5" t="inlineStr">
        <is>
          <t>Giordano's</t>
        </is>
      </c>
      <c r="D1928" s="5" t="n">
        <v>1</v>
      </c>
      <c r="F1928" s="6" t="inlineStr">
        <is>
          <t>113-8577463-1025043</t>
        </is>
      </c>
      <c r="G1928" s="10" t="n"/>
      <c r="H1928" s="9" t="inlineStr">
        <is>
          <t>MEDIUM The Special Deep Dish</t>
        </is>
      </c>
      <c r="I1928" s="9" t="n"/>
      <c r="J1928" s="9" t="n"/>
      <c r="K1928" s="9" t="n">
        <v>36.95</v>
      </c>
    </row>
    <row r="1929" ht="15" customFormat="1" customHeight="1" s="5">
      <c r="A1929" s="81" t="n">
        <v>45883</v>
      </c>
      <c r="B1929" s="82" t="n">
        <v>0.7597222222222222</v>
      </c>
      <c r="C1929" s="5" t="inlineStr">
        <is>
          <t>Giordano's</t>
        </is>
      </c>
      <c r="D1929" s="5" t="n">
        <v>1</v>
      </c>
      <c r="F1929" s="6" t="inlineStr">
        <is>
          <t>113-8577463-1025043</t>
        </is>
      </c>
      <c r="G1929" s="10" t="n"/>
      <c r="H1929" s="9" t="inlineStr">
        <is>
          <t>Sales Tax</t>
        </is>
      </c>
      <c r="I1929" s="9" t="n"/>
      <c r="J1929" s="9" t="n"/>
      <c r="K1929" s="9" t="n">
        <v>7.03</v>
      </c>
    </row>
    <row r="1930" ht="15" customFormat="1" customHeight="1" s="5">
      <c r="A1930" s="81" t="n">
        <v>45882</v>
      </c>
      <c r="B1930" s="82" t="n">
        <v>0.1284722222222222</v>
      </c>
      <c r="C1930" s="5" t="inlineStr">
        <is>
          <t>Color 'N Drive UG</t>
        </is>
      </c>
      <c r="D1930" s="5" t="n">
        <v>1</v>
      </c>
      <c r="F1930" s="6" t="inlineStr">
        <is>
          <t xml:space="preserve">8521853720120XNHW </t>
        </is>
      </c>
      <c r="G1930" s="10" t="n"/>
      <c r="H1930" s="9" t="inlineStr">
        <is>
          <t>*REFUNDED** Subaru Paint pack never arrived….. Argh.</t>
        </is>
      </c>
      <c r="I1930" s="9" t="n">
        <v>1</v>
      </c>
      <c r="J1930" s="9" t="inlineStr">
        <is>
          <t>cnt</t>
        </is>
      </c>
      <c r="K1930" s="9" t="n">
        <v>-39.99</v>
      </c>
    </row>
    <row r="1931" ht="15" customFormat="1" customHeight="1" s="5">
      <c r="A1931" s="81" t="n">
        <v>45880</v>
      </c>
      <c r="B1931" s="82" t="n">
        <v>0.9298611111111111</v>
      </c>
      <c r="C1931" s="5" t="inlineStr">
        <is>
          <t>Walmart</t>
        </is>
      </c>
      <c r="D1931" s="5" t="n">
        <v>1</v>
      </c>
      <c r="F1931" s="6" t="inlineStr">
        <is>
          <t>113-8577463-1025045</t>
        </is>
      </c>
      <c r="G1931" s="10" t="n"/>
      <c r="H1931" s="9" t="inlineStr">
        <is>
          <t>Sweet Potatoes Whole Fresh, Each (Batata Mameya) $1.38/lb</t>
        </is>
      </c>
      <c r="I1931" s="9" t="n">
        <v>0.59</v>
      </c>
      <c r="J1931" s="9" t="inlineStr">
        <is>
          <t>lb</t>
        </is>
      </c>
      <c r="K1931" s="9" t="n">
        <v>1.33</v>
      </c>
    </row>
    <row r="1932" ht="15" customFormat="1" customHeight="1" s="5">
      <c r="A1932" s="81" t="n">
        <v>45880</v>
      </c>
      <c r="B1932" s="82" t="n">
        <v>0.9298611111111111</v>
      </c>
      <c r="C1932" s="5" t="inlineStr">
        <is>
          <t>Walmart</t>
        </is>
      </c>
      <c r="D1932" s="5" t="n">
        <v>1</v>
      </c>
      <c r="F1932" s="6" t="inlineStr">
        <is>
          <t>113-8577463-1025045</t>
        </is>
      </c>
      <c r="G1932" s="10" t="n"/>
      <c r="H1932" s="9" t="inlineStr">
        <is>
          <t>Zucchini, 1 Each $1.48/lb</t>
        </is>
      </c>
      <c r="I1932" s="9" t="n">
        <v>3.36</v>
      </c>
      <c r="J1932" s="9" t="inlineStr">
        <is>
          <t>lb</t>
        </is>
      </c>
      <c r="K1932" s="9" t="n">
        <v>0.82</v>
      </c>
    </row>
    <row r="1933" ht="15" customFormat="1" customHeight="1" s="5">
      <c r="A1933" s="81" t="n">
        <v>45880</v>
      </c>
      <c r="B1933" s="82" t="n">
        <v>0.9298611111111111</v>
      </c>
      <c r="C1933" s="5" t="inlineStr">
        <is>
          <t>Walmart</t>
        </is>
      </c>
      <c r="D1933" s="5" t="n">
        <v>1</v>
      </c>
      <c r="F1933" s="6" t="inlineStr">
        <is>
          <t>113-8577463-1025045</t>
        </is>
      </c>
      <c r="G1933" s="10" t="n"/>
      <c r="H1933" s="9" t="inlineStr">
        <is>
          <t>Amara Organic Smoothie Melts, Mixed Red Berries, No Added Sugar, Baby Food Stage 2, 1 oz Bag $4.97/oz</t>
        </is>
      </c>
      <c r="I1933" s="9" t="n">
        <v>1</v>
      </c>
      <c r="J1933" s="9" t="inlineStr">
        <is>
          <t>oz</t>
        </is>
      </c>
      <c r="K1933" s="9" t="n">
        <v>4.97</v>
      </c>
    </row>
    <row r="1934" ht="15" customFormat="1" customHeight="1" s="5">
      <c r="A1934" s="81" t="n">
        <v>45880</v>
      </c>
      <c r="B1934" s="82" t="n">
        <v>0.9298611111111111</v>
      </c>
      <c r="C1934" s="5" t="inlineStr">
        <is>
          <t>Walmart</t>
        </is>
      </c>
      <c r="D1934" s="5" t="n">
        <v>1</v>
      </c>
      <c r="F1934" s="6" t="inlineStr">
        <is>
          <t>113-8577463-1025045</t>
        </is>
      </c>
      <c r="G1934" s="10" t="n"/>
      <c r="H1934" s="52" t="inlineStr">
        <is>
          <t>Huggies Little Movers Baby Diapers, Size 4 (22-37 lbs), 22 Ct</t>
        </is>
      </c>
      <c r="I1934" s="9" t="n">
        <v>22</v>
      </c>
      <c r="J1934" s="9" t="inlineStr">
        <is>
          <t>cnt</t>
        </is>
      </c>
      <c r="K1934" s="9" t="n">
        <v>9.94</v>
      </c>
    </row>
    <row r="1935" ht="15" customFormat="1" customHeight="1" s="5">
      <c r="A1935" s="81" t="n">
        <v>45880</v>
      </c>
      <c r="B1935" s="82" t="n">
        <v>0.9298611111111111</v>
      </c>
      <c r="C1935" s="5" t="inlineStr">
        <is>
          <t>Walmart</t>
        </is>
      </c>
      <c r="D1935" s="5" t="n">
        <v>1</v>
      </c>
      <c r="F1935" s="6" t="inlineStr">
        <is>
          <t>113-8577463-1025045</t>
        </is>
      </c>
      <c r="G1935" s="10" t="n"/>
      <c r="H1935" s="52" t="inlineStr">
        <is>
          <t>Fresh Cucumber, Each 72.0¢/ea</t>
        </is>
      </c>
      <c r="I1935" s="9" t="n">
        <v>1</v>
      </c>
      <c r="J1935" s="9" t="inlineStr">
        <is>
          <t>cnt</t>
        </is>
      </c>
      <c r="K1935" s="9" t="n">
        <v>0.72</v>
      </c>
    </row>
    <row r="1936" ht="15" customFormat="1" customHeight="1" s="5">
      <c r="A1936" s="81" t="n">
        <v>45880</v>
      </c>
      <c r="B1936" s="82" t="n">
        <v>0.9298611111111111</v>
      </c>
      <c r="C1936" s="5" t="inlineStr">
        <is>
          <t>Walmart</t>
        </is>
      </c>
      <c r="D1936" s="5" t="n">
        <v>1</v>
      </c>
      <c r="F1936" s="6" t="inlineStr">
        <is>
          <t>113-8577463-1025045</t>
        </is>
      </c>
      <c r="G1936" s="10" t="n"/>
      <c r="H1936" s="9" t="inlineStr">
        <is>
          <t>Chobani Non-Fat Greek Yogurt Plain 5.3 oz Cup 23.4¢/oz</t>
        </is>
      </c>
      <c r="I1936" s="9" t="n">
        <v>5.3</v>
      </c>
      <c r="J1936" s="9" t="inlineStr">
        <is>
          <t>oz</t>
        </is>
      </c>
      <c r="K1936" s="9" t="n">
        <v>1.24</v>
      </c>
    </row>
    <row r="1937" ht="15" customFormat="1" customHeight="1" s="5">
      <c r="A1937" s="81" t="n">
        <v>45880</v>
      </c>
      <c r="B1937" s="82" t="n">
        <v>0.9298611111111111</v>
      </c>
      <c r="C1937" s="5" t="inlineStr">
        <is>
          <t>Walmart</t>
        </is>
      </c>
      <c r="D1937" s="5" t="n">
        <v>1</v>
      </c>
      <c r="F1937" s="6" t="inlineStr">
        <is>
          <t>113-8577463-1025045</t>
        </is>
      </c>
      <c r="G1937" s="10" t="n"/>
      <c r="H1937" s="9" t="inlineStr">
        <is>
          <t>Chobani Non-Fat Greek Yogurt Plain 5.3 oz Cup 23.4¢/oz</t>
        </is>
      </c>
      <c r="I1937" s="9" t="n">
        <v>5.3</v>
      </c>
      <c r="J1937" s="9" t="inlineStr">
        <is>
          <t>oz</t>
        </is>
      </c>
      <c r="K1937" s="9" t="n">
        <v>1.24</v>
      </c>
    </row>
    <row r="1938" ht="15" customFormat="1" customHeight="1" s="5">
      <c r="A1938" s="81" t="n">
        <v>45880</v>
      </c>
      <c r="B1938" s="82" t="n">
        <v>0.9298611111111111</v>
      </c>
      <c r="C1938" s="5" t="inlineStr">
        <is>
          <t>Walmart</t>
        </is>
      </c>
      <c r="D1938" s="5" t="n">
        <v>1</v>
      </c>
      <c r="F1938" s="6" t="inlineStr">
        <is>
          <t>113-8577463-1025045</t>
        </is>
      </c>
      <c r="G1938" s="10" t="n"/>
      <c r="H1938" s="9" t="inlineStr">
        <is>
          <t>Chobani Non-Fat Greek Yogurt Plain 5.3 oz Cup 23.4¢/oz</t>
        </is>
      </c>
      <c r="I1938" s="9" t="n">
        <v>5.3</v>
      </c>
      <c r="J1938" s="9" t="inlineStr">
        <is>
          <t>oz</t>
        </is>
      </c>
      <c r="K1938" s="9" t="n">
        <v>1.24</v>
      </c>
    </row>
    <row r="1939" ht="15" customFormat="1" customHeight="1" s="5">
      <c r="A1939" s="81" t="n">
        <v>45880</v>
      </c>
      <c r="B1939" s="82" t="n">
        <v>0.9298611111111111</v>
      </c>
      <c r="C1939" s="5" t="inlineStr">
        <is>
          <t>Walmart</t>
        </is>
      </c>
      <c r="D1939" s="5" t="n">
        <v>1</v>
      </c>
      <c r="F1939" s="6" t="inlineStr">
        <is>
          <t>113-8577463-1025045</t>
        </is>
      </c>
      <c r="G1939" s="10" t="n"/>
      <c r="H1939" s="9" t="inlineStr">
        <is>
          <t>Cabot Creamery Seriously Sharp Cheddar Cheese Block 8 oz (Refrigerated) 41.0¢/oz</t>
        </is>
      </c>
      <c r="I1939" s="9" t="n"/>
      <c r="J1939" s="9" t="inlineStr">
        <is>
          <t>oz</t>
        </is>
      </c>
      <c r="K1939" s="9" t="n">
        <v>3.28</v>
      </c>
    </row>
    <row r="1940" ht="15" customFormat="1" customHeight="1" s="5">
      <c r="A1940" s="81" t="n">
        <v>45880</v>
      </c>
      <c r="B1940" s="82" t="n">
        <v>0.9298611111111111</v>
      </c>
      <c r="C1940" s="5" t="inlineStr">
        <is>
          <t>Walmart</t>
        </is>
      </c>
      <c r="D1940" s="5" t="n">
        <v>1</v>
      </c>
      <c r="F1940" s="6" t="inlineStr">
        <is>
          <t>113-8577463-1025045</t>
        </is>
      </c>
      <c r="G1940" s="10" t="n"/>
      <c r="H1940" s="9" t="inlineStr">
        <is>
          <t>Chicken of the Sea Wild Caught Alaskan Pink Salmon, Traditional Style 14.75 oz 29.4¢/oz</t>
        </is>
      </c>
      <c r="I1940" s="9" t="n">
        <v>14.75</v>
      </c>
      <c r="J1940" s="9" t="inlineStr">
        <is>
          <t>oz</t>
        </is>
      </c>
      <c r="K1940" s="9" t="n">
        <v>4.34</v>
      </c>
    </row>
    <row r="1941" ht="15" customFormat="1" customHeight="1" s="5">
      <c r="A1941" s="81" t="n">
        <v>45880</v>
      </c>
      <c r="B1941" s="82" t="n">
        <v>0.9298611111111111</v>
      </c>
      <c r="C1941" s="5" t="inlineStr">
        <is>
          <t>Walmart</t>
        </is>
      </c>
      <c r="D1941" s="5" t="n">
        <v>1</v>
      </c>
      <c r="F1941" s="6" t="inlineStr">
        <is>
          <t>113-8577463-1025045</t>
        </is>
      </c>
      <c r="G1941" s="10" t="n"/>
      <c r="H1941" s="9" t="inlineStr">
        <is>
          <t>Amara Organic Smoothie Melts, Carrot Raspberry, No Added Sugar, Stage 2, 1 oz Resealable Bag $4.97/oz</t>
        </is>
      </c>
      <c r="I1941" s="9" t="n">
        <v>1</v>
      </c>
      <c r="J1941" s="9" t="inlineStr">
        <is>
          <t>oz</t>
        </is>
      </c>
      <c r="K1941" s="9" t="n">
        <v>4.97</v>
      </c>
    </row>
    <row r="1942" ht="15" customFormat="1" customHeight="1" s="5">
      <c r="A1942" s="81" t="n">
        <v>45880</v>
      </c>
      <c r="B1942" s="82" t="n">
        <v>0.9298611111111111</v>
      </c>
      <c r="C1942" s="5" t="inlineStr">
        <is>
          <t>Walmart</t>
        </is>
      </c>
      <c r="D1942" s="5" t="n">
        <v>1</v>
      </c>
      <c r="F1942" s="6" t="inlineStr">
        <is>
          <t>113-8577463-1025045</t>
        </is>
      </c>
      <c r="G1942" s="10" t="n"/>
      <c r="H1942" s="9" t="inlineStr">
        <is>
          <t>Great Value No Salt Added Green Peas, 15 oz 5.5¢/oz</t>
        </is>
      </c>
      <c r="I1942" s="9" t="n">
        <v>15</v>
      </c>
      <c r="J1942" s="9" t="inlineStr">
        <is>
          <t>oz</t>
        </is>
      </c>
      <c r="K1942" s="9" t="n">
        <v>0.78</v>
      </c>
      <c r="M1942" s="87" t="inlineStr">
        <is>
          <t>2b</t>
        </is>
      </c>
      <c r="N1942" s="5" t="n">
        <v>118350</v>
      </c>
    </row>
    <row r="1943" ht="15" customFormat="1" customHeight="1" s="5">
      <c r="A1943" s="81" t="n">
        <v>45880</v>
      </c>
      <c r="B1943" s="82" t="n">
        <v>0.9298611111111111</v>
      </c>
      <c r="C1943" s="5" t="inlineStr">
        <is>
          <t>Walmart</t>
        </is>
      </c>
      <c r="D1943" s="5" t="n">
        <v>1</v>
      </c>
      <c r="F1943" s="6" t="inlineStr">
        <is>
          <t>113-8577463-1025045</t>
        </is>
      </c>
      <c r="G1943" s="10" t="n"/>
      <c r="H1943" s="9" t="inlineStr">
        <is>
          <t>Tax</t>
        </is>
      </c>
      <c r="I1943" s="9" t="n">
        <v>12</v>
      </c>
      <c r="J1943" s="9" t="inlineStr">
        <is>
          <t>cnt</t>
        </is>
      </c>
      <c r="K1943" s="9" t="n">
        <v>1.13</v>
      </c>
    </row>
    <row r="1944" ht="15" customFormat="1" customHeight="1" s="5">
      <c r="A1944" s="81" t="n">
        <v>45880</v>
      </c>
      <c r="B1944" s="82" t="n">
        <v>0.9298611111111111</v>
      </c>
      <c r="C1944" s="5" t="inlineStr">
        <is>
          <t>Walmart</t>
        </is>
      </c>
      <c r="D1944" s="5" t="n">
        <v>1</v>
      </c>
      <c r="F1944" s="6" t="inlineStr">
        <is>
          <t>113-8577463-1025045</t>
        </is>
      </c>
      <c r="G1944" s="10" t="n"/>
      <c r="H1944" s="9" t="inlineStr">
        <is>
          <t>Temporary HOLD charge</t>
        </is>
      </c>
      <c r="I1944" s="9" t="n"/>
      <c r="J1944" s="9" t="n"/>
      <c r="K1944" s="9" t="n">
        <v>21.82</v>
      </c>
    </row>
    <row r="1945" ht="15" customFormat="1" customHeight="1" s="5">
      <c r="A1945" s="81" t="n">
        <v>45880</v>
      </c>
      <c r="B1945" s="82" t="n">
        <v>0.9298611111111111</v>
      </c>
      <c r="C1945" s="5" t="inlineStr">
        <is>
          <t>Walmart</t>
        </is>
      </c>
      <c r="D1945" s="5" t="n">
        <v>1</v>
      </c>
      <c r="F1945" s="6" t="inlineStr">
        <is>
          <t>113-8577463-1025045</t>
        </is>
      </c>
      <c r="G1945" s="15" t="inlineStr">
        <is>
          <t xml:space="preserve">8521853710120YHA4 </t>
        </is>
      </c>
      <c r="H1945" s="9" t="inlineStr">
        <is>
          <t>**REFUNDED** Temporary HOLD Charge</t>
        </is>
      </c>
      <c r="I1945" s="9" t="n"/>
      <c r="J1945" s="9" t="n"/>
      <c r="K1945" s="51" t="n">
        <v>-21.82</v>
      </c>
    </row>
    <row r="1946" ht="15" customFormat="1" customHeight="1" s="5">
      <c r="A1946" s="81" t="n">
        <v>45880</v>
      </c>
      <c r="B1946" s="82" t="n">
        <v>0.7861111111111111</v>
      </c>
      <c r="C1946" s="5" t="inlineStr">
        <is>
          <t>Venmo</t>
        </is>
      </c>
      <c r="D1946" s="5" t="n">
        <v>1</v>
      </c>
      <c r="F1946" s="6" t="inlineStr">
        <is>
          <t>4397240542985882963</t>
        </is>
      </c>
      <c r="G1946" s="10" t="n"/>
      <c r="H1946" s="9" t="inlineStr">
        <is>
          <t>"Brunch!" Natalie Drevets charge</t>
        </is>
      </c>
      <c r="I1946" s="9" t="n">
        <v>1</v>
      </c>
      <c r="J1946" s="9" t="inlineStr">
        <is>
          <t>cnt</t>
        </is>
      </c>
      <c r="K1946" s="9" t="n">
        <v>40</v>
      </c>
    </row>
    <row r="1947" ht="15" customFormat="1" customHeight="1" s="5">
      <c r="A1947" s="81" t="n">
        <v>45880</v>
      </c>
      <c r="B1947" s="82" t="n">
        <v>0.1708333333333333</v>
      </c>
      <c r="C1947" s="5" t="inlineStr">
        <is>
          <t>Overland Missions</t>
        </is>
      </c>
      <c r="D1947" s="5" t="n">
        <v>1</v>
      </c>
      <c r="F1947" s="6" t="inlineStr">
        <is>
          <t>121177977236</t>
        </is>
      </c>
      <c r="G1947" s="10" t="n"/>
      <c r="H1947" s="9" t="inlineStr">
        <is>
          <t>Pelletier - Monthly missions donation</t>
        </is>
      </c>
      <c r="I1947" s="9" t="n">
        <v>1</v>
      </c>
      <c r="J1947" s="9" t="inlineStr">
        <is>
          <t>cnt</t>
        </is>
      </c>
      <c r="K1947" s="9" t="n">
        <v>250</v>
      </c>
    </row>
    <row r="1948" ht="15" customFormat="1" customHeight="1" s="5">
      <c r="A1948" s="81" t="n">
        <v>45879</v>
      </c>
      <c r="B1948" s="82" t="n">
        <v>0.7729050925925925</v>
      </c>
      <c r="C1948" s="5" t="inlineStr">
        <is>
          <t>Freddy's</t>
        </is>
      </c>
      <c r="E1948" s="5" t="n">
        <v>1</v>
      </c>
      <c r="F1948" s="6" t="inlineStr">
        <is>
          <t>141</t>
        </is>
      </c>
      <c r="G1948" s="10" t="n"/>
      <c r="H1948" s="9" t="inlineStr">
        <is>
          <t>Mini Orange Cream Frost</t>
        </is>
      </c>
      <c r="I1948" s="9" t="n"/>
      <c r="J1948" s="9" t="n"/>
      <c r="K1948" s="9" t="n">
        <v>5.19</v>
      </c>
    </row>
    <row r="1949" ht="15" customFormat="1" customHeight="1" s="5">
      <c r="A1949" s="81" t="n">
        <v>45879</v>
      </c>
      <c r="B1949" s="82" t="n">
        <v>0.7729050925925925</v>
      </c>
      <c r="C1949" s="5" t="inlineStr">
        <is>
          <t>Freddy's</t>
        </is>
      </c>
      <c r="E1949" s="5" t="n">
        <v>1</v>
      </c>
      <c r="F1949" s="6" t="inlineStr">
        <is>
          <t>141</t>
        </is>
      </c>
      <c r="G1949" s="10" t="n"/>
      <c r="H1949" s="9" t="inlineStr">
        <is>
          <t>**DISCOUNT** Freddy's Rewards</t>
        </is>
      </c>
      <c r="I1949" s="9" t="n"/>
      <c r="J1949" s="9" t="n"/>
      <c r="K1949" s="9" t="n">
        <v>-4.19</v>
      </c>
    </row>
    <row r="1950" ht="15" customFormat="1" customHeight="1" s="5">
      <c r="A1950" s="81" t="n">
        <v>45879</v>
      </c>
      <c r="B1950" s="82" t="n">
        <v>0.7729050925925925</v>
      </c>
      <c r="C1950" s="5" t="inlineStr">
        <is>
          <t>Freddy's</t>
        </is>
      </c>
      <c r="E1950" s="5" t="n">
        <v>1</v>
      </c>
      <c r="F1950" s="6" t="inlineStr">
        <is>
          <t>141</t>
        </is>
      </c>
      <c r="G1950" s="10" t="n"/>
      <c r="H1950" s="9" t="inlineStr">
        <is>
          <t>Sales Tax</t>
        </is>
      </c>
      <c r="I1950" s="9" t="n"/>
      <c r="J1950" s="9" t="n"/>
      <c r="K1950" s="9" t="n">
        <v>0.08</v>
      </c>
    </row>
    <row r="1951" ht="15" customFormat="1" customHeight="1" s="5">
      <c r="A1951" s="81" t="n">
        <v>45879</v>
      </c>
      <c r="B1951" s="82" t="n">
        <v>0.7729050925925925</v>
      </c>
      <c r="C1951" s="5" t="inlineStr">
        <is>
          <t>Freddy's</t>
        </is>
      </c>
      <c r="E1951" s="5" t="n">
        <v>1</v>
      </c>
      <c r="F1951" s="6" t="inlineStr">
        <is>
          <t>141</t>
        </is>
      </c>
      <c r="G1951" s="10" t="n"/>
      <c r="H1951" s="9" t="inlineStr">
        <is>
          <t>Occ Tax</t>
        </is>
      </c>
      <c r="I1951" s="9" t="n"/>
      <c r="J1951" s="9" t="n"/>
      <c r="K1951" s="9" t="n">
        <v>0.01</v>
      </c>
    </row>
    <row r="1952" ht="15" customFormat="1" customHeight="1" s="5">
      <c r="A1952" s="81" t="n">
        <v>45879</v>
      </c>
      <c r="B1952" s="82" t="n">
        <v>0.7704976851851851</v>
      </c>
      <c r="C1952" s="5" t="inlineStr">
        <is>
          <t>Freddy's</t>
        </is>
      </c>
      <c r="E1952" s="5" t="n">
        <v>1</v>
      </c>
      <c r="F1952" s="6" t="inlineStr">
        <is>
          <t>263</t>
        </is>
      </c>
      <c r="G1952" s="10" t="n"/>
      <c r="H1952" s="9" t="inlineStr">
        <is>
          <t>Regular PB Bananza Shake</t>
        </is>
      </c>
      <c r="I1952" s="9" t="n"/>
      <c r="J1952" s="9" t="n"/>
      <c r="K1952" s="9" t="n">
        <v>6.89</v>
      </c>
      <c r="M1952" s="5" t="inlineStr">
        <is>
          <t>2c</t>
        </is>
      </c>
      <c r="N1952" s="5" t="n">
        <v>17651</v>
      </c>
    </row>
    <row r="1953" ht="15" customFormat="1" customHeight="1" s="5">
      <c r="A1953" s="81" t="n">
        <v>45879</v>
      </c>
      <c r="B1953" s="82" t="n">
        <v>0.7704976851851851</v>
      </c>
      <c r="C1953" s="5" t="inlineStr">
        <is>
          <t>Freddy's</t>
        </is>
      </c>
      <c r="E1953" s="5" t="n">
        <v>1</v>
      </c>
      <c r="F1953" s="6" t="inlineStr">
        <is>
          <t>263</t>
        </is>
      </c>
      <c r="G1953" s="10" t="n"/>
      <c r="H1953" s="9" t="inlineStr">
        <is>
          <t>**DISCOUNT** Freddy's Rewards</t>
        </is>
      </c>
      <c r="I1953" s="9" t="n"/>
      <c r="J1953" s="9" t="n"/>
      <c r="K1953" s="9" t="n">
        <v>-4.89</v>
      </c>
      <c r="M1953" s="5" t="inlineStr">
        <is>
          <t>2d</t>
        </is>
      </c>
      <c r="N1953" s="64" t="n">
        <v>0.24</v>
      </c>
    </row>
    <row r="1954" ht="15" customFormat="1" customHeight="1" s="5">
      <c r="A1954" s="81" t="n">
        <v>45879</v>
      </c>
      <c r="B1954" s="82" t="n">
        <v>0.7704976851851851</v>
      </c>
      <c r="C1954" s="5" t="inlineStr">
        <is>
          <t>Freddy's</t>
        </is>
      </c>
      <c r="E1954" s="5" t="n">
        <v>1</v>
      </c>
      <c r="F1954" s="6" t="inlineStr">
        <is>
          <t>263</t>
        </is>
      </c>
      <c r="G1954" s="10" t="n"/>
      <c r="H1954" s="9" t="inlineStr">
        <is>
          <t>Sales Tax</t>
        </is>
      </c>
      <c r="I1954" s="9" t="n"/>
      <c r="J1954" s="9" t="n"/>
      <c r="K1954" s="9" t="n">
        <v>0.16</v>
      </c>
    </row>
    <row r="1955" ht="15" customFormat="1" customHeight="1" s="5">
      <c r="A1955" s="81" t="n">
        <v>45879</v>
      </c>
      <c r="B1955" s="82" t="n">
        <v>0.7704976851851851</v>
      </c>
      <c r="C1955" s="5" t="inlineStr">
        <is>
          <t>Freddy's</t>
        </is>
      </c>
      <c r="E1955" s="5" t="n">
        <v>1</v>
      </c>
      <c r="F1955" s="6" t="inlineStr">
        <is>
          <t>263</t>
        </is>
      </c>
      <c r="G1955" s="10" t="n"/>
      <c r="H1955" s="9" t="inlineStr">
        <is>
          <t>Occ Tax</t>
        </is>
      </c>
      <c r="I1955" s="9" t="n"/>
      <c r="J1955" s="9" t="n"/>
      <c r="K1955" s="9" t="n">
        <v>0.01</v>
      </c>
    </row>
    <row r="1956" ht="15" customFormat="1" customHeight="1" s="5">
      <c r="A1956" s="81" t="n">
        <v>45879</v>
      </c>
      <c r="B1956" s="82" t="n">
        <v>0.7519328703703704</v>
      </c>
      <c r="C1956" s="5" t="inlineStr">
        <is>
          <t>Freddy's</t>
        </is>
      </c>
      <c r="E1956" s="5" t="n">
        <v>1</v>
      </c>
      <c r="F1956" s="16" t="n">
        <v>135</v>
      </c>
      <c r="G1956" s="10" t="n"/>
      <c r="H1956" s="9" t="inlineStr">
        <is>
          <t>Combo: Double Cheeseburger, Lettuce, Tomato, Cheese Curds, Sparkling water</t>
        </is>
      </c>
      <c r="I1956" s="9" t="n"/>
      <c r="J1956" s="9" t="n"/>
      <c r="K1956" s="9" t="n">
        <v>11.69</v>
      </c>
    </row>
    <row r="1957" ht="15" customFormat="1" customHeight="1" s="5">
      <c r="A1957" s="81" t="n">
        <v>45879</v>
      </c>
      <c r="B1957" s="82" t="n">
        <v>0.7519328703703704</v>
      </c>
      <c r="C1957" s="5" t="inlineStr">
        <is>
          <t>Freddy's</t>
        </is>
      </c>
      <c r="E1957" s="5" t="n">
        <v>1</v>
      </c>
      <c r="F1957" s="16" t="n">
        <v>135</v>
      </c>
      <c r="G1957" s="10" t="n"/>
      <c r="H1957" s="9" t="inlineStr">
        <is>
          <t>Cheese Curds upcharge</t>
        </is>
      </c>
      <c r="I1957" s="9" t="n"/>
      <c r="J1957" s="9" t="n"/>
      <c r="K1957" s="9" t="n">
        <v>2</v>
      </c>
    </row>
    <row r="1958" ht="15" customFormat="1" customHeight="1" s="5">
      <c r="A1958" s="81" t="n">
        <v>45879</v>
      </c>
      <c r="B1958" s="82" t="n">
        <v>0.7519328703703704</v>
      </c>
      <c r="C1958" s="5" t="inlineStr">
        <is>
          <t>Freddy's</t>
        </is>
      </c>
      <c r="E1958" s="5" t="n">
        <v>1</v>
      </c>
      <c r="F1958" s="16" t="n">
        <v>135</v>
      </c>
      <c r="G1958" s="10" t="n"/>
      <c r="H1958" s="9" t="inlineStr">
        <is>
          <t>Combo: Double Cheeseburger, no mustard, Lettuce, XT Tomato, onion rings, sparkling water</t>
        </is>
      </c>
      <c r="I1958" s="9" t="n"/>
      <c r="J1958" s="9" t="n"/>
      <c r="K1958" s="9" t="n">
        <v>11.69</v>
      </c>
    </row>
    <row r="1959" ht="15" customFormat="1" customHeight="1" s="5">
      <c r="A1959" s="81" t="n">
        <v>45879</v>
      </c>
      <c r="B1959" s="82" t="n">
        <v>0.7519328703703704</v>
      </c>
      <c r="C1959" s="5" t="inlineStr">
        <is>
          <t>Freddy's</t>
        </is>
      </c>
      <c r="E1959" s="5" t="n">
        <v>1</v>
      </c>
      <c r="F1959" s="16" t="n">
        <v>135</v>
      </c>
      <c r="G1959" s="10" t="n"/>
      <c r="H1959" s="9" t="inlineStr">
        <is>
          <t>Onion Rings upcharge</t>
        </is>
      </c>
      <c r="I1959" s="9" t="n"/>
      <c r="J1959" s="9" t="n"/>
      <c r="K1959" s="9" t="n">
        <v>0.25</v>
      </c>
    </row>
    <row r="1960" ht="15" customFormat="1" customHeight="1" s="5">
      <c r="A1960" s="81" t="n">
        <v>45879</v>
      </c>
      <c r="B1960" s="82" t="n">
        <v>0.7519328703703704</v>
      </c>
      <c r="C1960" s="5" t="inlineStr">
        <is>
          <t>Freddy's</t>
        </is>
      </c>
      <c r="E1960" s="5" t="n">
        <v>1</v>
      </c>
      <c r="F1960" s="16" t="n">
        <v>135</v>
      </c>
      <c r="G1960" s="10" t="n"/>
      <c r="H1960" s="9" t="inlineStr">
        <is>
          <t>**DISCOUNT** Freddy's Rewards</t>
        </is>
      </c>
      <c r="I1960" s="9" t="n"/>
      <c r="J1960" s="9" t="n"/>
      <c r="K1960" s="9" t="n">
        <v>-11.69</v>
      </c>
    </row>
    <row r="1961" ht="15" customFormat="1" customHeight="1" s="5">
      <c r="A1961" s="81" t="n">
        <v>45879</v>
      </c>
      <c r="B1961" s="82" t="n">
        <v>0.7519328703703704</v>
      </c>
      <c r="C1961" s="5" t="inlineStr">
        <is>
          <t>Freddy's</t>
        </is>
      </c>
      <c r="E1961" s="5" t="n">
        <v>1</v>
      </c>
      <c r="F1961" s="16" t="n">
        <v>135</v>
      </c>
      <c r="G1961" s="10" t="n"/>
      <c r="H1961" s="9" t="inlineStr">
        <is>
          <t>Sales Tax</t>
        </is>
      </c>
      <c r="I1961" s="9" t="n"/>
      <c r="J1961" s="9" t="n"/>
      <c r="K1961" s="9" t="n">
        <v>1.12</v>
      </c>
      <c r="M1961" s="5" t="inlineStr">
        <is>
          <t>2e</t>
        </is>
      </c>
      <c r="N1961" s="5">
        <f>N1870-N1942</f>
        <v/>
      </c>
    </row>
    <row r="1962" ht="15" customFormat="1" customHeight="1" s="5">
      <c r="A1962" s="81" t="n">
        <v>45879</v>
      </c>
      <c r="B1962" s="82" t="n">
        <v>0.7519328703703704</v>
      </c>
      <c r="C1962" s="5" t="inlineStr">
        <is>
          <t>Freddy's</t>
        </is>
      </c>
      <c r="E1962" s="5" t="n">
        <v>1</v>
      </c>
      <c r="F1962" s="16" t="n">
        <v>135</v>
      </c>
      <c r="G1962" s="10" t="n"/>
      <c r="H1962" s="9" t="inlineStr">
        <is>
          <t>Occ Tax</t>
        </is>
      </c>
      <c r="I1962" s="9" t="n"/>
      <c r="J1962" s="9" t="n"/>
      <c r="K1962" s="9" t="n">
        <v>0.08</v>
      </c>
    </row>
    <row r="1963" ht="15" customFormat="1" customHeight="1" s="5">
      <c r="A1963" s="81" t="n">
        <v>45879</v>
      </c>
      <c r="B1963" s="82" t="n">
        <v>0.4875</v>
      </c>
      <c r="C1963" s="5" t="inlineStr">
        <is>
          <t>Lucile's Creole Café</t>
        </is>
      </c>
      <c r="E1963" s="5" t="n">
        <v>1</v>
      </c>
      <c r="F1963" s="6" t="inlineStr">
        <is>
          <t>2 1 20079</t>
        </is>
      </c>
      <c r="G1963" s="10" t="n"/>
      <c r="H1963" s="9" t="inlineStr">
        <is>
          <t>Beignets for the table (not superb) $7.25 for 4</t>
        </is>
      </c>
      <c r="I1963" s="9" t="n">
        <v>0.5</v>
      </c>
      <c r="J1963" s="9" t="inlineStr">
        <is>
          <t>cnt</t>
        </is>
      </c>
      <c r="K1963" s="9" t="n">
        <v>3.63</v>
      </c>
    </row>
    <row r="1964" ht="15" customFormat="1" customHeight="1" s="5">
      <c r="A1964" s="81" t="n">
        <v>45879</v>
      </c>
      <c r="B1964" s="82" t="n">
        <v>0.4875</v>
      </c>
      <c r="C1964" s="5" t="inlineStr">
        <is>
          <t>Lucile's Creole Café</t>
        </is>
      </c>
      <c r="E1964" s="5" t="n">
        <v>1</v>
      </c>
      <c r="F1964" s="6" t="inlineStr">
        <is>
          <t>2 1 20079</t>
        </is>
      </c>
      <c r="G1964" s="10" t="n"/>
      <c r="H1964" s="9" t="inlineStr">
        <is>
          <t>Shrimp and Grits</t>
        </is>
      </c>
      <c r="I1964" s="9" t="n">
        <v>1</v>
      </c>
      <c r="J1964" s="9" t="inlineStr">
        <is>
          <t>cnt</t>
        </is>
      </c>
      <c r="K1964" s="9" t="n">
        <v>16.5</v>
      </c>
    </row>
    <row r="1965" ht="15" customFormat="1" customHeight="1" s="5">
      <c r="A1965" s="81" t="n">
        <v>45879</v>
      </c>
      <c r="B1965" s="82" t="n">
        <v>0.4875</v>
      </c>
      <c r="C1965" s="5" t="inlineStr">
        <is>
          <t>Lucile's Creole Café</t>
        </is>
      </c>
      <c r="E1965" s="5" t="n">
        <v>1</v>
      </c>
      <c r="F1965" s="6" t="inlineStr">
        <is>
          <t>2 1 20079</t>
        </is>
      </c>
      <c r="G1965" s="10" t="n"/>
      <c r="H1965" s="9" t="inlineStr">
        <is>
          <t>Shrimp Po-Boy (no remoulade sauce, fyi, but came with 'wasabi')</t>
        </is>
      </c>
      <c r="I1965" s="9" t="n">
        <v>1</v>
      </c>
      <c r="J1965" s="9" t="inlineStr">
        <is>
          <t>cnt</t>
        </is>
      </c>
      <c r="K1965" s="9" t="n">
        <v>15.95</v>
      </c>
    </row>
    <row r="1966" ht="15" customFormat="1" customHeight="1" s="5">
      <c r="A1966" s="81" t="n">
        <v>45879</v>
      </c>
      <c r="B1966" s="82" t="n">
        <v>0.4875</v>
      </c>
      <c r="C1966" s="5" t="inlineStr">
        <is>
          <t>Lucile's Creole Café</t>
        </is>
      </c>
      <c r="E1966" s="5" t="n">
        <v>1</v>
      </c>
      <c r="F1966" s="6" t="inlineStr">
        <is>
          <t>2 1 20079</t>
        </is>
      </c>
      <c r="G1966" s="10" t="n"/>
      <c r="H1966" s="9" t="inlineStr">
        <is>
          <t>Tax</t>
        </is>
      </c>
      <c r="I1966" s="9" t="n">
        <v>2.5</v>
      </c>
      <c r="J1966" s="9" t="inlineStr">
        <is>
          <t>cnt</t>
        </is>
      </c>
      <c r="K1966" s="9" t="n">
        <v>2.93</v>
      </c>
    </row>
    <row r="1967" ht="15" customFormat="1" customHeight="1" s="5">
      <c r="A1967" s="81" t="n">
        <v>45879</v>
      </c>
      <c r="B1967" s="82" t="n">
        <v>0.4875</v>
      </c>
      <c r="C1967" s="5" t="inlineStr">
        <is>
          <t>Lucile's Creole Café</t>
        </is>
      </c>
      <c r="E1967" s="5" t="n">
        <v>1</v>
      </c>
      <c r="F1967" s="6" t="inlineStr">
        <is>
          <t>2 1 20079</t>
        </is>
      </c>
      <c r="G1967" s="10" t="n"/>
      <c r="H1967" s="9" t="inlineStr">
        <is>
          <t>Natalie Dreveats Treat</t>
        </is>
      </c>
      <c r="I1967" s="9" t="n">
        <v>2.5</v>
      </c>
      <c r="J1967" s="9" t="inlineStr">
        <is>
          <t>cnt</t>
        </is>
      </c>
      <c r="K1967" s="9" t="n">
        <v>-39.01</v>
      </c>
    </row>
    <row r="1968" ht="15" customFormat="1" customHeight="1" s="5">
      <c r="A1968" s="81" t="n">
        <v>45878</v>
      </c>
      <c r="B1968" s="82" t="n">
        <v>0.90625</v>
      </c>
      <c r="C1968" s="5" t="inlineStr">
        <is>
          <t>PayPal</t>
        </is>
      </c>
      <c r="D1968" s="5" t="n">
        <v>1</v>
      </c>
      <c r="F1968" s="6" t="inlineStr">
        <is>
          <t>0A056085187252741</t>
        </is>
      </c>
      <c r="G1968" s="17" t="n"/>
      <c r="H1968" s="9" t="inlineStr">
        <is>
          <t>Doula Payment 2/4</t>
        </is>
      </c>
      <c r="K1968" s="5" t="n">
        <v>500</v>
      </c>
    </row>
    <row r="1969" ht="15" customFormat="1" customHeight="1" s="5">
      <c r="A1969" s="81" t="n">
        <v>45878</v>
      </c>
      <c r="B1969" s="82" t="n">
        <v>0.8145370370370371</v>
      </c>
      <c r="C1969" s="5" t="inlineStr">
        <is>
          <t>Lowe's</t>
        </is>
      </c>
      <c r="F1969" s="6" t="inlineStr">
        <is>
          <t>31653136</t>
        </is>
      </c>
      <c r="G1969" s="15" t="inlineStr">
        <is>
          <t>157764</t>
        </is>
      </c>
      <c r="H1969" s="9" t="inlineStr">
        <is>
          <t>3-FT x 25-FT Poultry Hex, Green</t>
        </is>
      </c>
      <c r="I1969" s="9" t="n">
        <v>75</v>
      </c>
      <c r="J1969" s="9" t="inlineStr">
        <is>
          <t>feet</t>
        </is>
      </c>
      <c r="K1969" s="9" t="n">
        <v>30.97</v>
      </c>
    </row>
    <row r="1970" ht="15" customFormat="1" customHeight="1" s="5">
      <c r="A1970" s="81" t="n">
        <v>45878</v>
      </c>
      <c r="B1970" s="82" t="n">
        <v>0.8145370370370371</v>
      </c>
      <c r="C1970" s="5" t="inlineStr">
        <is>
          <t>Lowe's</t>
        </is>
      </c>
      <c r="F1970" s="6" t="inlineStr">
        <is>
          <t>31653136</t>
        </is>
      </c>
      <c r="G1970" s="15" t="inlineStr">
        <is>
          <t>76330</t>
        </is>
      </c>
      <c r="H1970" s="9" t="inlineStr">
        <is>
          <t>UD 11-in black cable tie 10</t>
        </is>
      </c>
      <c r="I1970" s="9" t="n">
        <v>10</v>
      </c>
      <c r="J1970" s="9" t="inlineStr">
        <is>
          <t>cnt</t>
        </is>
      </c>
      <c r="K1970" s="9" t="n">
        <v>9.98</v>
      </c>
    </row>
    <row r="1971" ht="15" customFormat="1" customHeight="1" s="5">
      <c r="A1971" s="81" t="n">
        <v>45878</v>
      </c>
      <c r="B1971" s="82" t="n">
        <v>0.8145370370370371</v>
      </c>
      <c r="C1971" s="5" t="inlineStr">
        <is>
          <t>Lowe's</t>
        </is>
      </c>
      <c r="F1971" s="6" t="inlineStr">
        <is>
          <t>31653136</t>
        </is>
      </c>
      <c r="G1971" s="10" t="n"/>
      <c r="H1971" s="9" t="inlineStr">
        <is>
          <t>Tax</t>
        </is>
      </c>
      <c r="I1971" s="9" t="n">
        <v>2</v>
      </c>
      <c r="J1971" s="9" t="inlineStr">
        <is>
          <t>cnt</t>
        </is>
      </c>
      <c r="K1971" s="9" t="n">
        <v>3.28</v>
      </c>
    </row>
    <row r="1972" ht="15" customFormat="1" customHeight="1" s="5">
      <c r="A1972" s="81" t="n">
        <v>45878</v>
      </c>
      <c r="B1972" s="82" t="n">
        <v>0.6819444444444445</v>
      </c>
      <c r="C1972" s="5" t="inlineStr">
        <is>
          <t>Amazon</t>
        </is>
      </c>
      <c r="D1972" s="5" t="n">
        <v>1</v>
      </c>
      <c r="F1972" s="6" t="inlineStr">
        <is>
          <t>113-8577463-1025046</t>
        </is>
      </c>
      <c r="G1972" s="10" t="n"/>
      <c r="H1972" s="9" t="inlineStr">
        <is>
          <t>Amazon Baby Registry Welcome Box Sold by: Amazon.com</t>
        </is>
      </c>
      <c r="I1972" s="9" t="n">
        <v>1</v>
      </c>
      <c r="J1972" s="9" t="inlineStr">
        <is>
          <t>cnt</t>
        </is>
      </c>
      <c r="K1972" s="9" t="n">
        <v>35</v>
      </c>
    </row>
    <row r="1973" ht="15" customFormat="1" customHeight="1" s="5">
      <c r="A1973" s="81" t="n">
        <v>45878</v>
      </c>
      <c r="B1973" s="82" t="n">
        <v>0.6819444444444445</v>
      </c>
      <c r="C1973" s="5" t="inlineStr">
        <is>
          <t>Amazon</t>
        </is>
      </c>
      <c r="D1973" s="5" t="n">
        <v>1</v>
      </c>
      <c r="F1973" s="6" t="inlineStr">
        <is>
          <t>113-8577463-1025047</t>
        </is>
      </c>
      <c r="G1973" s="10" t="n"/>
      <c r="H1973" s="9" t="inlineStr">
        <is>
          <t>Unves 15.7IN x 16.4FT Plastic Chicken Wire Fencing Mesh, Hexagonal Chicken Wire Fence for Gardening Poultry Floral Dogs Rabbit Construction Barrier Netting, Plastic Fence Mesh Roll, Black Sold by: Unves Garden</t>
        </is>
      </c>
      <c r="I1973" s="9">
        <f>15.7*12*16.4</f>
        <v/>
      </c>
      <c r="J1973" s="9" t="inlineStr">
        <is>
          <t>inches</t>
        </is>
      </c>
      <c r="K1973" s="9" t="n">
        <v>11.99</v>
      </c>
    </row>
    <row r="1974" ht="15" customFormat="1" customHeight="1" s="5">
      <c r="A1974" s="81" t="n">
        <v>45878</v>
      </c>
      <c r="B1974" s="82" t="n">
        <v>0.6819444444444445</v>
      </c>
      <c r="C1974" s="5" t="inlineStr">
        <is>
          <t>Amazon</t>
        </is>
      </c>
      <c r="D1974" s="5" t="n">
        <v>1</v>
      </c>
      <c r="F1974" s="6" t="inlineStr">
        <is>
          <t>113-8577463-1025047</t>
        </is>
      </c>
      <c r="G1974" s="10" t="n"/>
      <c r="H1974" s="9" t="inlineStr">
        <is>
          <t>Amazon Basics CR2032 Lithium Batteries, 4-Pack, Child-Proof Package, Non-Coated - AirTag Compatible Sold by: Amazon.com</t>
        </is>
      </c>
      <c r="I1974" s="9" t="n">
        <v>4</v>
      </c>
      <c r="J1974" s="9" t="inlineStr">
        <is>
          <t>cnt</t>
        </is>
      </c>
      <c r="K1974" s="9" t="n">
        <v>3.97</v>
      </c>
    </row>
    <row r="1975" ht="15" customFormat="1" customHeight="1" s="5">
      <c r="A1975" s="81" t="n">
        <v>45878</v>
      </c>
      <c r="B1975" s="82" t="n">
        <v>0.6819444444444445</v>
      </c>
      <c r="C1975" s="5" t="inlineStr">
        <is>
          <t>Amazon</t>
        </is>
      </c>
      <c r="D1975" s="5" t="n">
        <v>1</v>
      </c>
      <c r="F1975" s="6" t="inlineStr">
        <is>
          <t>113-8577463-1025047</t>
        </is>
      </c>
      <c r="G1975" s="10" t="n"/>
      <c r="H1975" s="9" t="inlineStr">
        <is>
          <t>ZXFOOG License Plate Screws Anti Theft- 8 PC Button Head Torx M6 3/4" Stainless Steel Tamper Proof Machine Car Tag Bolt for License Plate Frame Holder, Security Fastener Hardware and Black Caps Sold by: ProudUp</t>
        </is>
      </c>
      <c r="I1975" s="9" t="n">
        <v>8</v>
      </c>
      <c r="J1975" s="9" t="inlineStr">
        <is>
          <t>cnt</t>
        </is>
      </c>
      <c r="K1975" s="9" t="n">
        <v>9.99</v>
      </c>
    </row>
    <row r="1976" ht="15" customFormat="1" customHeight="1" s="5">
      <c r="A1976" s="81" t="n">
        <v>45878</v>
      </c>
      <c r="B1976" s="82" t="n">
        <v>0.6819444444444445</v>
      </c>
      <c r="C1976" s="5" t="inlineStr">
        <is>
          <t>Amazon</t>
        </is>
      </c>
      <c r="D1976" s="5" t="n">
        <v>1</v>
      </c>
      <c r="F1976" s="6" t="inlineStr">
        <is>
          <t>113-8577463-1025047</t>
        </is>
      </c>
      <c r="G1976" s="10" t="n"/>
      <c r="H1976" s="9" t="inlineStr">
        <is>
          <t>Tax</t>
        </is>
      </c>
      <c r="I1976" s="9" t="n">
        <v>3</v>
      </c>
      <c r="J1976" s="9" t="inlineStr">
        <is>
          <t>cnt</t>
        </is>
      </c>
      <c r="K1976" s="9" t="n">
        <v>2.08</v>
      </c>
    </row>
    <row r="1977" ht="15" customFormat="1" customHeight="1" s="5">
      <c r="A1977" s="81" t="n">
        <v>45878</v>
      </c>
      <c r="B1977" s="82" t="n">
        <v>0.6819444444444445</v>
      </c>
      <c r="C1977" s="5" t="inlineStr">
        <is>
          <t>Amazon</t>
        </is>
      </c>
      <c r="D1977" s="5" t="n">
        <v>1</v>
      </c>
      <c r="F1977" s="6" t="inlineStr">
        <is>
          <t>113-8577463-1025047</t>
        </is>
      </c>
      <c r="G1977" s="10" t="n"/>
      <c r="H1977" s="9" t="inlineStr">
        <is>
          <t>**DISCOUNT** Registry WelcomeBox</t>
        </is>
      </c>
      <c r="I1977" s="9" t="n">
        <v>1</v>
      </c>
      <c r="J1977" s="9" t="inlineStr">
        <is>
          <t>cnt</t>
        </is>
      </c>
      <c r="K1977" s="9" t="n">
        <v>-35</v>
      </c>
    </row>
    <row r="1978" ht="15" customFormat="1" customHeight="1" s="5">
      <c r="A1978" s="89" t="n">
        <v>45878</v>
      </c>
      <c r="B1978" s="82" t="n">
        <v>0.2916666666666667</v>
      </c>
      <c r="C1978" s="5" t="inlineStr">
        <is>
          <t>Nourish Dietician App</t>
        </is>
      </c>
      <c r="D1978" s="5" t="n">
        <v>1</v>
      </c>
      <c r="F1978" s="6" t="inlineStr">
        <is>
          <t>None_FullyCovered</t>
        </is>
      </c>
      <c r="G1978" s="17" t="inlineStr">
        <is>
          <t>2025213MD4435</t>
        </is>
      </c>
      <c r="H1978" s="9" t="inlineStr">
        <is>
          <t>8/7 Nourish follow-up call (Lauren Jamal)</t>
        </is>
      </c>
      <c r="I1978" s="5" t="n">
        <v>1</v>
      </c>
      <c r="J1978" s="5" t="inlineStr">
        <is>
          <t>cnt</t>
        </is>
      </c>
      <c r="K1978" s="5" t="n">
        <v>0</v>
      </c>
    </row>
    <row r="1979" ht="15" customFormat="1" customHeight="1" s="5">
      <c r="A1979" s="79" t="n">
        <v>45877</v>
      </c>
      <c r="B1979" s="78" t="n">
        <v>0.6284722222222222</v>
      </c>
      <c r="C1979" s="35" t="inlineStr">
        <is>
          <t>Accelerate Health</t>
        </is>
      </c>
      <c r="D1979" s="35" t="n"/>
      <c r="E1979" s="35" t="n">
        <v>1</v>
      </c>
      <c r="F1979" s="47" t="inlineStr">
        <is>
          <t>808210503</t>
        </is>
      </c>
      <c r="G1979" s="55" t="inlineStr">
        <is>
          <t>2025225BH2561</t>
        </is>
      </c>
      <c r="H1979" s="49" t="inlineStr">
        <is>
          <t>Follow up 20 minute adjustment + 15 minute spot massage</t>
        </is>
      </c>
      <c r="I1979" s="35" t="n">
        <v>2</v>
      </c>
      <c r="J1979" s="35" t="inlineStr">
        <is>
          <t>cnt</t>
        </is>
      </c>
      <c r="K1979" s="35" t="n">
        <v>103.88</v>
      </c>
    </row>
    <row r="1980" ht="15" customFormat="1" customHeight="1" s="5">
      <c r="A1980" s="81" t="n">
        <v>45877</v>
      </c>
      <c r="B1980" s="82" t="n">
        <v>0.3215277777777778</v>
      </c>
      <c r="C1980" s="5" t="inlineStr">
        <is>
          <t>Costco</t>
        </is>
      </c>
      <c r="E1980" s="5" t="n">
        <v>1</v>
      </c>
      <c r="F1980" s="6" t="inlineStr">
        <is>
          <t>66784</t>
        </is>
      </c>
      <c r="G1980" s="17" t="inlineStr">
        <is>
          <t>5</t>
        </is>
      </c>
      <c r="H1980" s="9" t="inlineStr">
        <is>
          <t>Subaru Gas 13.047 gal @$2.659/gal</t>
        </is>
      </c>
      <c r="I1980" s="5" t="n">
        <v>13.047</v>
      </c>
      <c r="J1980" s="5" t="inlineStr">
        <is>
          <t>gal</t>
        </is>
      </c>
      <c r="K1980" s="5" t="n">
        <v>34.69</v>
      </c>
    </row>
    <row r="1981" ht="15" customFormat="1" customHeight="1" s="5">
      <c r="A1981" s="81" t="n">
        <v>45877</v>
      </c>
      <c r="B1981" s="82" t="n">
        <v>0.3125</v>
      </c>
      <c r="C1981" s="5" t="inlineStr">
        <is>
          <t>CO DMV</t>
        </is>
      </c>
      <c r="E1981" s="5" t="n">
        <v>1</v>
      </c>
      <c r="F1981" s="6" t="inlineStr">
        <is>
          <t>L0147800969</t>
        </is>
      </c>
      <c r="G1981" s="9" t="inlineStr">
        <is>
          <t>Z400 replacement plate</t>
        </is>
      </c>
      <c r="H1981" s="9" t="inlineStr">
        <is>
          <t>Specific Ownership Tax</t>
        </is>
      </c>
      <c r="K1981" s="5" t="n">
        <v>-4.59</v>
      </c>
      <c r="M1981" s="5" t="inlineStr">
        <is>
          <t>2f</t>
        </is>
      </c>
      <c r="N1981" s="5">
        <f>N1961*N1953</f>
        <v/>
      </c>
    </row>
    <row r="1982" ht="15" customFormat="1" customHeight="1" s="5">
      <c r="A1982" s="81" t="n">
        <v>45877</v>
      </c>
      <c r="B1982" s="82" t="n">
        <v>0.3125</v>
      </c>
      <c r="C1982" s="5" t="inlineStr">
        <is>
          <t>CO DMV</t>
        </is>
      </c>
      <c r="E1982" s="5" t="n">
        <v>1</v>
      </c>
      <c r="F1982" s="6" t="inlineStr">
        <is>
          <t>L0147800969</t>
        </is>
      </c>
      <c r="G1982" s="17" t="n"/>
      <c r="H1982" s="9" t="inlineStr">
        <is>
          <t>Clerk Hire Fee</t>
        </is>
      </c>
      <c r="K1982" s="5" t="n">
        <v>4</v>
      </c>
    </row>
    <row r="1983" ht="15" customFormat="1" customHeight="1" s="5">
      <c r="A1983" s="81" t="n">
        <v>45877</v>
      </c>
      <c r="B1983" s="82" t="n">
        <v>0.3125</v>
      </c>
      <c r="C1983" s="5" t="inlineStr">
        <is>
          <t>CO DMV</t>
        </is>
      </c>
      <c r="E1983" s="5" t="n">
        <v>1</v>
      </c>
      <c r="F1983" s="6" t="inlineStr">
        <is>
          <t>L0147800969</t>
        </is>
      </c>
      <c r="G1983" s="17" t="n"/>
      <c r="H1983" s="9" t="inlineStr">
        <is>
          <t>Material Fee (Month Tab)</t>
        </is>
      </c>
      <c r="K1983" s="5" t="n">
        <v>0.45</v>
      </c>
      <c r="M1983" s="5" t="inlineStr">
        <is>
          <t>2h</t>
        </is>
      </c>
      <c r="N1983" s="5">
        <f>N1982/N1812</f>
        <v/>
      </c>
    </row>
    <row r="1984" ht="15" customFormat="1" customHeight="1" s="5">
      <c r="A1984" s="81" t="n">
        <v>45877</v>
      </c>
      <c r="B1984" s="82" t="n">
        <v>0.3125</v>
      </c>
      <c r="C1984" s="5" t="inlineStr">
        <is>
          <t>CO DMV</t>
        </is>
      </c>
      <c r="E1984" s="5" t="n">
        <v>1</v>
      </c>
      <c r="F1984" s="6" t="inlineStr">
        <is>
          <t>L0147800969</t>
        </is>
      </c>
      <c r="G1984" s="17" t="n"/>
      <c r="H1984" s="9" t="inlineStr">
        <is>
          <t>Material Fee (Plate)</t>
        </is>
      </c>
      <c r="K1984" s="5" t="n">
        <v>3.69</v>
      </c>
      <c r="M1984" s="5" t="inlineStr">
        <is>
          <t>3a</t>
        </is>
      </c>
      <c r="N1984" s="5" t="n">
        <v>4400</v>
      </c>
    </row>
    <row r="1985" ht="15" customFormat="1" customHeight="1" s="5">
      <c r="A1985" s="81" t="n">
        <v>45877</v>
      </c>
      <c r="B1985" s="82" t="n">
        <v>0.3125</v>
      </c>
      <c r="C1985" s="5" t="inlineStr">
        <is>
          <t>CO DMV</t>
        </is>
      </c>
      <c r="E1985" s="5" t="n">
        <v>1</v>
      </c>
      <c r="F1985" s="6" t="inlineStr">
        <is>
          <t>L0147800969</t>
        </is>
      </c>
      <c r="G1985" s="17" t="n"/>
      <c r="H1985" s="9" t="inlineStr">
        <is>
          <t>Material Fee (Year Tab)</t>
        </is>
      </c>
      <c r="K1985" s="5" t="n">
        <v>0.48</v>
      </c>
      <c r="M1985" s="5" t="inlineStr">
        <is>
          <t>3b</t>
        </is>
      </c>
      <c r="N1985" s="5">
        <f>N1984/N1812</f>
        <v/>
      </c>
    </row>
    <row r="1986" ht="15" customFormat="1" customHeight="1" s="5">
      <c r="A1986" s="81" t="n">
        <v>45877</v>
      </c>
      <c r="B1986" s="82" t="n">
        <v>0.3125</v>
      </c>
      <c r="C1986" s="5" t="inlineStr">
        <is>
          <t>CO DMV</t>
        </is>
      </c>
      <c r="E1986" s="5" t="n">
        <v>1</v>
      </c>
      <c r="F1986" s="6" t="inlineStr">
        <is>
          <t>L0147800969</t>
        </is>
      </c>
      <c r="G1986" s="17" t="n"/>
      <c r="H1986" s="9" t="inlineStr">
        <is>
          <t>Prior Registration Fees</t>
        </is>
      </c>
      <c r="K1986" s="5" t="n">
        <v>0</v>
      </c>
    </row>
    <row r="1987" ht="15" customFormat="1" customHeight="1" s="5">
      <c r="A1987" s="81" t="n">
        <v>45877</v>
      </c>
      <c r="B1987" s="78" t="n">
        <v>0.2916666666666667</v>
      </c>
      <c r="C1987" s="35" t="inlineStr">
        <is>
          <t>BELLA Health + Wellness</t>
        </is>
      </c>
      <c r="D1987" s="35" t="n">
        <v>1</v>
      </c>
      <c r="E1987" s="35" t="n"/>
      <c r="F1987" s="47" t="inlineStr">
        <is>
          <t>None_FullyCovered</t>
        </is>
      </c>
      <c r="G1987" s="17" t="n"/>
      <c r="H1987" s="9" t="inlineStr">
        <is>
          <t>8/7 Lydia 28wk prenatal visit</t>
        </is>
      </c>
      <c r="I1987" s="5" t="n">
        <v>1</v>
      </c>
      <c r="J1987" s="5" t="inlineStr">
        <is>
          <t>cnt</t>
        </is>
      </c>
      <c r="K1987" s="5" t="n">
        <v>0</v>
      </c>
      <c r="M1987" s="5" t="inlineStr">
        <is>
          <t>3c</t>
        </is>
      </c>
      <c r="N1987" s="5">
        <f>MAX(0,N1983-N1985)</f>
        <v/>
      </c>
    </row>
    <row r="1988" ht="15" customFormat="1" customHeight="1" s="5">
      <c r="A1988" s="81" t="n">
        <v>45876</v>
      </c>
      <c r="B1988" s="82" t="n">
        <v>0.6909722222222222</v>
      </c>
      <c r="C1988" s="5" t="inlineStr">
        <is>
          <t>Costco</t>
        </is>
      </c>
      <c r="E1988" s="5" t="n">
        <v>1</v>
      </c>
      <c r="F1988" s="6" t="inlineStr">
        <is>
          <t>439 208 206 708</t>
        </is>
      </c>
      <c r="G1988" s="17" t="n"/>
      <c r="H1988" s="9" t="inlineStr">
        <is>
          <t>KS Organic Granola Ancient Grains</t>
        </is>
      </c>
      <c r="I1988" s="5" t="n">
        <v>35.3</v>
      </c>
      <c r="J1988" s="5" t="inlineStr">
        <is>
          <t>oz</t>
        </is>
      </c>
      <c r="K1988" s="5" t="n">
        <v>8.789999999999999</v>
      </c>
      <c r="M1988" s="5" t="inlineStr">
        <is>
          <t>4a</t>
        </is>
      </c>
      <c r="N1988" s="5" t="n">
        <v>0</v>
      </c>
    </row>
    <row r="1989" ht="15" customFormat="1" customHeight="1" s="5">
      <c r="A1989" s="81" t="n">
        <v>45876</v>
      </c>
      <c r="B1989" s="82" t="n">
        <v>0.6909722222222222</v>
      </c>
      <c r="C1989" s="5" t="inlineStr">
        <is>
          <t>Costco</t>
        </is>
      </c>
      <c r="E1989" s="5" t="n">
        <v>1</v>
      </c>
      <c r="F1989" s="6" t="inlineStr">
        <is>
          <t>439 208 206 708</t>
        </is>
      </c>
      <c r="G1989" s="17" t="n"/>
      <c r="H1989" s="9" t="inlineStr">
        <is>
          <t>KS Salt Grinder and replacement salt container</t>
        </is>
      </c>
      <c r="I1989" s="5" t="n">
        <v>26</v>
      </c>
      <c r="J1989" s="5" t="inlineStr">
        <is>
          <t>oz</t>
        </is>
      </c>
      <c r="K1989" s="5" t="n">
        <v>6.69</v>
      </c>
      <c r="M1989" s="5" t="inlineStr">
        <is>
          <t>4b</t>
        </is>
      </c>
      <c r="N1989" s="5">
        <f>N1987+N1988</f>
        <v/>
      </c>
    </row>
    <row r="1990" ht="15" customFormat="1" customHeight="1" s="5">
      <c r="A1990" s="81" t="n">
        <v>45876</v>
      </c>
      <c r="B1990" s="82" t="n">
        <v>0.6909722222222222</v>
      </c>
      <c r="C1990" s="5" t="inlineStr">
        <is>
          <t>Costco</t>
        </is>
      </c>
      <c r="E1990" s="5" t="n">
        <v>1</v>
      </c>
      <c r="F1990" s="6" t="inlineStr">
        <is>
          <t>439 208 206 708</t>
        </is>
      </c>
      <c r="G1990" s="17" t="n"/>
      <c r="H1990" s="9" t="inlineStr">
        <is>
          <t>Orgain Creatine</t>
        </is>
      </c>
      <c r="I1990" s="5" t="n">
        <v>23.8</v>
      </c>
      <c r="J1990" s="5" t="inlineStr">
        <is>
          <t>oz</t>
        </is>
      </c>
      <c r="K1990" s="5" t="inlineStr">
        <is>
          <t>19.99 A</t>
        </is>
      </c>
    </row>
    <row r="1991" ht="15" customFormat="1" customHeight="1" s="5">
      <c r="A1991" s="81" t="n">
        <v>45876</v>
      </c>
      <c r="B1991" s="82" t="n">
        <v>0.6909722222222222</v>
      </c>
      <c r="C1991" s="5" t="inlineStr">
        <is>
          <t>Costco</t>
        </is>
      </c>
      <c r="E1991" s="5" t="n">
        <v>1</v>
      </c>
      <c r="F1991" s="6" t="inlineStr">
        <is>
          <t>439 208 206 708</t>
        </is>
      </c>
      <c r="G1991" s="17" t="n"/>
      <c r="H1991" s="9" t="inlineStr">
        <is>
          <t>**DISCOUNT** /1927215 Orgain Creatine</t>
        </is>
      </c>
      <c r="I1991" s="5" t="n">
        <v>23.8</v>
      </c>
      <c r="J1991" s="5" t="inlineStr">
        <is>
          <t>oz</t>
        </is>
      </c>
      <c r="K1991" s="5" t="inlineStr">
        <is>
          <t>5.0-A</t>
        </is>
      </c>
    </row>
    <row r="1992" ht="15" customFormat="1" customHeight="1" s="5">
      <c r="A1992" s="81" t="n">
        <v>45876</v>
      </c>
      <c r="B1992" s="82" t="n">
        <v>0.6909722222222222</v>
      </c>
      <c r="C1992" s="5" t="inlineStr">
        <is>
          <t>Costco</t>
        </is>
      </c>
      <c r="E1992" s="5" t="n">
        <v>1</v>
      </c>
      <c r="F1992" s="6" t="inlineStr">
        <is>
          <t>439 208 206 708</t>
        </is>
      </c>
      <c r="G1992" s="17" t="n"/>
      <c r="H1992" s="9" t="inlineStr">
        <is>
          <t>Organic Spinach Box</t>
        </is>
      </c>
      <c r="I1992" s="5" t="n">
        <v>16</v>
      </c>
      <c r="J1992" s="5" t="inlineStr">
        <is>
          <t>oz</t>
        </is>
      </c>
      <c r="K1992" s="5" t="n">
        <v>3.89</v>
      </c>
      <c r="N1992" s="87">
        <f>(N1811*26+#REF!-(12900 +#REF!) - 118350)*24%</f>
        <v/>
      </c>
    </row>
    <row r="1993" ht="15" customFormat="1" customHeight="1" s="5">
      <c r="A1993" s="81" t="n">
        <v>45876</v>
      </c>
      <c r="B1993" s="82" t="n">
        <v>0.6909722222222222</v>
      </c>
      <c r="C1993" s="5" t="inlineStr">
        <is>
          <t>Costco</t>
        </is>
      </c>
      <c r="E1993" s="5" t="n">
        <v>1</v>
      </c>
      <c r="F1993" s="6" t="inlineStr">
        <is>
          <t>439 208 206 708</t>
        </is>
      </c>
      <c r="G1993" s="17" t="n"/>
      <c r="H1993" s="9" t="inlineStr">
        <is>
          <t>KS Roasted Turkey 3 x 14 oz packets</t>
        </is>
      </c>
      <c r="I1993" s="5" t="n">
        <v>42</v>
      </c>
      <c r="J1993" s="5" t="inlineStr">
        <is>
          <t>oz</t>
        </is>
      </c>
      <c r="K1993" s="5" t="n">
        <v>13.99</v>
      </c>
    </row>
    <row r="1994" ht="15" customFormat="1" customHeight="1" s="5">
      <c r="A1994" s="81" t="n">
        <v>45876</v>
      </c>
      <c r="B1994" s="82" t="n">
        <v>0.6909722222222222</v>
      </c>
      <c r="C1994" s="5" t="inlineStr">
        <is>
          <t>Costco</t>
        </is>
      </c>
      <c r="E1994" s="5" t="n">
        <v>1</v>
      </c>
      <c r="F1994" s="6" t="inlineStr">
        <is>
          <t>439 208 206 708</t>
        </is>
      </c>
      <c r="G1994" s="17" t="n"/>
      <c r="H1994" s="9" t="inlineStr">
        <is>
          <t>White Nectarine</t>
        </is>
      </c>
      <c r="I1994" s="5" t="n">
        <v>4</v>
      </c>
      <c r="J1994" s="5" t="inlineStr">
        <is>
          <t>lb</t>
        </is>
      </c>
      <c r="K1994" s="5" t="n">
        <v>8.890000000000001</v>
      </c>
    </row>
    <row r="1995" ht="15" customFormat="1" customHeight="1" s="5">
      <c r="A1995" s="81" t="n">
        <v>45876</v>
      </c>
      <c r="B1995" s="82" t="n">
        <v>0.6909722222222222</v>
      </c>
      <c r="C1995" s="5" t="inlineStr">
        <is>
          <t>Costco</t>
        </is>
      </c>
      <c r="E1995" s="5" t="n">
        <v>1</v>
      </c>
      <c r="F1995" s="6" t="inlineStr">
        <is>
          <t>439 208 206 708</t>
        </is>
      </c>
      <c r="G1995" s="17" t="n"/>
      <c r="H1995" s="9" t="inlineStr">
        <is>
          <t>Raspberries</t>
        </is>
      </c>
      <c r="I1995" s="5" t="n">
        <v>12</v>
      </c>
      <c r="J1995" s="5" t="inlineStr">
        <is>
          <t>oz</t>
        </is>
      </c>
      <c r="K1995" s="5" t="n">
        <v>4.99</v>
      </c>
    </row>
    <row r="1996" ht="15" customFormat="1" customHeight="1" s="5">
      <c r="A1996" s="81" t="n">
        <v>45876</v>
      </c>
      <c r="B1996" s="82" t="n">
        <v>0.6909722222222222</v>
      </c>
      <c r="C1996" s="5" t="inlineStr">
        <is>
          <t>Costco</t>
        </is>
      </c>
      <c r="E1996" s="5" t="n">
        <v>1</v>
      </c>
      <c r="F1996" s="6" t="inlineStr">
        <is>
          <t>439 208 206 708</t>
        </is>
      </c>
      <c r="G1996" s="17" t="n"/>
      <c r="H1996" s="9" t="inlineStr">
        <is>
          <t>Mandarins</t>
        </is>
      </c>
      <c r="I1996" s="5" t="n">
        <v>5</v>
      </c>
      <c r="J1996" s="5" t="inlineStr">
        <is>
          <t>lb</t>
        </is>
      </c>
      <c r="K1996" s="5" t="n">
        <v>7.79</v>
      </c>
    </row>
    <row r="1997" ht="15" customFormat="1" customHeight="1" s="5">
      <c r="A1997" s="81" t="n">
        <v>45876</v>
      </c>
      <c r="B1997" s="82" t="n">
        <v>0.6909722222222222</v>
      </c>
      <c r="C1997" s="5" t="inlineStr">
        <is>
          <t>Costco</t>
        </is>
      </c>
      <c r="E1997" s="5" t="n">
        <v>1</v>
      </c>
      <c r="F1997" s="6" t="inlineStr">
        <is>
          <t>439 208 206 708</t>
        </is>
      </c>
      <c r="G1997" s="17" t="n"/>
      <c r="H1997" s="9" t="inlineStr">
        <is>
          <t>Artisan Romaine Lettuce Heads</t>
        </is>
      </c>
      <c r="I1997" s="5" t="n">
        <v>6</v>
      </c>
      <c r="J1997" s="5" t="inlineStr">
        <is>
          <t>cnt</t>
        </is>
      </c>
      <c r="K1997" s="5" t="n">
        <v>4.99</v>
      </c>
    </row>
    <row r="1998" ht="15" customFormat="1" customHeight="1" s="5">
      <c r="A1998" s="81" t="n">
        <v>45876</v>
      </c>
      <c r="B1998" s="82" t="n">
        <v>0.6909722222222222</v>
      </c>
      <c r="C1998" s="5" t="inlineStr">
        <is>
          <t>Costco</t>
        </is>
      </c>
      <c r="E1998" s="5" t="n">
        <v>1</v>
      </c>
      <c r="F1998" s="6" t="inlineStr">
        <is>
          <t>439 208 206 708</t>
        </is>
      </c>
      <c r="G1998" s="17" t="n"/>
      <c r="H1998" s="9" t="inlineStr">
        <is>
          <t>Stuffed Vegetarian Grape Leaves</t>
        </is>
      </c>
      <c r="I1998" s="5" t="n">
        <v>32</v>
      </c>
      <c r="J1998" s="5" t="inlineStr">
        <is>
          <t>oz</t>
        </is>
      </c>
      <c r="K1998" s="5" t="n">
        <v>11.49</v>
      </c>
    </row>
    <row r="1999" ht="15" customFormat="1" customHeight="1" s="5">
      <c r="A1999" s="81" t="n">
        <v>45876</v>
      </c>
      <c r="B1999" s="82" t="n">
        <v>0.6909722222222222</v>
      </c>
      <c r="C1999" s="5" t="inlineStr">
        <is>
          <t>Costco</t>
        </is>
      </c>
      <c r="E1999" s="5" t="n">
        <v>1</v>
      </c>
      <c r="F1999" s="6" t="inlineStr">
        <is>
          <t>439 208 206 708</t>
        </is>
      </c>
      <c r="G1999" s="17" t="n"/>
      <c r="H1999" s="9" t="inlineStr">
        <is>
          <t>Butter Croissants, 12 count</t>
        </is>
      </c>
      <c r="I1999" s="5" t="n">
        <v>28</v>
      </c>
      <c r="J1999" s="5" t="inlineStr">
        <is>
          <t>oz</t>
        </is>
      </c>
      <c r="K1999" s="5" t="n">
        <v>5.99</v>
      </c>
    </row>
    <row r="2000" ht="15" customFormat="1" customHeight="1" s="5">
      <c r="A2000" s="81" t="n">
        <v>45876</v>
      </c>
      <c r="B2000" s="82" t="n">
        <v>0.6909722222222222</v>
      </c>
      <c r="C2000" s="5" t="inlineStr">
        <is>
          <t>Costco</t>
        </is>
      </c>
      <c r="E2000" s="5" t="n">
        <v>1</v>
      </c>
      <c r="F2000" s="6" t="inlineStr">
        <is>
          <t>439 208 206 708</t>
        </is>
      </c>
      <c r="G2000" s="17" t="n"/>
      <c r="H2000" s="9" t="inlineStr">
        <is>
          <t>Tax A 8.00%</t>
        </is>
      </c>
      <c r="I2000" s="5" t="n">
        <v>13</v>
      </c>
      <c r="J2000" s="5" t="inlineStr">
        <is>
          <t>cnt</t>
        </is>
      </c>
      <c r="K2000" s="5" t="n">
        <v>1.2</v>
      </c>
    </row>
    <row r="2001" ht="15" customFormat="1" customHeight="1" s="5">
      <c r="A2001" s="81" t="n">
        <v>45876</v>
      </c>
      <c r="B2001" s="82" t="n">
        <v>0.6909722222222222</v>
      </c>
      <c r="C2001" s="5" t="inlineStr">
        <is>
          <t>Costco</t>
        </is>
      </c>
      <c r="E2001" s="5" t="n">
        <v>1</v>
      </c>
      <c r="F2001" s="6" t="inlineStr">
        <is>
          <t>439 208 206 708</t>
        </is>
      </c>
      <c r="G2001" s="17" t="n"/>
      <c r="H2001" s="9" t="inlineStr">
        <is>
          <t>Lemon Ricotta Cheesecake Cups 6 count x 4oz each -- Sweet Craft Dolceria</t>
        </is>
      </c>
      <c r="I2001" s="5" t="n">
        <v>24</v>
      </c>
      <c r="J2001" s="5" t="inlineStr">
        <is>
          <t>oz</t>
        </is>
      </c>
      <c r="K2001" s="5" t="n">
        <v>12.49</v>
      </c>
    </row>
    <row r="2002" ht="15" customFormat="1" customHeight="1" s="5">
      <c r="A2002" s="81" t="n">
        <v>45876</v>
      </c>
      <c r="B2002" s="82" t="n">
        <v>0.6909722222222222</v>
      </c>
      <c r="C2002" s="5" t="inlineStr">
        <is>
          <t>Costco</t>
        </is>
      </c>
      <c r="E2002" s="5" t="n">
        <v>1</v>
      </c>
      <c r="F2002" s="6" t="inlineStr">
        <is>
          <t>439 208 206 708</t>
        </is>
      </c>
      <c r="G2002" s="17" t="n"/>
      <c r="H2002" s="9" t="inlineStr">
        <is>
          <t>Raspberries</t>
        </is>
      </c>
      <c r="I2002" s="5" t="n">
        <v>12</v>
      </c>
      <c r="J2002" s="5" t="inlineStr">
        <is>
          <t>oz</t>
        </is>
      </c>
      <c r="K2002" s="5" t="n">
        <v>4.99</v>
      </c>
    </row>
    <row r="2003" ht="15" customFormat="1" customHeight="1" s="5">
      <c r="A2003" s="81" t="n">
        <v>45876</v>
      </c>
      <c r="B2003" s="82" t="n">
        <v>0.6666666666666666</v>
      </c>
      <c r="C2003" s="5" t="inlineStr">
        <is>
          <t>Amazon</t>
        </is>
      </c>
      <c r="D2003" s="5" t="n">
        <v>1</v>
      </c>
      <c r="F2003" s="6" t="inlineStr">
        <is>
          <t>113-9632274-1930645</t>
        </is>
      </c>
      <c r="G2003" s="10" t="n"/>
      <c r="H2003" s="9" t="inlineStr">
        <is>
          <t>Melissa &amp; Doug Sushi Slicing Wooden Play Food Set</t>
        </is>
      </c>
      <c r="I2003" s="9" t="n">
        <v>1</v>
      </c>
      <c r="J2003" s="9" t="inlineStr">
        <is>
          <t>cnt</t>
        </is>
      </c>
      <c r="K2003" s="85" t="n">
        <v>15.39</v>
      </c>
    </row>
    <row r="2004" ht="15" customFormat="1" customHeight="1" s="5">
      <c r="A2004" s="81" t="n">
        <v>45876</v>
      </c>
      <c r="B2004" s="82" t="n">
        <v>0.6666666666666666</v>
      </c>
      <c r="C2004" s="5" t="inlineStr">
        <is>
          <t>Amazon</t>
        </is>
      </c>
      <c r="D2004" s="5" t="n">
        <v>1</v>
      </c>
      <c r="F2004" s="6" t="inlineStr">
        <is>
          <t>113-9632274-1930645</t>
        </is>
      </c>
      <c r="G2004" s="10" t="n"/>
      <c r="H2004" s="9" t="inlineStr">
        <is>
          <t>Pythagorean Theorem for Babies: A Simple and Colorful Introduction to Math and Geometry Concepts (Baby University)</t>
        </is>
      </c>
      <c r="I2004" s="9" t="n">
        <v>1</v>
      </c>
      <c r="J2004" s="9" t="inlineStr">
        <is>
          <t>cnt</t>
        </is>
      </c>
      <c r="K2004" s="85" t="n">
        <v>9.289999999999999</v>
      </c>
    </row>
    <row r="2005" ht="15" customFormat="1" customHeight="1" s="5">
      <c r="A2005" s="81" t="n">
        <v>45876</v>
      </c>
      <c r="B2005" s="82" t="n">
        <v>0.6666666666666666</v>
      </c>
      <c r="C2005" s="5" t="inlineStr">
        <is>
          <t>Amazon</t>
        </is>
      </c>
      <c r="D2005" s="5" t="n">
        <v>1</v>
      </c>
      <c r="F2005" s="6" t="inlineStr">
        <is>
          <t>113-9632274-1930645</t>
        </is>
      </c>
      <c r="G2005" s="10" t="n"/>
      <c r="H2005" s="9" t="inlineStr">
        <is>
          <t>ABCs of Engineering: The Essential STEM Board Book of First Engineering Words for Kids (Science Gifts for Kids) (Baby University)</t>
        </is>
      </c>
      <c r="I2005" s="9" t="n">
        <v>1</v>
      </c>
      <c r="J2005" s="9" t="inlineStr">
        <is>
          <t>cnt</t>
        </is>
      </c>
      <c r="K2005" s="85" t="n">
        <v>6.23</v>
      </c>
    </row>
    <row r="2006" ht="15" customFormat="1" customHeight="1" s="5">
      <c r="A2006" s="81" t="n">
        <v>45876</v>
      </c>
      <c r="B2006" s="82" t="n">
        <v>0.6666666666666666</v>
      </c>
      <c r="C2006" s="5" t="inlineStr">
        <is>
          <t>Amazon</t>
        </is>
      </c>
      <c r="D2006" s="5" t="n">
        <v>1</v>
      </c>
      <c r="F2006" s="6" t="inlineStr">
        <is>
          <t>113-9632274-1930645</t>
        </is>
      </c>
      <c r="G2006" s="10" t="n"/>
      <c r="H2006" s="9" t="inlineStr">
        <is>
          <t xml:space="preserve">BABY GIFT from Carreños for SHEVA birthday </t>
        </is>
      </c>
      <c r="I2006" s="9" t="n">
        <v>3</v>
      </c>
      <c r="J2006" s="9" t="inlineStr">
        <is>
          <t>cnt</t>
        </is>
      </c>
      <c r="K2006" s="85" t="n">
        <v>-30.91</v>
      </c>
    </row>
    <row r="2007" ht="15" customFormat="1" customHeight="1" s="5">
      <c r="A2007" s="81" t="n">
        <v>45876</v>
      </c>
      <c r="B2007" s="82" t="n">
        <v>0.2916666666666667</v>
      </c>
      <c r="C2007" s="5" t="inlineStr">
        <is>
          <t>US Tax Witholding</t>
        </is>
      </c>
      <c r="D2007" s="5" t="n">
        <v>1</v>
      </c>
      <c r="F2007" s="6" t="inlineStr">
        <is>
          <t>RTX_Paycheck_25_42</t>
        </is>
      </c>
      <c r="G2007" s="7" t="n"/>
      <c r="H2007" s="9" t="inlineStr">
        <is>
          <t>Federal Income Tax</t>
        </is>
      </c>
      <c r="I2007" s="9" t="n"/>
      <c r="J2007" s="9" t="n"/>
      <c r="K2007" s="9" t="n">
        <v>501.13</v>
      </c>
    </row>
    <row r="2008" ht="15" customFormat="1" customHeight="1" s="5">
      <c r="A2008" s="81" t="n">
        <v>45876</v>
      </c>
      <c r="B2008" s="82" t="n">
        <v>0.2916666666666667</v>
      </c>
      <c r="C2008" s="5" t="inlineStr">
        <is>
          <t>US Tax Witholding</t>
        </is>
      </c>
      <c r="D2008" s="5" t="n">
        <v>1</v>
      </c>
      <c r="F2008" s="6" t="inlineStr">
        <is>
          <t>RTX_Paycheck_25_42</t>
        </is>
      </c>
      <c r="G2008" s="7" t="n"/>
      <c r="H2008" s="9" t="inlineStr">
        <is>
          <t>Social Security Tax</t>
        </is>
      </c>
      <c r="I2008" s="9" t="n"/>
      <c r="J2008" s="9" t="n"/>
      <c r="K2008" s="9" t="n">
        <v>286.17</v>
      </c>
    </row>
    <row r="2009" ht="15" customFormat="1" customHeight="1" s="5">
      <c r="A2009" s="81" t="n">
        <v>45876</v>
      </c>
      <c r="B2009" s="82" t="n">
        <v>0.2916666666666667</v>
      </c>
      <c r="C2009" s="5" t="inlineStr">
        <is>
          <t>US Tax Witholding</t>
        </is>
      </c>
      <c r="D2009" s="5" t="n">
        <v>1</v>
      </c>
      <c r="F2009" s="6" t="inlineStr">
        <is>
          <t>RTX_Paycheck_25_42</t>
        </is>
      </c>
      <c r="G2009" s="7" t="n"/>
      <c r="H2009" s="9" t="inlineStr">
        <is>
          <t>Medicare Tax</t>
        </is>
      </c>
      <c r="I2009" s="9" t="n"/>
      <c r="J2009" s="9" t="n"/>
      <c r="K2009" s="9" t="n">
        <v>66.92</v>
      </c>
    </row>
    <row r="2010" ht="15" customFormat="1" customHeight="1" s="5">
      <c r="A2010" s="81" t="n">
        <v>45876</v>
      </c>
      <c r="B2010" s="82" t="n">
        <v>0.2916666666666667</v>
      </c>
      <c r="C2010" s="5" t="inlineStr">
        <is>
          <t>Raytheon</t>
        </is>
      </c>
      <c r="D2010" s="5" t="n">
        <v>1</v>
      </c>
      <c r="F2010" s="6" t="inlineStr">
        <is>
          <t>RTX_Paycheck_25_42</t>
        </is>
      </c>
      <c r="G2010" s="17" t="inlineStr">
        <is>
          <t>XXXX3523</t>
        </is>
      </c>
      <c r="H2010" s="9" t="inlineStr">
        <is>
          <t>Net Paycheck [Jul 19 - Aug 01]</t>
        </is>
      </c>
      <c r="I2010" s="9" t="n"/>
      <c r="J2010" s="9" t="n"/>
      <c r="K2010" s="9" t="n">
        <v>2578.99</v>
      </c>
    </row>
    <row r="2011" ht="15" customFormat="1" customHeight="1" s="5">
      <c r="A2011" s="81" t="n">
        <v>45876</v>
      </c>
      <c r="B2011" s="82" t="n">
        <v>0.2916666666666667</v>
      </c>
      <c r="C2011" s="5" t="inlineStr">
        <is>
          <t>Raytheon</t>
        </is>
      </c>
      <c r="D2011" s="5" t="n">
        <v>1</v>
      </c>
      <c r="F2011" s="6" t="inlineStr">
        <is>
          <t>RTX_Paycheck_25_42</t>
        </is>
      </c>
      <c r="G2011" s="7" t="n"/>
      <c r="H2011" s="9" t="inlineStr">
        <is>
          <t>RTX Direct Deposit -- cancelling offset</t>
        </is>
      </c>
      <c r="I2011" s="9" t="n"/>
      <c r="J2011" s="9" t="n"/>
      <c r="K2011" s="9" t="n">
        <v>-2579</v>
      </c>
    </row>
    <row r="2012" ht="15" customFormat="1" customHeight="1" s="5">
      <c r="A2012" s="81" t="n">
        <v>45876</v>
      </c>
      <c r="B2012" s="82" t="n">
        <v>0.2916666666666667</v>
      </c>
      <c r="C2012" s="5" t="inlineStr">
        <is>
          <t>Raytheon</t>
        </is>
      </c>
      <c r="D2012" s="5" t="n">
        <v>1</v>
      </c>
      <c r="F2012" s="6" t="inlineStr">
        <is>
          <t>RTX_Paycheck_25_42</t>
        </is>
      </c>
      <c r="G2012" s="7" t="n"/>
      <c r="H2012" s="9" t="inlineStr">
        <is>
          <t>Gross Paycheck [Jul 19 - Aug 01]</t>
        </is>
      </c>
      <c r="I2012" s="9" t="n"/>
      <c r="J2012" s="9" t="n"/>
      <c r="K2012" s="9" t="n">
        <v>-5049.38</v>
      </c>
    </row>
    <row r="2013" ht="15" customFormat="1" customHeight="1" s="5">
      <c r="A2013" s="81" t="n">
        <v>45876</v>
      </c>
      <c r="B2013" s="82" t="n">
        <v>0.2916666666666667</v>
      </c>
      <c r="C2013" s="5" t="inlineStr">
        <is>
          <t>Raytheon</t>
        </is>
      </c>
      <c r="D2013" s="5" t="n">
        <v>1</v>
      </c>
      <c r="F2013" s="6" t="inlineStr">
        <is>
          <t>RTX_Paycheck_25_42</t>
        </is>
      </c>
      <c r="G2013" s="7" t="n"/>
      <c r="H2013" s="9" t="inlineStr">
        <is>
          <t>Ed(ucation) Assi(tance) Offset</t>
        </is>
      </c>
      <c r="I2013" s="9" t="n"/>
      <c r="J2013" s="9" t="n"/>
      <c r="K2013" s="9" t="n">
        <v>711.63</v>
      </c>
    </row>
    <row r="2014" ht="15" customFormat="1" customHeight="1" s="5">
      <c r="A2014" s="81" t="n">
        <v>45876</v>
      </c>
      <c r="B2014" s="82" t="n">
        <v>0.2916666666666667</v>
      </c>
      <c r="C2014" s="5" t="inlineStr">
        <is>
          <t>Parents Gift Account</t>
        </is>
      </c>
      <c r="D2014" s="5" t="n">
        <v>1</v>
      </c>
      <c r="F2014" s="6" t="inlineStr">
        <is>
          <t>RTX_Paycheck_25_42</t>
        </is>
      </c>
      <c r="G2014" s="17" t="inlineStr">
        <is>
          <t>XXXX7146</t>
        </is>
      </c>
      <c r="H2014" s="9" t="inlineStr">
        <is>
          <t>Contribution to Parents Gift Account</t>
        </is>
      </c>
      <c r="I2014" s="9" t="n"/>
      <c r="J2014" s="9" t="n"/>
      <c r="K2014" s="9" t="n">
        <v>0.01</v>
      </c>
    </row>
    <row r="2015" ht="15" customFormat="1" customHeight="1" s="5">
      <c r="A2015" s="81" t="n">
        <v>45876</v>
      </c>
      <c r="B2015" s="82" t="n">
        <v>0.2916666666666667</v>
      </c>
      <c r="C2015" s="5" t="inlineStr">
        <is>
          <t>HSA</t>
        </is>
      </c>
      <c r="D2015" s="5" t="n">
        <v>1</v>
      </c>
      <c r="F2015" s="6" t="inlineStr">
        <is>
          <t>RTX_Paycheck_25_42</t>
        </is>
      </c>
      <c r="G2015" s="7" t="n"/>
      <c r="H2015" s="9" t="inlineStr">
        <is>
          <t>Personal contribution to HSA</t>
        </is>
      </c>
      <c r="I2015" s="9" t="n"/>
      <c r="J2015" s="9" t="n"/>
      <c r="K2015" s="9" t="n">
        <v>299.91</v>
      </c>
    </row>
    <row r="2016" ht="15" customFormat="1" customHeight="1" s="5">
      <c r="A2016" s="81" t="n">
        <v>45876</v>
      </c>
      <c r="B2016" s="82" t="n">
        <v>0.2916666666666667</v>
      </c>
      <c r="C2016" s="5" t="inlineStr">
        <is>
          <t>Delta Dental</t>
        </is>
      </c>
      <c r="D2016" s="5" t="n">
        <v>1</v>
      </c>
      <c r="F2016" s="6" t="inlineStr">
        <is>
          <t>RTX_Paycheck_25_42</t>
        </is>
      </c>
      <c r="G2016" s="10" t="n"/>
      <c r="H2016" s="9" t="inlineStr">
        <is>
          <t>Dental Insurance</t>
        </is>
      </c>
      <c r="I2016" s="9" t="n"/>
      <c r="J2016" s="9" t="n"/>
      <c r="K2016" s="9" t="n">
        <v>4.26</v>
      </c>
    </row>
    <row r="2017" ht="15" customFormat="1" customHeight="1" s="5">
      <c r="A2017" s="81" t="n">
        <v>45876</v>
      </c>
      <c r="B2017" s="82" t="n">
        <v>0.2916666666666667</v>
      </c>
      <c r="C2017" s="5" t="inlineStr">
        <is>
          <t>CO Tax Witholding</t>
        </is>
      </c>
      <c r="D2017" s="5" t="n">
        <v>1</v>
      </c>
      <c r="F2017" s="6" t="inlineStr">
        <is>
          <t>RTX_Paycheck_25_42</t>
        </is>
      </c>
      <c r="G2017" s="7" t="n"/>
      <c r="H2017" s="9" t="inlineStr">
        <is>
          <t>CO State Income Tax</t>
        </is>
      </c>
      <c r="I2017" s="9" t="n"/>
      <c r="J2017" s="9" t="n"/>
      <c r="K2017" s="9" t="n">
        <v>186.09</v>
      </c>
    </row>
    <row r="2018" ht="15" customFormat="1" customHeight="1" s="5">
      <c r="A2018" s="81" t="n">
        <v>45876</v>
      </c>
      <c r="B2018" s="82" t="n">
        <v>0.2916666666666667</v>
      </c>
      <c r="C2018" s="5" t="inlineStr">
        <is>
          <t>CO Tax Witholding</t>
        </is>
      </c>
      <c r="D2018" s="5" t="n">
        <v>1</v>
      </c>
      <c r="F2018" s="6" t="inlineStr">
        <is>
          <t>RTX_Paycheck_25_42</t>
        </is>
      </c>
      <c r="G2018" s="7" t="n"/>
      <c r="H2018" s="9" t="inlineStr">
        <is>
          <t>CO Paid Family Leave Insurance</t>
        </is>
      </c>
      <c r="I2018" s="9" t="n"/>
      <c r="J2018" s="9" t="n"/>
      <c r="K2018" s="9" t="n">
        <v>22.72</v>
      </c>
    </row>
    <row r="2019" ht="15" customFormat="1" customHeight="1" s="5">
      <c r="A2019" s="81" t="n">
        <v>45876</v>
      </c>
      <c r="B2019" s="82" t="n">
        <v>0.2916666666666667</v>
      </c>
      <c r="C2019" s="5" t="inlineStr">
        <is>
          <t>Anthem BcBs</t>
        </is>
      </c>
      <c r="D2019" s="5" t="n">
        <v>1</v>
      </c>
      <c r="F2019" s="6" t="inlineStr">
        <is>
          <t>RTX_Paycheck_25_42</t>
        </is>
      </c>
      <c r="G2019" s="7" t="n"/>
      <c r="H2019" s="9" t="inlineStr">
        <is>
          <t>Medical Insurance</t>
        </is>
      </c>
      <c r="I2019" s="9" t="n"/>
      <c r="J2019" s="9" t="n"/>
      <c r="K2019" s="9" t="n">
        <v>131.28</v>
      </c>
    </row>
    <row r="2020" ht="15" customFormat="1" customHeight="1" s="5">
      <c r="A2020" s="81" t="n">
        <v>45876</v>
      </c>
      <c r="B2020" s="82" t="n">
        <v>0.2916666666666667</v>
      </c>
      <c r="C2020" s="5" t="inlineStr">
        <is>
          <t>Alight</t>
        </is>
      </c>
      <c r="D2020" s="5" t="n">
        <v>1</v>
      </c>
      <c r="F2020" s="6" t="inlineStr">
        <is>
          <t>RTX_Paycheck_25_42</t>
        </is>
      </c>
      <c r="G2020" s="7" t="n"/>
      <c r="H2020" s="9" t="inlineStr">
        <is>
          <t>401k Basic -- Traditional</t>
        </is>
      </c>
      <c r="I2020" s="9" t="n"/>
      <c r="J2020" s="9" t="n"/>
      <c r="K2020" s="9" t="n">
        <v>0</v>
      </c>
    </row>
    <row r="2021" ht="15" customFormat="1" customHeight="1" s="5">
      <c r="A2021" s="81" t="n">
        <v>45876</v>
      </c>
      <c r="B2021" s="82" t="n">
        <v>0.2916666666666667</v>
      </c>
      <c r="C2021" s="5" t="inlineStr">
        <is>
          <t>Alight</t>
        </is>
      </c>
      <c r="D2021" s="5" t="n">
        <v>1</v>
      </c>
      <c r="F2021" s="6" t="inlineStr">
        <is>
          <t>RTX_Paycheck_25_42</t>
        </is>
      </c>
      <c r="G2021" s="7" t="n"/>
      <c r="H2021" s="9" t="inlineStr">
        <is>
          <t>Roth 401k Basic</t>
        </is>
      </c>
      <c r="I2021" s="9" t="n"/>
      <c r="J2021" s="9" t="n"/>
      <c r="K2021" s="9" t="n">
        <v>260.27</v>
      </c>
    </row>
    <row r="2022" ht="15" customFormat="1" customHeight="1" s="5">
      <c r="A2022" s="81" t="n">
        <v>45875</v>
      </c>
      <c r="B2022" s="82" t="n">
        <v>0.9611111111111111</v>
      </c>
      <c r="C2022" s="5" t="inlineStr">
        <is>
          <t>Amazon</t>
        </is>
      </c>
      <c r="D2022" s="5" t="n">
        <v>1</v>
      </c>
      <c r="F2022" s="6" t="inlineStr">
        <is>
          <t>111-1465680-5531463</t>
        </is>
      </c>
      <c r="G2022" s="17" t="n"/>
      <c r="H2022" s="9" t="inlineStr">
        <is>
          <t>Little Whispers Baby Food Pouch Spoon Attachments - Stage 1, Small (Ripple) - 5 Pack
Sold by: Little Whispers</t>
        </is>
      </c>
      <c r="I2022" s="5" t="n">
        <v>5</v>
      </c>
      <c r="J2022" s="5" t="inlineStr">
        <is>
          <t>cnt</t>
        </is>
      </c>
      <c r="K2022" s="5" t="n">
        <v>9.99</v>
      </c>
    </row>
    <row r="2023" ht="15" customFormat="1" customHeight="1" s="5">
      <c r="A2023" s="81" t="n">
        <v>45875</v>
      </c>
      <c r="B2023" s="82" t="n">
        <v>0.9611111111111111</v>
      </c>
      <c r="C2023" s="5" t="inlineStr">
        <is>
          <t>Amazon</t>
        </is>
      </c>
      <c r="D2023" s="5" t="n">
        <v>1</v>
      </c>
      <c r="F2023" s="6" t="inlineStr">
        <is>
          <t>111-1465680-5531463</t>
        </is>
      </c>
      <c r="G2023" s="17" t="n"/>
      <c r="H2023" s="9" t="inlineStr">
        <is>
          <t>Bayan Stroller Sunshade Baby Car Seat Sun Shade Cover-Effective UV Rays Cut Design-Blocks 95.76% UVA and 95.87% UVB
Sold by: FullMart</t>
        </is>
      </c>
      <c r="I2023" s="5" t="n">
        <v>1</v>
      </c>
      <c r="J2023" s="5" t="inlineStr">
        <is>
          <t>cnt</t>
        </is>
      </c>
      <c r="K2023" s="5" t="n">
        <v>17.99</v>
      </c>
    </row>
    <row r="2024" ht="15" customFormat="1" customHeight="1" s="5">
      <c r="A2024" s="81" t="n">
        <v>45875</v>
      </c>
      <c r="B2024" s="82" t="n">
        <v>0.9611111111111111</v>
      </c>
      <c r="C2024" s="5" t="inlineStr">
        <is>
          <t>Amazon</t>
        </is>
      </c>
      <c r="D2024" s="5" t="n">
        <v>1</v>
      </c>
      <c r="F2024" s="6" t="inlineStr">
        <is>
          <t>111-1465680-5531463</t>
        </is>
      </c>
      <c r="G2024" s="17" t="n"/>
      <c r="H2024" s="9" t="inlineStr">
        <is>
          <t>Indestructibles: Baby, Let's Count!: Chew Proof · Rip Proof · Nontoxic · 100% Washable (Book for Babies, Newborn Books, Safe to Chew)
Sold by: Amazon.com</t>
        </is>
      </c>
      <c r="I2024" s="5" t="n">
        <v>1</v>
      </c>
      <c r="J2024" s="5" t="inlineStr">
        <is>
          <t>cnt</t>
        </is>
      </c>
      <c r="K2024" s="5" t="n">
        <v>5.57</v>
      </c>
    </row>
    <row r="2025" ht="15" customFormat="1" customHeight="1" s="5">
      <c r="A2025" s="81" t="n">
        <v>45875</v>
      </c>
      <c r="B2025" s="82" t="n">
        <v>0.9611111111111111</v>
      </c>
      <c r="C2025" s="5" t="inlineStr">
        <is>
          <t>Amazon</t>
        </is>
      </c>
      <c r="D2025" s="5" t="n">
        <v>1</v>
      </c>
      <c r="F2025" s="6" t="inlineStr">
        <is>
          <t>111-1465680-5531463</t>
        </is>
      </c>
      <c r="G2025" s="17" t="n"/>
      <c r="H2025" s="9" t="inlineStr">
        <is>
          <t>Tax</t>
        </is>
      </c>
      <c r="I2025" s="5" t="n">
        <v>3</v>
      </c>
      <c r="J2025" s="5" t="inlineStr">
        <is>
          <t>cnt</t>
        </is>
      </c>
      <c r="K2025" s="5" t="n">
        <v>2.69</v>
      </c>
    </row>
    <row r="2026" ht="15" customFormat="1" customHeight="1" s="5">
      <c r="A2026" s="81" t="n">
        <v>45875</v>
      </c>
      <c r="B2026" s="82" t="n">
        <v>0.9611111111111111</v>
      </c>
      <c r="C2026" s="5" t="inlineStr">
        <is>
          <t>Amazon</t>
        </is>
      </c>
      <c r="D2026" s="5" t="n">
        <v>1</v>
      </c>
      <c r="F2026" s="6" t="inlineStr">
        <is>
          <t>111-9008357-3224262</t>
        </is>
      </c>
      <c r="G2026" s="17" t="n"/>
      <c r="H2026" s="9" t="inlineStr">
        <is>
          <t>Sunany Inflatable Foot Rest Pillow for Travel, Kids/Adults Airplane Travel Pillow-Adjustable Height Cushions,for Kids to Sleep While Traveling,Suitable for Office, Home and Any Travell (1 Pack)
Sold by: MCSQUARE Co.</t>
        </is>
      </c>
      <c r="I2026" s="5" t="n">
        <v>1</v>
      </c>
      <c r="J2026" s="5" t="inlineStr">
        <is>
          <t>cnt</t>
        </is>
      </c>
      <c r="K2026" s="5" t="n">
        <v>24.99</v>
      </c>
    </row>
    <row r="2027" ht="15" customFormat="1" customHeight="1" s="5">
      <c r="A2027" s="81" t="n">
        <v>45875</v>
      </c>
      <c r="B2027" s="82" t="n">
        <v>0.9611111111111111</v>
      </c>
      <c r="C2027" s="5" t="inlineStr">
        <is>
          <t>Amazon</t>
        </is>
      </c>
      <c r="D2027" s="5" t="n">
        <v>1</v>
      </c>
      <c r="F2027" s="6" t="inlineStr">
        <is>
          <t>111-9008357-3224262</t>
        </is>
      </c>
      <c r="G2027" s="17" t="n"/>
      <c r="H2027" s="9" t="inlineStr">
        <is>
          <t>liuliuby Compact Travel High Chair | Portable High Chair for Baby | Baby Travel Essential Harness Seat | Must Haves for Vacations, Restaurants, Family Visits with Babies | Portable Highchair Seat
Sold by: liuliuby</t>
        </is>
      </c>
      <c r="I2027" s="5" t="n">
        <v>1</v>
      </c>
      <c r="J2027" s="5" t="inlineStr">
        <is>
          <t>cnt</t>
        </is>
      </c>
      <c r="K2027" s="5" t="n">
        <v>29.99</v>
      </c>
    </row>
    <row r="2028" ht="15" customFormat="1" customHeight="1" s="5">
      <c r="A2028" s="81" t="n">
        <v>45875</v>
      </c>
      <c r="B2028" s="82" t="n">
        <v>0.9611111111111111</v>
      </c>
      <c r="C2028" s="5" t="inlineStr">
        <is>
          <t>Amazon</t>
        </is>
      </c>
      <c r="D2028" s="5" t="n">
        <v>1</v>
      </c>
      <c r="F2028" s="6" t="inlineStr">
        <is>
          <t>111-9008357-3224262</t>
        </is>
      </c>
      <c r="G2028" s="17" t="n"/>
      <c r="H2028" s="9" t="inlineStr">
        <is>
          <t>BLUE LIZARD Mineral Sunscreen Stick with Zinc Oxide SPF 50+ Water Resistant UVA/UVB Protection Easy to Apply Fragrance Free, Kids, Unscented, 0.5 oz
Sold by: Amazon.com</t>
        </is>
      </c>
      <c r="I2028" s="5" t="n">
        <v>0.5</v>
      </c>
      <c r="J2028" s="5" t="inlineStr">
        <is>
          <t>oz</t>
        </is>
      </c>
      <c r="K2028" s="5" t="n">
        <v>8.77</v>
      </c>
    </row>
    <row r="2029" ht="15" customFormat="1" customHeight="1" s="4">
      <c r="A2029" s="81" t="n">
        <v>45875</v>
      </c>
      <c r="B2029" s="82" t="n">
        <v>0.9611111111111111</v>
      </c>
      <c r="C2029" s="5" t="inlineStr">
        <is>
          <t>Amazon</t>
        </is>
      </c>
      <c r="D2029" s="5" t="n">
        <v>1</v>
      </c>
      <c r="E2029" s="5" t="n"/>
      <c r="F2029" s="6" t="inlineStr">
        <is>
          <t>111-9008357-3224262</t>
        </is>
      </c>
      <c r="G2029" s="17" t="n"/>
      <c r="H2029" s="9" t="inlineStr">
        <is>
          <t>Mr. Pen- Colored Masking Tape, Painters Tape for Arts and Crafts, 6 Pack, Drafting Craft Tape, Labeling Paper Tape, Masking Tape, Colorful Artist Tape, Art Tape, 0.6" width; 15 yards each Sold by: Mr. Pen</t>
        </is>
      </c>
      <c r="I2029" s="5" t="n">
        <v>90</v>
      </c>
      <c r="J2029" s="5" t="inlineStr">
        <is>
          <t>yards</t>
        </is>
      </c>
      <c r="K2029" s="5" t="n">
        <v>5.99</v>
      </c>
    </row>
    <row r="2030" ht="15" customFormat="1" customHeight="1" s="4">
      <c r="A2030" s="81" t="n">
        <v>45875</v>
      </c>
      <c r="B2030" s="82" t="n">
        <v>0.9611111111111111</v>
      </c>
      <c r="C2030" s="5" t="inlineStr">
        <is>
          <t>Amazon</t>
        </is>
      </c>
      <c r="D2030" s="5" t="n">
        <v>1</v>
      </c>
      <c r="E2030" s="5" t="n"/>
      <c r="F2030" s="6" t="inlineStr">
        <is>
          <t>111-9008357-3224262</t>
        </is>
      </c>
      <c r="G2030" s="17" t="n"/>
      <c r="H2030" s="9" t="inlineStr">
        <is>
          <t>**DISCOUNT** Amazon Promotion</t>
        </is>
      </c>
      <c r="I2030" s="5" t="n">
        <v>1</v>
      </c>
      <c r="J2030" s="5" t="inlineStr">
        <is>
          <t>cnt</t>
        </is>
      </c>
      <c r="K2030" s="5" t="n">
        <v>-1.25</v>
      </c>
    </row>
    <row r="2031" ht="15" customFormat="1" customHeight="1" s="4">
      <c r="A2031" s="81" t="n">
        <v>45875</v>
      </c>
      <c r="B2031" s="82" t="n">
        <v>0.9611111111111111</v>
      </c>
      <c r="C2031" s="5" t="inlineStr">
        <is>
          <t>Amazon</t>
        </is>
      </c>
      <c r="D2031" s="5" t="n">
        <v>1</v>
      </c>
      <c r="E2031" s="5" t="n"/>
      <c r="F2031" s="6" t="inlineStr">
        <is>
          <t>111-9008357-3224262</t>
        </is>
      </c>
      <c r="G2031" s="17" t="n"/>
      <c r="H2031" s="9" t="inlineStr">
        <is>
          <t>Tax</t>
        </is>
      </c>
      <c r="I2031" s="5" t="n">
        <v>4</v>
      </c>
      <c r="J2031" s="5" t="inlineStr">
        <is>
          <t>cnt</t>
        </is>
      </c>
      <c r="K2031" s="5" t="n">
        <v>5.48</v>
      </c>
    </row>
    <row r="2032" ht="15" customFormat="1" customHeight="1" s="4">
      <c r="A2032" s="81" t="n">
        <v>45875</v>
      </c>
      <c r="B2032" s="82" t="n">
        <v>0.7583333333333333</v>
      </c>
      <c r="C2032" s="5" t="inlineStr">
        <is>
          <t>McDonald's</t>
        </is>
      </c>
      <c r="D2032" s="5" t="n"/>
      <c r="E2032" s="5" t="n">
        <v>1</v>
      </c>
      <c r="F2032" s="6" t="inlineStr">
        <is>
          <t>#58</t>
        </is>
      </c>
      <c r="G2032" s="17" t="inlineStr">
        <is>
          <t>30%_off</t>
        </is>
      </c>
      <c r="H2032" s="9" t="inlineStr">
        <is>
          <t>McCrispy Deluxe</t>
        </is>
      </c>
      <c r="I2032" s="5" t="n">
        <v>1</v>
      </c>
      <c r="J2032" s="5" t="inlineStr">
        <is>
          <t>cnt</t>
        </is>
      </c>
      <c r="K2032" s="5" t="n">
        <v>4.61</v>
      </c>
    </row>
    <row r="2033" ht="15" customFormat="1" customHeight="1" s="4">
      <c r="A2033" s="81" t="n">
        <v>45875</v>
      </c>
      <c r="B2033" s="82" t="n">
        <v>0.7583333333333333</v>
      </c>
      <c r="C2033" s="5" t="inlineStr">
        <is>
          <t>McDonald's</t>
        </is>
      </c>
      <c r="D2033" s="5" t="n"/>
      <c r="E2033" s="5" t="n">
        <v>1</v>
      </c>
      <c r="F2033" s="6" t="inlineStr">
        <is>
          <t>#58</t>
        </is>
      </c>
      <c r="G2033" s="17" t="n"/>
      <c r="H2033" s="9" t="inlineStr">
        <is>
          <t>$5 "Hot and Spicy McChicken Deal" (but they didn't include McNuggets…... )</t>
        </is>
      </c>
      <c r="I2033" s="5" t="n">
        <v>3</v>
      </c>
      <c r="J2033" s="5" t="inlineStr">
        <is>
          <t>cnt</t>
        </is>
      </c>
      <c r="K2033" s="5" t="n">
        <v>5</v>
      </c>
    </row>
    <row r="2034" ht="15" customFormat="1" customHeight="1" s="4">
      <c r="A2034" s="81" t="n">
        <v>45875</v>
      </c>
      <c r="B2034" s="82" t="n">
        <v>0.7583333333333333</v>
      </c>
      <c r="C2034" s="5" t="inlineStr">
        <is>
          <t>McDonald's</t>
        </is>
      </c>
      <c r="D2034" s="5" t="n"/>
      <c r="E2034" s="5" t="n">
        <v>1</v>
      </c>
      <c r="F2034" s="6" t="inlineStr">
        <is>
          <t>#58</t>
        </is>
      </c>
      <c r="G2034" s="17" t="n"/>
      <c r="H2034" s="9" t="inlineStr">
        <is>
          <t>Medium French Fry</t>
        </is>
      </c>
      <c r="I2034" s="5" t="n">
        <v>1</v>
      </c>
      <c r="J2034" s="5" t="inlineStr">
        <is>
          <t>cnt</t>
        </is>
      </c>
      <c r="K2034" s="5" t="n">
        <v>3.79</v>
      </c>
    </row>
    <row r="2035" ht="15" customFormat="1" customHeight="1" s="4">
      <c r="A2035" s="81" t="n">
        <v>45875</v>
      </c>
      <c r="B2035" s="82" t="n">
        <v>0.7583333333333333</v>
      </c>
      <c r="C2035" s="5" t="inlineStr">
        <is>
          <t>McDonald's</t>
        </is>
      </c>
      <c r="D2035" s="5" t="n"/>
      <c r="E2035" s="5" t="n">
        <v>1</v>
      </c>
      <c r="F2035" s="6" t="inlineStr">
        <is>
          <t>#58</t>
        </is>
      </c>
      <c r="G2035" s="17" t="n"/>
      <c r="H2035" s="9" t="inlineStr">
        <is>
          <t>Tax</t>
        </is>
      </c>
      <c r="I2035" s="5" t="n">
        <v>3</v>
      </c>
      <c r="J2035" s="5" t="inlineStr">
        <is>
          <t>cnt</t>
        </is>
      </c>
      <c r="K2035" s="5" t="n">
        <v>1.07</v>
      </c>
    </row>
    <row r="2036" ht="15" customFormat="1" customHeight="1" s="4">
      <c r="A2036" s="79" t="n">
        <v>45875</v>
      </c>
      <c r="B2036" s="78" t="n">
        <v>0.7208333333333333</v>
      </c>
      <c r="C2036" s="35" t="inlineStr">
        <is>
          <t>Accelerate Health</t>
        </is>
      </c>
      <c r="D2036" s="35" t="n"/>
      <c r="E2036" s="35" t="n">
        <v>1</v>
      </c>
      <c r="F2036" s="47" t="inlineStr">
        <is>
          <t>806231626</t>
        </is>
      </c>
      <c r="G2036" s="55" t="inlineStr">
        <is>
          <t>2025221BF0518</t>
        </is>
      </c>
      <c r="H2036" s="49" t="inlineStr">
        <is>
          <t>1Hour initial consultation, adjustment, and evaluation</t>
        </is>
      </c>
      <c r="I2036" s="35" t="n">
        <v>1</v>
      </c>
      <c r="J2036" s="35" t="inlineStr">
        <is>
          <t>cnt</t>
        </is>
      </c>
      <c r="K2036" s="35" t="n">
        <v>198.43</v>
      </c>
    </row>
    <row r="2037" ht="15" customFormat="1" customHeight="1" s="4">
      <c r="A2037" s="81" t="n">
        <v>45875</v>
      </c>
      <c r="B2037" s="82" t="n">
        <v>0.2916666666666667</v>
      </c>
      <c r="C2037" s="5" t="inlineStr">
        <is>
          <t>Amazon</t>
        </is>
      </c>
      <c r="D2037" s="5" t="n">
        <v>1</v>
      </c>
      <c r="E2037" s="5" t="n"/>
      <c r="F2037" s="6" t="inlineStr">
        <is>
          <t>112-8833466-2856216</t>
        </is>
      </c>
      <c r="G2037" s="17" t="n"/>
      <c r="H2037" s="9" t="inlineStr">
        <is>
          <t>Plátanos Go with Everything/Los plátanos van con todo: Bilingual English-Spanish</t>
        </is>
      </c>
      <c r="I2037" s="5" t="n">
        <v>1</v>
      </c>
      <c r="J2037" s="5" t="inlineStr">
        <is>
          <t>cnt</t>
        </is>
      </c>
      <c r="K2037" s="5" t="n">
        <v>10.99</v>
      </c>
    </row>
    <row r="2038" ht="15" customFormat="1" customHeight="1" s="4">
      <c r="A2038" s="81" t="n">
        <v>45875</v>
      </c>
      <c r="B2038" s="82" t="n">
        <v>0.2916666666666667</v>
      </c>
      <c r="C2038" s="5" t="inlineStr">
        <is>
          <t>Amazon</t>
        </is>
      </c>
      <c r="D2038" s="5" t="n">
        <v>1</v>
      </c>
      <c r="E2038" s="5" t="n"/>
      <c r="F2038" s="6" t="inlineStr">
        <is>
          <t>112-8833466-2856216</t>
        </is>
      </c>
      <c r="G2038" s="17" t="n"/>
      <c r="H2038" s="9" t="inlineStr">
        <is>
          <t>Tax</t>
        </is>
      </c>
      <c r="I2038" s="5" t="n">
        <v>1</v>
      </c>
      <c r="J2038" s="5" t="inlineStr">
        <is>
          <t>cnt</t>
        </is>
      </c>
      <c r="K2038" s="5" t="n">
        <v>0.77</v>
      </c>
    </row>
    <row r="2039" ht="15" customFormat="1" customHeight="1" s="4">
      <c r="A2039" s="81" t="n">
        <v>45875</v>
      </c>
      <c r="B2039" s="82" t="n">
        <v>0.2916666666666667</v>
      </c>
      <c r="C2039" s="5" t="inlineStr">
        <is>
          <t>Amazon</t>
        </is>
      </c>
      <c r="D2039" s="5" t="n">
        <v>1</v>
      </c>
      <c r="E2039" s="5" t="n"/>
      <c r="F2039" s="6" t="inlineStr">
        <is>
          <t>112-8833466-2856216</t>
        </is>
      </c>
      <c r="G2039" s="17" t="n"/>
      <c r="H2039" s="9" t="inlineStr">
        <is>
          <t>BABY GIFT from Mary Wu</t>
        </is>
      </c>
      <c r="I2039" s="5" t="n">
        <v>1</v>
      </c>
      <c r="J2039" s="5" t="inlineStr">
        <is>
          <t>cnt</t>
        </is>
      </c>
      <c r="K2039" s="5" t="n">
        <v>-11.76</v>
      </c>
    </row>
    <row r="2040" ht="15" customFormat="1" customHeight="1" s="4">
      <c r="A2040" s="81" t="n">
        <v>45874</v>
      </c>
      <c r="B2040" s="82" t="n">
        <v>0.2916666666666667</v>
      </c>
      <c r="C2040" s="5" t="inlineStr">
        <is>
          <t>Amazon</t>
        </is>
      </c>
      <c r="D2040" s="5" t="n">
        <v>1</v>
      </c>
      <c r="E2040" s="5" t="n"/>
      <c r="F2040" s="6" t="inlineStr">
        <is>
          <t>112-6596944-9828222</t>
        </is>
      </c>
      <c r="G2040" s="17" t="n"/>
      <c r="H2040" s="9" t="inlineStr">
        <is>
          <t>Smart Food Scales for Kitchen - Digital Food Scale with Nutritional Calculator Analysis App, Food Weight Scale Grams and Ounces, Food Scale for Weight Loss, Calories Counting, Meal Prep 0.1oz</t>
        </is>
      </c>
      <c r="I2040" s="5" t="n">
        <v>1</v>
      </c>
      <c r="J2040" s="5" t="inlineStr">
        <is>
          <t>cnt</t>
        </is>
      </c>
      <c r="K2040" s="5" t="n">
        <v>16.99</v>
      </c>
    </row>
    <row r="2041" ht="15" customFormat="1" customHeight="1" s="5">
      <c r="A2041" s="81" t="n">
        <v>45874</v>
      </c>
      <c r="B2041" s="82" t="n">
        <v>0.2916666666666667</v>
      </c>
      <c r="C2041" s="5" t="inlineStr">
        <is>
          <t>Amazon</t>
        </is>
      </c>
      <c r="D2041" s="5" t="n">
        <v>1</v>
      </c>
      <c r="F2041" s="6" t="inlineStr">
        <is>
          <t>112-6596944-9828222</t>
        </is>
      </c>
      <c r="G2041" s="17" t="n"/>
      <c r="H2041" s="9" t="inlineStr">
        <is>
          <t>Tax</t>
        </is>
      </c>
      <c r="I2041" s="5" t="n">
        <v>1</v>
      </c>
      <c r="J2041" s="5" t="inlineStr">
        <is>
          <t>cnt</t>
        </is>
      </c>
      <c r="K2041" s="5" t="n">
        <v>1.19</v>
      </c>
    </row>
    <row r="2042" ht="15" customFormat="1" customHeight="1" s="5">
      <c r="A2042" s="81" t="n">
        <v>45874</v>
      </c>
      <c r="B2042" s="82" t="n">
        <v>0.2916666666666667</v>
      </c>
      <c r="C2042" s="5" t="inlineStr">
        <is>
          <t>Amazon</t>
        </is>
      </c>
      <c r="D2042" s="5" t="n">
        <v>1</v>
      </c>
      <c r="F2042" s="6" t="inlineStr">
        <is>
          <t>112-6596944-9828222</t>
        </is>
      </c>
      <c r="G2042" s="17" t="n"/>
      <c r="H2042" s="9" t="inlineStr">
        <is>
          <t>BABY GIFT from Joseph Wu</t>
        </is>
      </c>
      <c r="I2042" s="5" t="n">
        <v>1</v>
      </c>
      <c r="J2042" s="5" t="inlineStr">
        <is>
          <t>cnt</t>
        </is>
      </c>
      <c r="K2042" s="5" t="n">
        <v>-18.18</v>
      </c>
    </row>
    <row r="2043" ht="15" customFormat="1" customHeight="1" s="5">
      <c r="A2043" s="81" t="n">
        <v>45874</v>
      </c>
      <c r="B2043" s="82" t="n">
        <v>0.2270833333333333</v>
      </c>
      <c r="C2043" s="5" t="inlineStr">
        <is>
          <t>Xfinity</t>
        </is>
      </c>
      <c r="D2043" s="5" t="n">
        <v>1</v>
      </c>
      <c r="F2043" s="6" t="n"/>
      <c r="G2043" s="10" t="n"/>
      <c r="H2043" s="9" t="inlineStr">
        <is>
          <t>Xfinity wifi monthly payment autodraft</t>
        </is>
      </c>
      <c r="I2043" s="9" t="n">
        <v>1</v>
      </c>
      <c r="J2043" s="9" t="inlineStr">
        <is>
          <t>cnt</t>
        </is>
      </c>
      <c r="K2043" s="85" t="n">
        <v>60</v>
      </c>
    </row>
    <row r="2044" ht="15" customFormat="1" customHeight="1" s="5">
      <c r="A2044" s="81" t="n">
        <v>45872</v>
      </c>
      <c r="B2044" s="82" t="n">
        <v>0.74375</v>
      </c>
      <c r="C2044" s="5" t="inlineStr">
        <is>
          <t>Walmart</t>
        </is>
      </c>
      <c r="D2044" s="5" t="n">
        <v>1</v>
      </c>
      <c r="F2044" s="6" t="inlineStr">
        <is>
          <t>200013210171382</t>
        </is>
      </c>
      <c r="G2044" s="10" t="n"/>
      <c r="H2044" s="18" t="inlineStr">
        <is>
          <t>Enfamil Poly-Vi-Sol Liquid Multivitamin Supplement and Iron for Infants and Toddlers 50 mL dropper bottle</t>
        </is>
      </c>
      <c r="I2044" s="9" t="n">
        <v>50</v>
      </c>
      <c r="J2044" s="9" t="inlineStr">
        <is>
          <t>mL</t>
        </is>
      </c>
      <c r="K2044" s="85" t="n">
        <v>9.48</v>
      </c>
    </row>
    <row r="2045" ht="15" customFormat="1" customHeight="1" s="5">
      <c r="A2045" s="81" t="n">
        <v>45872</v>
      </c>
      <c r="B2045" s="82" t="n">
        <v>0.74375</v>
      </c>
      <c r="C2045" s="5" t="inlineStr">
        <is>
          <t>Walmart</t>
        </is>
      </c>
      <c r="D2045" s="5" t="n">
        <v>1</v>
      </c>
      <c r="F2045" s="6" t="inlineStr">
        <is>
          <t>200013210171382</t>
        </is>
      </c>
      <c r="G2045" s="10" t="n"/>
      <c r="H2045" s="18" t="inlineStr">
        <is>
          <t>CO Retail Delivery Fees</t>
        </is>
      </c>
      <c r="I2045" s="9" t="n">
        <v>50</v>
      </c>
      <c r="J2045" s="9" t="inlineStr">
        <is>
          <t>mL</t>
        </is>
      </c>
      <c r="K2045" s="85" t="n">
        <v>0.28</v>
      </c>
    </row>
    <row r="2046" ht="15" customFormat="1" customHeight="1" s="5">
      <c r="A2046" s="81" t="n">
        <v>45872</v>
      </c>
      <c r="B2046" s="82" t="n">
        <v>0.74375</v>
      </c>
      <c r="C2046" s="5" t="inlineStr">
        <is>
          <t>Walmart</t>
        </is>
      </c>
      <c r="D2046" s="5" t="n">
        <v>1</v>
      </c>
      <c r="F2046" s="6" t="inlineStr">
        <is>
          <t>200013210171382</t>
        </is>
      </c>
      <c r="G2046" s="10" t="n"/>
      <c r="H2046" s="18" t="inlineStr">
        <is>
          <t>Tax</t>
        </is>
      </c>
      <c r="I2046" s="9" t="n">
        <v>50</v>
      </c>
      <c r="J2046" s="9" t="inlineStr">
        <is>
          <t>mL</t>
        </is>
      </c>
      <c r="K2046" s="85" t="n">
        <v>0.76</v>
      </c>
    </row>
    <row r="2047" ht="15" customFormat="1" customHeight="1" s="5">
      <c r="A2047" s="81" t="n">
        <v>45872</v>
      </c>
      <c r="B2047" s="82" t="n">
        <v>0.7409722222222223</v>
      </c>
      <c r="C2047" s="5" t="inlineStr">
        <is>
          <t>Amazon</t>
        </is>
      </c>
      <c r="D2047" s="5" t="n">
        <v>1</v>
      </c>
      <c r="F2047" s="6" t="inlineStr">
        <is>
          <t>111-8043740-1041052</t>
        </is>
      </c>
      <c r="G2047" s="10" t="n"/>
      <c r="H2047" s="18" t="inlineStr">
        <is>
          <t>**DISCOUNT** Amazon to comp order because original set was bent</t>
        </is>
      </c>
      <c r="I2047" s="9" t="n">
        <v>3</v>
      </c>
      <c r="J2047" s="9" t="inlineStr">
        <is>
          <t>cnt</t>
        </is>
      </c>
      <c r="K2047" s="85" t="n">
        <v>-9.99</v>
      </c>
    </row>
    <row r="2048" ht="15" customFormat="1" customHeight="1" s="5">
      <c r="A2048" s="81" t="n">
        <v>45872</v>
      </c>
      <c r="B2048" s="82" t="n">
        <v>0.7409722222222223</v>
      </c>
      <c r="C2048" s="5" t="inlineStr">
        <is>
          <t>Amazon</t>
        </is>
      </c>
      <c r="D2048" s="5" t="n">
        <v>1</v>
      </c>
      <c r="F2048" s="6" t="n"/>
      <c r="G2048" s="10" t="n"/>
      <c r="H2048" s="18" t="inlineStr">
        <is>
          <t>Palm Pot Brush- Bamboo Round 3 Packs Mini Dish Brush Natural Scrub Brush Durable Scrubber Cleaning Kit with Union Fiber and Tampico Fiber for Cleaning Pots, Pans and VegetablesSold by: Greenth Pro</t>
        </is>
      </c>
      <c r="I2048" s="9" t="n">
        <v>3</v>
      </c>
      <c r="J2048" s="9" t="inlineStr">
        <is>
          <t>cnt</t>
        </is>
      </c>
      <c r="K2048" s="85" t="n">
        <v>9.99</v>
      </c>
    </row>
    <row r="2049" ht="15" customFormat="1" customHeight="1" s="5">
      <c r="A2049" s="81" t="n">
        <v>45872</v>
      </c>
      <c r="B2049" s="82" t="n">
        <v>0.7340277777777777</v>
      </c>
      <c r="C2049" s="5" t="inlineStr">
        <is>
          <t>Amazon</t>
        </is>
      </c>
      <c r="D2049" s="5" t="n">
        <v>1</v>
      </c>
      <c r="F2049" s="6" t="inlineStr">
        <is>
          <t>112-1228210-9433853</t>
        </is>
      </c>
      <c r="G2049" s="10" t="n"/>
      <c r="H2049" s="9" t="inlineStr">
        <is>
          <t>**RETURNED** from Joe Wu: Palm Pot Brush- Bamboo Round 3 Packs Mini Dish Brush Natural Scrub Brush Durable Scrubber Cleaning Kit with Union Fiber and Tampico Fiber for Cleaning Pots, Pans and Vegetables
Sold by: Greenth Pro</t>
        </is>
      </c>
      <c r="I2049" s="9" t="n"/>
      <c r="J2049" s="9" t="n"/>
      <c r="K2049" s="9" t="n">
        <v>-9.99</v>
      </c>
    </row>
    <row r="2050" ht="15" customFormat="1" customHeight="1" s="5">
      <c r="A2050" s="81" t="n">
        <v>45872</v>
      </c>
      <c r="B2050" s="82" t="n">
        <v>0.7340277777777777</v>
      </c>
      <c r="C2050" s="5" t="inlineStr">
        <is>
          <t>Amazon</t>
        </is>
      </c>
      <c r="D2050" s="5" t="n">
        <v>1</v>
      </c>
      <c r="F2050" s="6" t="inlineStr">
        <is>
          <t>112-1228210-9433853</t>
        </is>
      </c>
      <c r="G2050" s="10" t="n"/>
      <c r="H2050" s="9" t="inlineStr">
        <is>
          <t>**RETURNED** from Joe Wu: i play. Baby Flap Sun Protection Swim Hat, Gray, 9-18 Months
Sold by: Amazon.com</t>
        </is>
      </c>
      <c r="I2050" s="9" t="n"/>
      <c r="J2050" s="9" t="n"/>
      <c r="K2050" s="9" t="n">
        <v>-14.99</v>
      </c>
    </row>
    <row r="2051" ht="15" customFormat="1" customHeight="1" s="5">
      <c r="A2051" s="81" t="n">
        <v>45872</v>
      </c>
      <c r="B2051" s="82" t="n">
        <v>0.7340277777777777</v>
      </c>
      <c r="C2051" s="5" t="inlineStr">
        <is>
          <t>Amazon</t>
        </is>
      </c>
      <c r="D2051" s="5" t="n">
        <v>1</v>
      </c>
      <c r="F2051" s="6" t="inlineStr">
        <is>
          <t>112-1228210-9433853</t>
        </is>
      </c>
      <c r="G2051" s="10" t="n"/>
      <c r="H2051" s="9" t="inlineStr">
        <is>
          <t>**RETURNED** from Joe Wu: Cleancult Dish Soap Liquid Refill (32oz, 3 Pack) - Plant Based Cleaning Power - Dish Soap that Cuts Grease &amp; Grime - Free of Harsh Chemicals - Uses 90% Less Plastic - Fresh Rain
Sold by: Amazon.com</t>
        </is>
      </c>
      <c r="I2051" s="9" t="n"/>
      <c r="J2051" s="9" t="n"/>
      <c r="K2051" s="9" t="n">
        <v>-19.27</v>
      </c>
    </row>
    <row r="2052" ht="15" customFormat="1" customHeight="1" s="5">
      <c r="A2052" s="81" t="n">
        <v>45872</v>
      </c>
      <c r="B2052" s="82" t="n">
        <v>0.7340277777777777</v>
      </c>
      <c r="C2052" s="5" t="inlineStr">
        <is>
          <t>Amazon</t>
        </is>
      </c>
      <c r="D2052" s="5" t="n">
        <v>1</v>
      </c>
      <c r="F2052" s="6" t="inlineStr">
        <is>
          <t>112-1228210-9433853</t>
        </is>
      </c>
      <c r="G2052" s="10" t="n"/>
      <c r="H2052" s="9" t="inlineStr">
        <is>
          <t>**RETURNED** from Joe Wu: Tax</t>
        </is>
      </c>
      <c r="I2052" s="9" t="n"/>
      <c r="J2052" s="9" t="n"/>
      <c r="K2052" s="9" t="n">
        <v>-3.54</v>
      </c>
    </row>
    <row r="2053" ht="15" customFormat="1" customHeight="1" s="5">
      <c r="A2053" s="81" t="n">
        <v>45872</v>
      </c>
      <c r="B2053" s="82" t="n">
        <v>0.2916666666666667</v>
      </c>
      <c r="C2053" s="5" t="inlineStr">
        <is>
          <t>YMCA</t>
        </is>
      </c>
      <c r="D2053" s="5" t="n">
        <v>1</v>
      </c>
      <c r="F2053" s="6" t="inlineStr">
        <is>
          <t>24207175</t>
        </is>
      </c>
      <c r="G2053" s="10" t="n"/>
      <c r="H2053" s="9" t="inlineStr">
        <is>
          <t>August YMCA monthly dues</t>
        </is>
      </c>
      <c r="I2053" s="9" t="n"/>
      <c r="J2053" s="9" t="n"/>
      <c r="K2053" s="9" t="n">
        <v>65</v>
      </c>
    </row>
    <row r="2054" ht="15" customFormat="1" customHeight="1" s="5">
      <c r="A2054" s="81" t="n">
        <v>45871</v>
      </c>
      <c r="B2054" s="82" t="n">
        <v>0.7645833333333333</v>
      </c>
      <c r="C2054" s="5" t="inlineStr">
        <is>
          <t>Pho Real Saigon Hampden</t>
        </is>
      </c>
      <c r="E2054" s="5" t="n">
        <v>1</v>
      </c>
      <c r="F2054" s="6" t="inlineStr">
        <is>
          <t>000006</t>
        </is>
      </c>
      <c r="G2054" s="10" t="inlineStr">
        <is>
          <t>6B</t>
        </is>
      </c>
      <c r="H2054" s="9" t="inlineStr">
        <is>
          <t>Chicken Pad Thai, Medium Spicy</t>
        </is>
      </c>
      <c r="I2054" s="9" t="n">
        <v>1</v>
      </c>
      <c r="J2054" s="9" t="inlineStr">
        <is>
          <t>cnt</t>
        </is>
      </c>
      <c r="K2054" s="9" t="n">
        <v>15.5</v>
      </c>
    </row>
    <row r="2055" ht="15" customFormat="1" customHeight="1" s="5">
      <c r="A2055" s="81" t="n">
        <v>45871</v>
      </c>
      <c r="B2055" s="82" t="n">
        <v>0.7645833333333333</v>
      </c>
      <c r="C2055" s="5" t="inlineStr">
        <is>
          <t>Pho Real Saigon Hampden</t>
        </is>
      </c>
      <c r="E2055" s="5" t="n">
        <v>1</v>
      </c>
      <c r="F2055" s="6" t="inlineStr">
        <is>
          <t>000006</t>
        </is>
      </c>
      <c r="G2055" s="10" t="inlineStr">
        <is>
          <t>3P</t>
        </is>
      </c>
      <c r="H2055" s="9" t="inlineStr">
        <is>
          <t>Rare Steak, Tendon small pho (got the tendon only, and it was delicious)</t>
        </is>
      </c>
      <c r="I2055" s="9" t="n">
        <v>1</v>
      </c>
      <c r="J2055" s="9" t="inlineStr">
        <is>
          <t>cnt</t>
        </is>
      </c>
      <c r="K2055" s="9" t="n">
        <v>12.95</v>
      </c>
    </row>
    <row r="2056" ht="15" customFormat="1" customHeight="1" s="5">
      <c r="A2056" s="81" t="n">
        <v>45871</v>
      </c>
      <c r="B2056" s="82" t="n">
        <v>0.7645833333333333</v>
      </c>
      <c r="C2056" s="5" t="inlineStr">
        <is>
          <t>Pho Real Saigon Hampden</t>
        </is>
      </c>
      <c r="E2056" s="5" t="n">
        <v>1</v>
      </c>
      <c r="F2056" s="6" t="inlineStr">
        <is>
          <t>000006</t>
        </is>
      </c>
      <c r="G2056" s="10" t="inlineStr">
        <is>
          <t>8A</t>
        </is>
      </c>
      <c r="H2056" s="9" t="inlineStr">
        <is>
          <t>Crispy Egg Rolls (just meh complared to pho for u)</t>
        </is>
      </c>
      <c r="I2056" s="9" t="n">
        <v>1</v>
      </c>
      <c r="J2056" s="9" t="inlineStr">
        <is>
          <t>cnt</t>
        </is>
      </c>
      <c r="K2056" s="9" t="n">
        <v>9.949999999999999</v>
      </c>
    </row>
    <row r="2057" ht="15" customFormat="1" customHeight="1" s="5">
      <c r="A2057" s="81" t="n">
        <v>45871</v>
      </c>
      <c r="B2057" s="82" t="n">
        <v>0.7645833333333333</v>
      </c>
      <c r="C2057" s="5" t="inlineStr">
        <is>
          <t>Pho Real Saigon Hampden</t>
        </is>
      </c>
      <c r="E2057" s="5" t="n">
        <v>1</v>
      </c>
      <c r="F2057" s="6" t="inlineStr">
        <is>
          <t>000006</t>
        </is>
      </c>
      <c r="G2057" s="10" t="n"/>
      <c r="H2057" s="9" t="inlineStr">
        <is>
          <t>Sales Tax 8.81%</t>
        </is>
      </c>
      <c r="I2057" s="9" t="n">
        <v>3</v>
      </c>
      <c r="J2057" s="9" t="inlineStr">
        <is>
          <t>cnt</t>
        </is>
      </c>
      <c r="K2057" s="9" t="n">
        <v>3.38</v>
      </c>
    </row>
    <row r="2058" ht="15" customFormat="1" customHeight="1" s="5">
      <c r="A2058" s="81" t="n">
        <v>45871</v>
      </c>
      <c r="B2058" s="82" t="n">
        <v>0.4474421296296296</v>
      </c>
      <c r="C2058" s="5" t="inlineStr">
        <is>
          <t>CO DMV</t>
        </is>
      </c>
      <c r="D2058" s="5" t="n">
        <v>1</v>
      </c>
      <c r="F2058" s="6" t="inlineStr">
        <is>
          <t>253531626</t>
        </is>
      </c>
      <c r="G2058" s="10" t="n"/>
      <c r="H2058" s="9" t="inlineStr">
        <is>
          <t>Arapahoe County - DRIVES Motor Vehicle Transaction</t>
        </is>
      </c>
      <c r="I2058" s="9" t="n">
        <v>1</v>
      </c>
      <c r="J2058" s="9" t="inlineStr">
        <is>
          <t>cnt</t>
        </is>
      </c>
      <c r="K2058" s="9" t="n">
        <v>99</v>
      </c>
    </row>
    <row r="2059" ht="15" customFormat="1" customHeight="1" s="5">
      <c r="A2059" s="81" t="n">
        <v>45871</v>
      </c>
      <c r="B2059" s="82" t="n">
        <v>0.4474421296296296</v>
      </c>
      <c r="C2059" s="5" t="inlineStr">
        <is>
          <t>CO DMV</t>
        </is>
      </c>
      <c r="D2059" s="5" t="n">
        <v>1</v>
      </c>
      <c r="F2059" s="6" t="inlineStr">
        <is>
          <t>253531626</t>
        </is>
      </c>
      <c r="G2059" s="10" t="n"/>
      <c r="H2059" s="9" t="inlineStr">
        <is>
          <t>Service Fee (to submit claim online)</t>
        </is>
      </c>
      <c r="I2059" s="9" t="n">
        <v>1</v>
      </c>
      <c r="J2059" s="9" t="inlineStr">
        <is>
          <t>cnt</t>
        </is>
      </c>
      <c r="K2059" s="9" t="n">
        <v>1</v>
      </c>
    </row>
    <row r="2060" ht="15" customFormat="1" customHeight="1" s="5">
      <c r="A2060" s="81" t="n">
        <v>45870</v>
      </c>
      <c r="B2060" s="82" t="n">
        <v>0.7916666666666666</v>
      </c>
      <c r="C2060" s="5" t="inlineStr">
        <is>
          <t>Melbourne Hotel Melby Downtown</t>
        </is>
      </c>
      <c r="D2060" s="5" t="n">
        <v>1</v>
      </c>
      <c r="F2060" s="6" t="n"/>
      <c r="G2060" s="10" t="n"/>
      <c r="H2060" s="18" t="inlineStr">
        <is>
          <t>Nasty Pineapple "Cider"</t>
        </is>
      </c>
      <c r="I2060" s="9" t="n"/>
      <c r="J2060" s="9" t="n"/>
      <c r="K2060" s="85" t="n">
        <v>5.35</v>
      </c>
    </row>
    <row r="2061" ht="15" customFormat="1" customHeight="1" s="5">
      <c r="A2061" s="81" t="n">
        <v>45870</v>
      </c>
      <c r="B2061" s="82" t="n">
        <v>0.6784722222222223</v>
      </c>
      <c r="C2061" s="5" t="inlineStr">
        <is>
          <t>Tyndall Green</t>
        </is>
      </c>
      <c r="D2061" s="5" t="n">
        <v>1</v>
      </c>
      <c r="F2061" s="6" t="inlineStr">
        <is>
          <t>390495339</t>
        </is>
      </c>
      <c r="G2061" s="15" t="n"/>
      <c r="H2061" s="9" t="inlineStr">
        <is>
          <t>HOA Tyndall Green July Payment</t>
        </is>
      </c>
      <c r="I2061" s="9" t="n">
        <v>1</v>
      </c>
      <c r="J2061" s="9" t="inlineStr">
        <is>
          <t>cnt</t>
        </is>
      </c>
      <c r="K2061" s="9" t="n">
        <v>331.12</v>
      </c>
    </row>
    <row r="2062" ht="15" customFormat="1" customHeight="1" s="5">
      <c r="A2062" s="81" t="n">
        <v>45870</v>
      </c>
      <c r="B2062" s="82" t="n">
        <v>0.647974537037037</v>
      </c>
      <c r="C2062" s="5" t="inlineStr">
        <is>
          <t>Gates Tennis Center</t>
        </is>
      </c>
      <c r="D2062" s="5" t="n">
        <v>1</v>
      </c>
      <c r="F2062" s="6" t="inlineStr">
        <is>
          <t>861123</t>
        </is>
      </c>
      <c r="G2062" s="10" t="n"/>
      <c r="H2062" s="9" t="inlineStr">
        <is>
          <t>1 Hour Pickleball Court</t>
        </is>
      </c>
      <c r="I2062" s="9" t="n">
        <v>1</v>
      </c>
      <c r="J2062" s="9" t="inlineStr">
        <is>
          <t>cnt</t>
        </is>
      </c>
      <c r="K2062" s="9" t="n">
        <v>7</v>
      </c>
    </row>
    <row r="2063" ht="15" customFormat="1" customHeight="1" s="5">
      <c r="A2063" s="81" t="n">
        <v>45870</v>
      </c>
      <c r="B2063" s="82" t="n">
        <v>0.4819444444444445</v>
      </c>
      <c r="C2063" s="5" t="inlineStr">
        <is>
          <t>House Denver</t>
        </is>
      </c>
      <c r="D2063" s="5" t="n">
        <v>1</v>
      </c>
      <c r="F2063" s="6" t="n">
        <v>53852722946</v>
      </c>
      <c r="G2063" s="10" t="n"/>
      <c r="H2063" s="9" t="inlineStr">
        <is>
          <t>Monthly overflow chunk of 2025 tithe bunched into 2024. This transaction was actually made on 12/31/25, but it is logged against 2025 budget.</t>
        </is>
      </c>
      <c r="I2063" s="9" t="n"/>
      <c r="J2063" s="9" t="n"/>
      <c r="K2063" s="9">
        <f>(9500-8750.43)/12</f>
        <v/>
      </c>
    </row>
    <row r="2064" ht="15" customFormat="1" customHeight="1" s="5">
      <c r="A2064" s="81" t="n">
        <v>45870</v>
      </c>
      <c r="B2064" s="82" t="n">
        <v>0.4819444444444445</v>
      </c>
      <c r="C2064" s="5" t="inlineStr">
        <is>
          <t>House Denver</t>
        </is>
      </c>
      <c r="D2064" s="5" t="n">
        <v>1</v>
      </c>
      <c r="F2064" s="6" t="n">
        <v>53852722946</v>
      </c>
      <c r="G2064" s="10" t="n"/>
      <c r="H2064" s="9" t="inlineStr">
        <is>
          <t>Monthly chunk of 2025 tithe bunched into 2024. This transaction was actually made on 12/31/25, but it is logged against 2025 budget.</t>
        </is>
      </c>
      <c r="I2064" s="9" t="n"/>
      <c r="J2064" s="9" t="n"/>
      <c r="K2064" s="9" t="n">
        <v>628.3222669733376</v>
      </c>
    </row>
    <row r="2065" ht="15" customFormat="1" customHeight="1" s="5">
      <c r="A2065" s="81" t="n">
        <v>45870</v>
      </c>
      <c r="B2065" s="82" t="n">
        <v>0.2916666666666667</v>
      </c>
      <c r="C2065" s="5" t="inlineStr">
        <is>
          <t>Lakeview Mortgage (??)</t>
        </is>
      </c>
      <c r="D2065" s="5" t="n">
        <v>1</v>
      </c>
      <c r="F2065" s="6" t="inlineStr">
        <is>
          <t>0068721927_05</t>
        </is>
      </c>
      <c r="G2065" s="10" t="n"/>
      <c r="H2065" s="9" t="inlineStr">
        <is>
          <t>Interest</t>
        </is>
      </c>
      <c r="I2065" s="9" t="n"/>
      <c r="J2065" s="9" t="n"/>
      <c r="K2065" s="9" t="n">
        <v>1162.68</v>
      </c>
    </row>
    <row r="2066" ht="15" customFormat="1" customHeight="1" s="5">
      <c r="A2066" s="81" t="n">
        <v>45870</v>
      </c>
      <c r="B2066" s="82" t="n">
        <v>0.2916666666666667</v>
      </c>
      <c r="C2066" s="5" t="inlineStr">
        <is>
          <t>Lakeview Mortgage (??)</t>
        </is>
      </c>
      <c r="D2066" s="5" t="n">
        <v>1</v>
      </c>
      <c r="F2066" s="6" t="inlineStr">
        <is>
          <t>0068721927_05</t>
        </is>
      </c>
      <c r="G2066" s="10" t="n"/>
      <c r="H2066" s="9" t="inlineStr">
        <is>
          <t>Principal</t>
        </is>
      </c>
      <c r="I2066" s="9" t="n"/>
      <c r="J2066" s="9" t="n"/>
      <c r="K2066" s="9" t="n">
        <v>251.8</v>
      </c>
    </row>
    <row r="2067" ht="15" customFormat="1" customHeight="1" s="5">
      <c r="A2067" s="81" t="n">
        <v>45870</v>
      </c>
      <c r="B2067" s="82" t="n">
        <v>0.2916666666666667</v>
      </c>
      <c r="C2067" s="5" t="inlineStr">
        <is>
          <t>Lakeview Mortgage (??)</t>
        </is>
      </c>
      <c r="D2067" s="5" t="n">
        <v>1</v>
      </c>
      <c r="F2067" s="6" t="inlineStr">
        <is>
          <t>0068721927_05</t>
        </is>
      </c>
      <c r="G2067" s="10" t="n"/>
      <c r="H2067" s="9" t="inlineStr">
        <is>
          <t>Taxes and Insurance ESCROW</t>
        </is>
      </c>
      <c r="I2067" s="9" t="n"/>
      <c r="J2067" s="9" t="n"/>
      <c r="K2067" s="9" t="n">
        <v>156.8</v>
      </c>
    </row>
    <row r="2068" ht="15" customFormat="1" customHeight="1" s="5">
      <c r="A2068" s="81" t="n">
        <v>45870</v>
      </c>
      <c r="B2068" s="82" t="n">
        <v>0.2916666666666667</v>
      </c>
      <c r="C2068" s="5" t="inlineStr">
        <is>
          <t>USAA</t>
        </is>
      </c>
      <c r="D2068" s="5" t="n">
        <v>1</v>
      </c>
      <c r="F2068" s="6" t="inlineStr">
        <is>
          <t>244921652131002109027</t>
        </is>
      </c>
      <c r="G2068" s="10" t="n"/>
      <c r="H2068" s="9" t="inlineStr">
        <is>
          <t>Car insurance payment</t>
        </is>
      </c>
      <c r="I2068" s="9" t="n"/>
      <c r="J2068" s="9" t="n"/>
      <c r="K2068" s="9" t="n">
        <v>722.24</v>
      </c>
    </row>
    <row r="2069" ht="15" customFormat="1" customHeight="1" s="5">
      <c r="A2069" s="81" t="n">
        <v>45870</v>
      </c>
      <c r="B2069" s="82" t="n">
        <v>0.2916666666666667</v>
      </c>
      <c r="C2069" s="5" t="inlineStr">
        <is>
          <t>Allegacy FCU</t>
        </is>
      </c>
      <c r="D2069" s="5" t="n">
        <v>1</v>
      </c>
      <c r="F2069" s="6" t="inlineStr">
        <is>
          <t>DepositCarPlusMisc</t>
        </is>
      </c>
      <c r="G2069" s="10" t="n"/>
      <c r="H2069" s="18" t="inlineStr">
        <is>
          <t>Money from Wus for 85 shoes, -20 baby food, 40 for gas to airport, all ** expenses</t>
        </is>
      </c>
      <c r="I2069" s="9" t="n"/>
      <c r="J2069" s="9" t="n"/>
      <c r="K2069" s="85" t="n">
        <v>-400</v>
      </c>
    </row>
    <row r="2070" ht="15" customFormat="1" customHeight="1" s="5">
      <c r="A2070" s="81" t="n">
        <v>45869</v>
      </c>
      <c r="B2070" s="82" t="n">
        <v>0.84375</v>
      </c>
      <c r="C2070" s="5" t="inlineStr">
        <is>
          <t>Amazon</t>
        </is>
      </c>
      <c r="D2070" s="5" t="n">
        <v>1</v>
      </c>
      <c r="F2070" s="6" t="inlineStr">
        <is>
          <t>111-6994399-6904255</t>
        </is>
      </c>
      <c r="G2070" s="10" t="n"/>
      <c r="H2070" s="18" t="inlineStr">
        <is>
          <t>Thieves Household Cleaner | 14.4 oz | Plant-Based Multi-Surface Solution Infused with Essential Oils | Dilute for Floors, Carpets, Glass, Counters, Appliances, and General Home Cleaning Sold by: Epic Global</t>
        </is>
      </c>
      <c r="I2070" s="9" t="n">
        <v>14.4</v>
      </c>
      <c r="J2070" s="9" t="inlineStr">
        <is>
          <t>oz</t>
        </is>
      </c>
      <c r="K2070" s="85" t="n">
        <v>38.58</v>
      </c>
    </row>
    <row r="2071" ht="15" customFormat="1" customHeight="1" s="5">
      <c r="A2071" s="81" t="n">
        <v>45869</v>
      </c>
      <c r="B2071" s="82" t="n">
        <v>0.84375</v>
      </c>
      <c r="C2071" s="5" t="inlineStr">
        <is>
          <t>Amazon</t>
        </is>
      </c>
      <c r="D2071" s="5" t="n">
        <v>1</v>
      </c>
      <c r="F2071" s="6" t="inlineStr">
        <is>
          <t>111-6994399-6904255</t>
        </is>
      </c>
      <c r="G2071" s="10" t="n"/>
      <c r="H2071" s="18" t="inlineStr">
        <is>
          <t>Tax</t>
        </is>
      </c>
      <c r="I2071" s="9" t="n">
        <v>14.4</v>
      </c>
      <c r="J2071" s="9" t="inlineStr">
        <is>
          <t>oz</t>
        </is>
      </c>
      <c r="K2071" s="85" t="n">
        <v>3.09</v>
      </c>
    </row>
    <row r="2072" ht="15" customFormat="1" customHeight="1" s="5">
      <c r="A2072" s="81" t="n">
        <v>45869</v>
      </c>
      <c r="B2072" s="82" t="n">
        <v>0.7986111111111112</v>
      </c>
      <c r="C2072" s="5" t="inlineStr">
        <is>
          <t>Venmo</t>
        </is>
      </c>
      <c r="D2072" s="5" t="n">
        <v>1</v>
      </c>
      <c r="F2072" s="6" t="inlineStr">
        <is>
          <t>4389277135187304991</t>
        </is>
      </c>
      <c r="G2072" s="10" t="n"/>
      <c r="H2072" s="18" t="inlineStr">
        <is>
          <t>Venmo to Wus for Costco Shop Card return</t>
        </is>
      </c>
      <c r="I2072" s="9" t="n">
        <v>1</v>
      </c>
      <c r="J2072" s="9" t="inlineStr">
        <is>
          <t>cnt</t>
        </is>
      </c>
      <c r="K2072" s="85" t="n">
        <v>38.87</v>
      </c>
    </row>
    <row r="2073" ht="15" customFormat="1" customHeight="1" s="5">
      <c r="A2073" s="81" t="n">
        <v>45869</v>
      </c>
      <c r="B2073" s="82" t="n">
        <v>0.7819444444444444</v>
      </c>
      <c r="C2073" s="5" t="inlineStr">
        <is>
          <t>Costco</t>
        </is>
      </c>
      <c r="E2073" s="5" t="n">
        <v>1</v>
      </c>
      <c r="F2073" s="6" t="inlineStr">
        <is>
          <t>439 205 277 705</t>
        </is>
      </c>
      <c r="G2073" s="15" t="inlineStr">
        <is>
          <t>1489812</t>
        </is>
      </c>
      <c r="H2073" s="18" t="inlineStr">
        <is>
          <t>Puma Socks Eli 10 pairs</t>
        </is>
      </c>
      <c r="I2073" s="9" t="n">
        <v>10</v>
      </c>
      <c r="J2073" s="9" t="inlineStr">
        <is>
          <t>cnt</t>
        </is>
      </c>
      <c r="K2073" s="85" t="inlineStr">
        <is>
          <t>14.79 A</t>
        </is>
      </c>
    </row>
    <row r="2074" ht="15" customFormat="1" customHeight="1" s="5">
      <c r="A2074" s="81" t="n">
        <v>45869</v>
      </c>
      <c r="B2074" s="82" t="n">
        <v>0.7819444444444444</v>
      </c>
      <c r="C2074" s="5" t="inlineStr">
        <is>
          <t>Costco</t>
        </is>
      </c>
      <c r="E2074" s="5" t="n">
        <v>1</v>
      </c>
      <c r="F2074" s="6" t="inlineStr">
        <is>
          <t>439 205 277 705</t>
        </is>
      </c>
      <c r="G2074" s="10" t="n"/>
      <c r="H2074" s="18" t="inlineStr">
        <is>
          <t>Tax A 8.00%</t>
        </is>
      </c>
      <c r="I2074" s="9" t="n">
        <v>10</v>
      </c>
      <c r="J2074" s="9" t="inlineStr">
        <is>
          <t>cnt</t>
        </is>
      </c>
      <c r="K2074" s="85" t="n">
        <v>1.18</v>
      </c>
    </row>
    <row r="2075" ht="15" customFormat="1" customHeight="1" s="5">
      <c r="A2075" s="81" t="n">
        <v>45869</v>
      </c>
      <c r="B2075" s="82" t="n">
        <v>0.7819444444444444</v>
      </c>
      <c r="C2075" s="5" t="inlineStr">
        <is>
          <t>Costco</t>
        </is>
      </c>
      <c r="E2075" s="5" t="n">
        <v>1</v>
      </c>
      <c r="F2075" s="6" t="inlineStr">
        <is>
          <t>439 205 277 705</t>
        </is>
      </c>
      <c r="G2075" s="10" t="inlineStr">
        <is>
          <t>E 96716</t>
        </is>
      </c>
      <c r="H2075" s="18" t="inlineStr">
        <is>
          <t>Organic Spinach Box</t>
        </is>
      </c>
      <c r="I2075" s="9" t="n">
        <v>16</v>
      </c>
      <c r="J2075" s="9" t="inlineStr">
        <is>
          <t>oz</t>
        </is>
      </c>
      <c r="K2075" s="85" t="n">
        <v>3.89</v>
      </c>
    </row>
    <row r="2076" ht="15" customFormat="1" customHeight="1" s="5">
      <c r="A2076" s="81" t="n">
        <v>45869</v>
      </c>
      <c r="B2076" s="82" t="n">
        <v>0.7819444444444444</v>
      </c>
      <c r="C2076" s="5" t="inlineStr">
        <is>
          <t>Costco</t>
        </is>
      </c>
      <c r="E2076" s="5" t="n">
        <v>1</v>
      </c>
      <c r="F2076" s="6" t="inlineStr">
        <is>
          <t>439 205 277 705</t>
        </is>
      </c>
      <c r="G2076" s="10" t="inlineStr">
        <is>
          <t>E 27003</t>
        </is>
      </c>
      <c r="H2076" s="18" t="inlineStr">
        <is>
          <t>Strawberries</t>
        </is>
      </c>
      <c r="I2076" s="9" t="n">
        <v>2</v>
      </c>
      <c r="J2076" s="9" t="inlineStr">
        <is>
          <t>lb</t>
        </is>
      </c>
      <c r="K2076" s="85" t="n">
        <v>3.79</v>
      </c>
    </row>
    <row r="2077" ht="15" customFormat="1" customHeight="1" s="5">
      <c r="A2077" s="81" t="n">
        <v>45869</v>
      </c>
      <c r="B2077" s="82" t="n">
        <v>0.7819444444444444</v>
      </c>
      <c r="C2077" s="5" t="inlineStr">
        <is>
          <t>Costco</t>
        </is>
      </c>
      <c r="E2077" s="5" t="n">
        <v>1</v>
      </c>
      <c r="F2077" s="6" t="inlineStr">
        <is>
          <t>439 205 277 705</t>
        </is>
      </c>
      <c r="G2077" s="10" t="inlineStr">
        <is>
          <t>E 1836461</t>
        </is>
      </c>
      <c r="H2077" s="18" t="inlineStr">
        <is>
          <t>Quail Eggs 54 cnt x 0.26 oz -- "Stewed" / "Salt Baked"</t>
        </is>
      </c>
      <c r="I2077" s="9" t="n">
        <v>14.1</v>
      </c>
      <c r="J2077" s="9" t="inlineStr">
        <is>
          <t>oz</t>
        </is>
      </c>
      <c r="K2077" s="85" t="n">
        <v>9.99</v>
      </c>
    </row>
    <row r="2078" ht="15" customFormat="1" customHeight="1" s="5">
      <c r="A2078" s="81" t="n">
        <v>45869</v>
      </c>
      <c r="B2078" s="82" t="n">
        <v>0.7819444444444444</v>
      </c>
      <c r="C2078" s="5" t="inlineStr">
        <is>
          <t>Costco</t>
        </is>
      </c>
      <c r="E2078" s="5" t="n">
        <v>1</v>
      </c>
      <c r="F2078" s="6" t="inlineStr">
        <is>
          <t>439 205 277 705</t>
        </is>
      </c>
      <c r="G2078" s="10" t="inlineStr">
        <is>
          <t>E 1294229</t>
        </is>
      </c>
      <c r="H2078" s="18" t="inlineStr">
        <is>
          <t>Local Honey</t>
        </is>
      </c>
      <c r="I2078" s="9" t="n">
        <v>3</v>
      </c>
      <c r="J2078" s="9" t="inlineStr">
        <is>
          <t>lb</t>
        </is>
      </c>
      <c r="K2078" s="85" t="n">
        <v>13.99</v>
      </c>
    </row>
    <row r="2079" ht="15" customFormat="1" customHeight="1" s="5">
      <c r="A2079" s="81" t="n">
        <v>45869</v>
      </c>
      <c r="B2079" s="82" t="n">
        <v>0.7819444444444444</v>
      </c>
      <c r="C2079" s="5" t="inlineStr">
        <is>
          <t>Costco</t>
        </is>
      </c>
      <c r="E2079" s="5" t="n">
        <v>1</v>
      </c>
      <c r="F2079" s="6" t="inlineStr">
        <is>
          <t>439 205 277 705</t>
        </is>
      </c>
      <c r="G2079" s="10" t="inlineStr">
        <is>
          <t>E 21046</t>
        </is>
      </c>
      <c r="H2079" s="18" t="inlineStr">
        <is>
          <t>Tomato Medley Colored</t>
        </is>
      </c>
      <c r="I2079" s="9" t="n">
        <v>2</v>
      </c>
      <c r="J2079" s="9" t="inlineStr">
        <is>
          <t>lb</t>
        </is>
      </c>
      <c r="K2079" s="85" t="n">
        <v>5.99</v>
      </c>
    </row>
    <row r="2080" ht="15" customFormat="1" customHeight="1" s="5">
      <c r="A2080" s="81" t="n">
        <v>45869</v>
      </c>
      <c r="B2080" s="82" t="n">
        <v>0.7819444444444444</v>
      </c>
      <c r="C2080" s="5" t="inlineStr">
        <is>
          <t>Costco</t>
        </is>
      </c>
      <c r="E2080" s="5" t="n">
        <v>1</v>
      </c>
      <c r="F2080" s="6" t="inlineStr">
        <is>
          <t>439 205 277 705</t>
        </is>
      </c>
      <c r="G2080" s="10" t="inlineStr">
        <is>
          <t>E 2</t>
        </is>
      </c>
      <c r="H2080" s="18" t="inlineStr">
        <is>
          <t>Whole Milk</t>
        </is>
      </c>
      <c r="I2080" s="9" t="n">
        <v>2</v>
      </c>
      <c r="J2080" s="9" t="inlineStr">
        <is>
          <t>gal</t>
        </is>
      </c>
      <c r="K2080" s="85" t="n">
        <v>6.69</v>
      </c>
    </row>
    <row r="2081" ht="15" customFormat="1" customHeight="1" s="5">
      <c r="A2081" s="81" t="n">
        <v>45869</v>
      </c>
      <c r="B2081" s="82" t="n">
        <v>0.7819444444444444</v>
      </c>
      <c r="C2081" s="5" t="inlineStr">
        <is>
          <t>Costco</t>
        </is>
      </c>
      <c r="E2081" s="5" t="n">
        <v>1</v>
      </c>
      <c r="F2081" s="6" t="inlineStr">
        <is>
          <t>439 205 277 705</t>
        </is>
      </c>
      <c r="G2081" s="10" t="inlineStr">
        <is>
          <t>E 1336065</t>
        </is>
      </c>
      <c r="H2081" s="18" t="inlineStr">
        <is>
          <t>Organic Avocado Cups, 16 x 2 oz cups</t>
        </is>
      </c>
      <c r="I2081" s="9" t="n">
        <v>32</v>
      </c>
      <c r="J2081" s="9" t="inlineStr">
        <is>
          <t>oz</t>
        </is>
      </c>
      <c r="K2081" s="85" t="n">
        <v>13.99</v>
      </c>
    </row>
    <row r="2082" ht="15" customFormat="1" customHeight="1" s="5">
      <c r="A2082" s="81" t="n">
        <v>45869</v>
      </c>
      <c r="B2082" s="82" t="n">
        <v>0.7819444444444444</v>
      </c>
      <c r="C2082" s="5" t="inlineStr">
        <is>
          <t>Costco</t>
        </is>
      </c>
      <c r="E2082" s="5" t="n">
        <v>1</v>
      </c>
      <c r="F2082" s="6" t="inlineStr">
        <is>
          <t>439 205 277 705</t>
        </is>
      </c>
      <c r="G2082" s="10" t="inlineStr">
        <is>
          <t>E 0000359473</t>
        </is>
      </c>
      <c r="H2082" s="18" t="inlineStr">
        <is>
          <t>**DISCOUNT** Avocado Cups</t>
        </is>
      </c>
      <c r="I2082" s="9" t="n">
        <v>32</v>
      </c>
      <c r="J2082" s="9" t="inlineStr">
        <is>
          <t>oz</t>
        </is>
      </c>
      <c r="K2082" s="85" t="inlineStr">
        <is>
          <t>3.50-</t>
        </is>
      </c>
    </row>
    <row r="2083" ht="15" customFormat="1" customHeight="1" s="5">
      <c r="A2083" s="81" t="n">
        <v>45869</v>
      </c>
      <c r="B2083" s="82" t="n">
        <v>0.7819444444444444</v>
      </c>
      <c r="C2083" s="5" t="inlineStr">
        <is>
          <t>Costco</t>
        </is>
      </c>
      <c r="E2083" s="5" t="n">
        <v>1</v>
      </c>
      <c r="F2083" s="6" t="inlineStr">
        <is>
          <t>439 205 277 705</t>
        </is>
      </c>
      <c r="G2083" s="10" t="inlineStr">
        <is>
          <t>E 17313</t>
        </is>
      </c>
      <c r="H2083" s="18" t="inlineStr">
        <is>
          <t>Steelhead Fish Fillets @$9.99/lb</t>
        </is>
      </c>
      <c r="I2083" s="9" t="n">
        <v>2.29</v>
      </c>
      <c r="J2083" s="9" t="inlineStr">
        <is>
          <t>lb</t>
        </is>
      </c>
      <c r="K2083" s="85" t="n">
        <v>22.88</v>
      </c>
    </row>
    <row r="2084" ht="15" customFormat="1" customHeight="1" s="5">
      <c r="A2084" s="81" t="n">
        <v>45869</v>
      </c>
      <c r="B2084" s="82" t="n">
        <v>0.7819444444444444</v>
      </c>
      <c r="C2084" s="5" t="inlineStr">
        <is>
          <t>Costco</t>
        </is>
      </c>
      <c r="E2084" s="5" t="n">
        <v>1</v>
      </c>
      <c r="F2084" s="6" t="inlineStr">
        <is>
          <t>439 205 277 705</t>
        </is>
      </c>
      <c r="G2084" s="10" t="inlineStr">
        <is>
          <t>E 47735</t>
        </is>
      </c>
      <c r="H2084" s="18" t="inlineStr">
        <is>
          <t>BNLS/SL BRST Boneless Skinless Chicken Breast @$2.99/lb</t>
        </is>
      </c>
      <c r="I2084" s="9" t="n">
        <v>7.32</v>
      </c>
      <c r="J2084" s="9" t="inlineStr">
        <is>
          <t>lb</t>
        </is>
      </c>
      <c r="K2084" s="85" t="n">
        <v>21.89</v>
      </c>
    </row>
    <row r="2085" ht="15" customFormat="1" customHeight="1" s="5">
      <c r="A2085" s="81" t="n">
        <v>45869</v>
      </c>
      <c r="B2085" s="82" t="n">
        <v>0.7819444444444444</v>
      </c>
      <c r="C2085" s="5" t="inlineStr">
        <is>
          <t>Costco</t>
        </is>
      </c>
      <c r="E2085" s="5" t="n">
        <v>1</v>
      </c>
      <c r="F2085" s="6" t="inlineStr">
        <is>
          <t>439 205 277 705</t>
        </is>
      </c>
      <c r="G2085" s="10" t="n"/>
      <c r="H2085" s="18" t="inlineStr">
        <is>
          <t>COSTCO SHOP CARD</t>
        </is>
      </c>
      <c r="I2085" s="9" t="n">
        <v>1</v>
      </c>
      <c r="J2085" s="9" t="inlineStr">
        <is>
          <t>cnt</t>
        </is>
      </c>
      <c r="K2085" s="85" t="n">
        <v>-38.87</v>
      </c>
    </row>
    <row r="2086" ht="15" customFormat="1" customHeight="1" s="5">
      <c r="A2086" s="81" t="n">
        <v>45869</v>
      </c>
      <c r="B2086" s="82" t="n">
        <v>0.75</v>
      </c>
      <c r="C2086" s="5" t="inlineStr">
        <is>
          <t>Melbourne Red Crab Juicy Seafood</t>
        </is>
      </c>
      <c r="D2086" s="5" t="n">
        <v>1</v>
      </c>
      <c r="F2086" s="6" t="n"/>
      <c r="G2086" s="10" t="n"/>
      <c r="H2086" s="18" t="inlineStr">
        <is>
          <t>Florida Lager (actually quite good)</t>
        </is>
      </c>
      <c r="I2086" s="9" t="n"/>
      <c r="J2086" s="9" t="n"/>
      <c r="K2086" s="85" t="n">
        <v>5</v>
      </c>
    </row>
    <row r="2087" ht="15" customFormat="1" customHeight="1" s="5">
      <c r="A2087" s="81" t="n">
        <v>45869</v>
      </c>
      <c r="B2087" s="82" t="n">
        <v>0.5590277777777778</v>
      </c>
      <c r="C2087" s="5" t="inlineStr">
        <is>
          <t>Walmart</t>
        </is>
      </c>
      <c r="D2087" s="5" t="n">
        <v>1</v>
      </c>
      <c r="F2087" s="6" t="inlineStr">
        <is>
          <t>2000136-01206168</t>
        </is>
      </c>
      <c r="G2087" s="10" t="n"/>
      <c r="H2087" s="18" t="inlineStr">
        <is>
          <t>(3 pack) King Arthur, Unbleached Bread Flour, Non-GMO Project Verified, Certified Kosher, No Preservatives, 5 lbs</t>
        </is>
      </c>
      <c r="I2087" s="9" t="n">
        <v>15</v>
      </c>
      <c r="J2087" s="9" t="inlineStr">
        <is>
          <t>lb</t>
        </is>
      </c>
      <c r="K2087" s="85" t="n">
        <v>16.74</v>
      </c>
    </row>
    <row r="2088" ht="15" customFormat="1" customHeight="1" s="5">
      <c r="A2088" s="81" t="n">
        <v>45869</v>
      </c>
      <c r="B2088" s="82" t="n">
        <v>0.2916666666666667</v>
      </c>
      <c r="C2088" s="5" t="inlineStr">
        <is>
          <t>Amazon</t>
        </is>
      </c>
      <c r="D2088" s="5" t="n">
        <v>1</v>
      </c>
      <c r="F2088" s="6" t="inlineStr">
        <is>
          <t>D01-8884872-0576206</t>
        </is>
      </c>
      <c r="G2088" s="17" t="n"/>
      <c r="H2088" s="9" t="inlineStr">
        <is>
          <t>AMAZON PRIME Student Membership Fee</t>
        </is>
      </c>
      <c r="I2088" s="5" t="n">
        <v>1</v>
      </c>
      <c r="J2088" s="5" t="inlineStr">
        <is>
          <t>cnt</t>
        </is>
      </c>
      <c r="K2088" s="5" t="n">
        <v>7.49</v>
      </c>
    </row>
    <row r="2089" ht="15" customFormat="1" customHeight="1" s="5">
      <c r="A2089" s="81" t="n">
        <v>45869</v>
      </c>
      <c r="B2089" s="82" t="n">
        <v>0.2916666666666667</v>
      </c>
      <c r="C2089" s="5" t="inlineStr">
        <is>
          <t>Amazon</t>
        </is>
      </c>
      <c r="D2089" s="5" t="n">
        <v>1</v>
      </c>
      <c r="F2089" s="6" t="inlineStr">
        <is>
          <t>D01-8884872-0576206</t>
        </is>
      </c>
      <c r="G2089" s="17" t="n"/>
      <c r="H2089" s="9" t="inlineStr">
        <is>
          <t>Tax</t>
        </is>
      </c>
      <c r="I2089" s="5" t="n">
        <v>1</v>
      </c>
      <c r="J2089" s="5" t="inlineStr">
        <is>
          <t>cnt</t>
        </is>
      </c>
      <c r="K2089" s="5" t="n">
        <v>0.6</v>
      </c>
    </row>
    <row r="2090" ht="15" customFormat="1" customHeight="1" s="5">
      <c r="A2090" s="81" t="n">
        <v>45869</v>
      </c>
      <c r="B2090" s="82" t="n">
        <v>0.2916666666666667</v>
      </c>
      <c r="C2090" s="5" t="inlineStr">
        <is>
          <t>Amazon</t>
        </is>
      </c>
      <c r="D2090" s="5" t="n">
        <v>1</v>
      </c>
      <c r="F2090" s="6" t="inlineStr">
        <is>
          <t>D01-8884872-0576206</t>
        </is>
      </c>
      <c r="G2090" s="17" t="n"/>
      <c r="H2090" s="9" t="inlineStr">
        <is>
          <t>**DISCOUNT** Rewards Points</t>
        </is>
      </c>
      <c r="I2090" s="5" t="n">
        <v>1</v>
      </c>
      <c r="J2090" s="5" t="inlineStr">
        <is>
          <t>cnt</t>
        </is>
      </c>
      <c r="K2090" s="5" t="n">
        <v>-1.83</v>
      </c>
    </row>
    <row r="2091" ht="15" customFormat="1" customHeight="1" s="5">
      <c r="A2091" s="81" t="n">
        <v>45868</v>
      </c>
      <c r="B2091" s="82" t="n">
        <v>0.6826388888888889</v>
      </c>
      <c r="C2091" s="5" t="inlineStr">
        <is>
          <t>Landing Rooftop, The</t>
        </is>
      </c>
      <c r="E2091" s="5" t="n">
        <v>1</v>
      </c>
      <c r="F2091" s="6" t="inlineStr">
        <is>
          <t>4168579</t>
        </is>
      </c>
      <c r="G2091" s="17" t="n"/>
      <c r="H2091" s="9" t="inlineStr">
        <is>
          <t>Caribe Harder Cider (terrible; just terrible)</t>
        </is>
      </c>
      <c r="I2091" s="5" t="n">
        <v>1</v>
      </c>
      <c r="J2091" s="5" t="inlineStr">
        <is>
          <t>cnt</t>
        </is>
      </c>
      <c r="K2091" s="5" t="n">
        <v>5</v>
      </c>
    </row>
    <row r="2092" ht="15" customFormat="1" customHeight="1" s="5">
      <c r="A2092" s="81" t="n">
        <v>45868</v>
      </c>
      <c r="B2092" s="82" t="n">
        <v>0.6826388888888889</v>
      </c>
      <c r="C2092" s="5" t="inlineStr">
        <is>
          <t>Landing Rooftop, The</t>
        </is>
      </c>
      <c r="E2092" s="5" t="n">
        <v>1</v>
      </c>
      <c r="F2092" s="6" t="inlineStr">
        <is>
          <t>4168579</t>
        </is>
      </c>
      <c r="G2092" s="17" t="n"/>
      <c r="H2092" s="9" t="inlineStr">
        <is>
          <t>Tax</t>
        </is>
      </c>
      <c r="I2092" s="5" t="n">
        <v>1</v>
      </c>
      <c r="J2092" s="5" t="inlineStr">
        <is>
          <t>cnt</t>
        </is>
      </c>
      <c r="K2092" s="5" t="n">
        <v>0.35</v>
      </c>
    </row>
    <row r="2093" ht="15" customFormat="1" customHeight="1" s="5">
      <c r="A2093" s="81" t="n">
        <v>45868</v>
      </c>
      <c r="B2093" s="82" t="n">
        <v>0.6426157407407408</v>
      </c>
      <c r="C2093" s="5" t="inlineStr">
        <is>
          <t>H-Mart</t>
        </is>
      </c>
      <c r="E2093" s="5" t="n">
        <v>1</v>
      </c>
      <c r="F2093" s="6" t="inlineStr">
        <is>
          <t>26652 253622</t>
        </is>
      </c>
      <c r="G2093" s="10" t="n"/>
      <c r="H2093" s="18" t="inlineStr">
        <is>
          <t>just groceries; other receipt is for eat out</t>
        </is>
      </c>
      <c r="I2093" s="9" t="n"/>
      <c r="J2093" s="9" t="n"/>
      <c r="K2093" s="85" t="n">
        <v>17.91</v>
      </c>
    </row>
    <row r="2094" ht="15" customFormat="1" customHeight="1" s="5">
      <c r="A2094" s="81" t="n">
        <v>45868</v>
      </c>
      <c r="B2094" s="82" t="n">
        <v>0.6426157407407408</v>
      </c>
      <c r="C2094" s="5" t="inlineStr">
        <is>
          <t>H-Mart</t>
        </is>
      </c>
      <c r="E2094" s="5" t="n">
        <v>1</v>
      </c>
      <c r="F2094" s="6" t="inlineStr">
        <is>
          <t>26652 253622</t>
        </is>
      </c>
      <c r="G2094" s="10" t="n"/>
      <c r="H2094" s="18" t="inlineStr">
        <is>
          <t>Joseph Wu Treat!</t>
        </is>
      </c>
      <c r="I2094" s="9" t="n"/>
      <c r="J2094" s="9" t="n"/>
      <c r="K2094" s="85" t="n">
        <v>-17.91</v>
      </c>
    </row>
    <row r="2095" ht="15" customFormat="1" customHeight="1" s="5">
      <c r="A2095" s="81" t="n">
        <v>45868</v>
      </c>
      <c r="B2095" s="82" t="n">
        <v>0.6307870370370371</v>
      </c>
      <c r="C2095" s="5" t="inlineStr">
        <is>
          <t>H-Mart</t>
        </is>
      </c>
      <c r="E2095" s="5" t="n">
        <v>1</v>
      </c>
      <c r="F2095" s="6" t="inlineStr">
        <is>
          <t>27446 253571</t>
        </is>
      </c>
      <c r="G2095" s="10" t="n"/>
      <c r="H2095" s="18" t="n"/>
      <c r="I2095" s="9" t="n"/>
      <c r="J2095" s="9" t="n"/>
      <c r="K2095" s="85" t="n">
        <v>89.04000000000001</v>
      </c>
    </row>
    <row r="2096" ht="15" customFormat="1" customHeight="1" s="5">
      <c r="A2096" s="81" t="n">
        <v>45868</v>
      </c>
      <c r="B2096" s="82" t="n">
        <v>0.6307870370370371</v>
      </c>
      <c r="C2096" s="5" t="inlineStr">
        <is>
          <t>H-Mart</t>
        </is>
      </c>
      <c r="E2096" s="5" t="n">
        <v>1</v>
      </c>
      <c r="F2096" s="6" t="inlineStr">
        <is>
          <t>27446 253571</t>
        </is>
      </c>
      <c r="G2096" s="10" t="n"/>
      <c r="H2096" s="18" t="inlineStr">
        <is>
          <t>Joseph Wu Treat!</t>
        </is>
      </c>
      <c r="I2096" s="9" t="n"/>
      <c r="J2096" s="9" t="n"/>
      <c r="K2096" s="85" t="n">
        <v>-89.04000000000001</v>
      </c>
    </row>
    <row r="2097" ht="15" customFormat="1" customHeight="1" s="5">
      <c r="A2097" s="81" t="n">
        <v>45868</v>
      </c>
      <c r="B2097" s="82" t="n"/>
      <c r="E2097" s="5" t="n">
        <v>1</v>
      </c>
      <c r="F2097" s="6" t="n"/>
      <c r="G2097" s="10" t="n"/>
      <c r="H2097" s="9" t="inlineStr">
        <is>
          <t>Lunch with Wu fam: chick fil a and burger king</t>
        </is>
      </c>
      <c r="I2097" s="9" t="n"/>
      <c r="J2097" s="9" t="n"/>
      <c r="K2097" s="85">
        <f>4.31+24.4</f>
        <v/>
      </c>
    </row>
    <row r="2098" ht="15" customFormat="1" customHeight="1" s="5">
      <c r="A2098" s="81" t="n">
        <v>45868</v>
      </c>
      <c r="B2098" s="82" t="n"/>
      <c r="E2098" s="5" t="n">
        <v>1</v>
      </c>
      <c r="F2098" s="6" t="n"/>
      <c r="G2098" s="10" t="n"/>
      <c r="H2098" s="9" t="inlineStr">
        <is>
          <t>Mary Wu Treat!</t>
        </is>
      </c>
      <c r="I2098" s="9" t="n"/>
      <c r="J2098" s="9" t="n"/>
      <c r="K2098" s="85" t="n">
        <v>-28.71</v>
      </c>
    </row>
    <row r="2099" ht="15" customFormat="1" customHeight="1" s="5">
      <c r="A2099" s="81" t="n">
        <v>45867</v>
      </c>
      <c r="B2099" s="82" t="n">
        <v>0.8021064814814814</v>
      </c>
      <c r="C2099" s="5" t="inlineStr">
        <is>
          <t>Slim Chicken's</t>
        </is>
      </c>
      <c r="E2099" s="5" t="n">
        <v>1</v>
      </c>
      <c r="F2099" s="6" t="n"/>
      <c r="G2099" s="10" t="n"/>
      <c r="H2099" s="9" t="inlineStr">
        <is>
          <t>Slims two jars</t>
        </is>
      </c>
      <c r="I2099" s="9" t="n"/>
      <c r="J2099" s="9" t="n"/>
      <c r="K2099" s="85" t="n">
        <v>16.37</v>
      </c>
    </row>
    <row r="2100" ht="15" customFormat="1" customHeight="1" s="5">
      <c r="A2100" s="81" t="n">
        <v>45867</v>
      </c>
      <c r="B2100" s="82" t="n">
        <v>0.8021064814814814</v>
      </c>
      <c r="C2100" s="5" t="inlineStr">
        <is>
          <t>Slim Chicken's</t>
        </is>
      </c>
      <c r="E2100" s="5" t="n">
        <v>1</v>
      </c>
      <c r="F2100" s="6" t="n"/>
      <c r="G2100" s="10" t="n"/>
      <c r="H2100" s="9" t="inlineStr">
        <is>
          <t>Mary Wu Treat!</t>
        </is>
      </c>
      <c r="I2100" s="9" t="n"/>
      <c r="J2100" s="9" t="n"/>
      <c r="K2100" s="85" t="n">
        <v>-16.37</v>
      </c>
    </row>
    <row r="2101" ht="15" customFormat="1" customHeight="1" s="5">
      <c r="A2101" s="81" t="n">
        <v>45867</v>
      </c>
      <c r="B2101" s="82" t="n">
        <v>0.6229166666666667</v>
      </c>
      <c r="C2101" s="5" t="inlineStr">
        <is>
          <t>Costco</t>
        </is>
      </c>
      <c r="E2101" s="5" t="n">
        <v>1</v>
      </c>
      <c r="F2101" s="6" t="inlineStr">
        <is>
          <t>98064</t>
        </is>
      </c>
      <c r="G2101" s="15" t="inlineStr">
        <is>
          <t>11</t>
        </is>
      </c>
      <c r="H2101" s="9" t="inlineStr">
        <is>
          <t>Subaru Gas 12.757 Gallons @ $2.539/gal</t>
        </is>
      </c>
      <c r="I2101" s="9" t="n">
        <v>12.757</v>
      </c>
      <c r="J2101" s="9" t="inlineStr">
        <is>
          <t>gal</t>
        </is>
      </c>
      <c r="K2101" s="85" t="n">
        <v>32.39</v>
      </c>
    </row>
    <row r="2102" ht="15" customFormat="1" customHeight="1" s="5">
      <c r="A2102" s="81" t="n">
        <v>45867</v>
      </c>
      <c r="B2102" s="82" t="n">
        <v>0.6229166666666667</v>
      </c>
      <c r="C2102" s="5" t="inlineStr">
        <is>
          <t>Costco</t>
        </is>
      </c>
      <c r="E2102" s="5" t="n">
        <v>1</v>
      </c>
      <c r="F2102" s="6" t="inlineStr">
        <is>
          <t>98064</t>
        </is>
      </c>
      <c r="G2102" s="10" t="n"/>
      <c r="H2102" s="9" t="inlineStr">
        <is>
          <t>Mary Wu Treat!</t>
        </is>
      </c>
      <c r="I2102" s="9" t="n">
        <v>12.757</v>
      </c>
      <c r="J2102" s="9" t="inlineStr">
        <is>
          <t>gal</t>
        </is>
      </c>
      <c r="K2102" s="85" t="n">
        <v>-32.39</v>
      </c>
    </row>
    <row r="2103" ht="15" customFormat="1" customHeight="1" s="5">
      <c r="A2103" s="81" t="n">
        <v>45866</v>
      </c>
      <c r="B2103" s="82" t="n">
        <v>0.6895833333333333</v>
      </c>
      <c r="C2103" s="5" t="inlineStr">
        <is>
          <t>Blackjack Pizza</t>
        </is>
      </c>
      <c r="D2103" s="5" t="n">
        <v>1</v>
      </c>
      <c r="F2103" s="6" t="inlineStr">
        <is>
          <t>930771689</t>
        </is>
      </c>
      <c r="G2103" s="10" t="n"/>
      <c r="H2103" s="9" t="inlineStr">
        <is>
          <t>1 Large Hand-tossed Piza, alfredo sauce + oliv eoil and garlic</t>
        </is>
      </c>
      <c r="I2103" s="9" t="n">
        <v>1</v>
      </c>
      <c r="J2103" s="9" t="inlineStr">
        <is>
          <t>cnt</t>
        </is>
      </c>
      <c r="K2103" s="85" t="n">
        <v>12.99</v>
      </c>
    </row>
    <row r="2104" ht="15" customFormat="1" customHeight="1" s="5">
      <c r="A2104" s="81" t="n">
        <v>45866</v>
      </c>
      <c r="B2104" s="82" t="n">
        <v>0.6895833333333333</v>
      </c>
      <c r="C2104" s="5" t="inlineStr">
        <is>
          <t>Blackjack Pizza</t>
        </is>
      </c>
      <c r="D2104" s="5" t="n">
        <v>1</v>
      </c>
      <c r="F2104" s="6" t="inlineStr">
        <is>
          <t>930771689</t>
        </is>
      </c>
      <c r="G2104" s="10" t="n"/>
      <c r="H2104" s="18" t="inlineStr">
        <is>
          <t>+ spinach topping</t>
        </is>
      </c>
      <c r="I2104" s="9" t="n">
        <v>1</v>
      </c>
      <c r="J2104" s="9" t="inlineStr">
        <is>
          <t>cnt</t>
        </is>
      </c>
      <c r="K2104" s="85" t="n">
        <v>2</v>
      </c>
    </row>
    <row r="2105" ht="15" customFormat="1" customHeight="1" s="5">
      <c r="A2105" s="81" t="n">
        <v>45866</v>
      </c>
      <c r="B2105" s="82" t="n">
        <v>0.6895833333333333</v>
      </c>
      <c r="C2105" s="5" t="inlineStr">
        <is>
          <t>Blackjack Pizza</t>
        </is>
      </c>
      <c r="D2105" s="5" t="n">
        <v>1</v>
      </c>
      <c r="F2105" s="6" t="inlineStr">
        <is>
          <t>930771689</t>
        </is>
      </c>
      <c r="G2105" s="10" t="n"/>
      <c r="H2105" s="18" t="inlineStr">
        <is>
          <t>+ Chicken topping</t>
        </is>
      </c>
      <c r="I2105" s="9" t="n">
        <v>1</v>
      </c>
      <c r="J2105" s="9" t="inlineStr">
        <is>
          <t>cnt</t>
        </is>
      </c>
      <c r="K2105" s="85" t="n">
        <v>2</v>
      </c>
    </row>
    <row r="2106" ht="15" customFormat="1" customHeight="1" s="5">
      <c r="A2106" s="81" t="n">
        <v>45866</v>
      </c>
      <c r="B2106" s="82" t="n">
        <v>0.6895833333333333</v>
      </c>
      <c r="C2106" s="5" t="inlineStr">
        <is>
          <t>Blackjack Pizza</t>
        </is>
      </c>
      <c r="D2106" s="5" t="n">
        <v>1</v>
      </c>
      <c r="F2106" s="6" t="inlineStr">
        <is>
          <t>930771689</t>
        </is>
      </c>
      <c r="G2106" s="10" t="n"/>
      <c r="H2106" s="18" t="inlineStr">
        <is>
          <t>+ green peppers topping</t>
        </is>
      </c>
      <c r="I2106" s="9" t="n">
        <v>1</v>
      </c>
      <c r="J2106" s="9" t="inlineStr">
        <is>
          <t>cnt</t>
        </is>
      </c>
      <c r="K2106" s="85" t="n">
        <v>2</v>
      </c>
    </row>
    <row r="2107" ht="15" customFormat="1" customHeight="1" s="5">
      <c r="A2107" s="81" t="n">
        <v>45866</v>
      </c>
      <c r="B2107" s="82" t="n">
        <v>0.6895833333333333</v>
      </c>
      <c r="C2107" s="5" t="inlineStr">
        <is>
          <t>Blackjack Pizza</t>
        </is>
      </c>
      <c r="D2107" s="5" t="n">
        <v>1</v>
      </c>
      <c r="F2107" s="6" t="inlineStr">
        <is>
          <t>930771689</t>
        </is>
      </c>
      <c r="G2107" s="10" t="n"/>
      <c r="H2107" s="18" t="inlineStr">
        <is>
          <t>+ tomatoes topping</t>
        </is>
      </c>
      <c r="I2107" s="9" t="n">
        <v>1</v>
      </c>
      <c r="J2107" s="9" t="inlineStr">
        <is>
          <t>cnt</t>
        </is>
      </c>
      <c r="K2107" s="85" t="n">
        <v>2</v>
      </c>
    </row>
    <row r="2108" ht="15" customFormat="1" customHeight="1" s="5">
      <c r="A2108" s="81" t="n">
        <v>45866</v>
      </c>
      <c r="B2108" s="82" t="n">
        <v>0.6895833333333333</v>
      </c>
      <c r="C2108" s="5" t="inlineStr">
        <is>
          <t>Blackjack Pizza</t>
        </is>
      </c>
      <c r="D2108" s="5" t="n">
        <v>1</v>
      </c>
      <c r="F2108" s="6" t="inlineStr">
        <is>
          <t>930771689</t>
        </is>
      </c>
      <c r="G2108" s="10" t="n"/>
      <c r="H2108" s="9" t="inlineStr">
        <is>
          <t>Large Hand Tossed Jackpot</t>
        </is>
      </c>
      <c r="I2108" s="9" t="n">
        <v>1</v>
      </c>
      <c r="J2108" s="9" t="inlineStr">
        <is>
          <t>cnt</t>
        </is>
      </c>
      <c r="K2108" s="85" t="n">
        <v>20.99</v>
      </c>
    </row>
    <row r="2109" ht="15" customFormat="1" customHeight="1" s="38">
      <c r="A2109" s="81" t="n">
        <v>45866</v>
      </c>
      <c r="B2109" s="82" t="n">
        <v>0.6895833333333333</v>
      </c>
      <c r="C2109" s="5" t="inlineStr">
        <is>
          <t>Blackjack Pizza</t>
        </is>
      </c>
      <c r="D2109" s="5" t="n">
        <v>1</v>
      </c>
      <c r="E2109" s="5" t="n"/>
      <c r="F2109" s="6" t="inlineStr">
        <is>
          <t>930771689</t>
        </is>
      </c>
      <c r="G2109" s="10" t="n"/>
      <c r="H2109" s="9" t="inlineStr">
        <is>
          <t>Tax</t>
        </is>
      </c>
      <c r="I2109" s="9" t="n">
        <v>2</v>
      </c>
      <c r="J2109" s="9" t="inlineStr">
        <is>
          <t>cnt</t>
        </is>
      </c>
      <c r="K2109" s="85" t="n">
        <v>1.78</v>
      </c>
    </row>
    <row r="2110" ht="15" customFormat="1" customHeight="1" s="5">
      <c r="A2110" s="81" t="n">
        <v>45866</v>
      </c>
      <c r="B2110" s="82" t="n">
        <v>0.6652083333333333</v>
      </c>
      <c r="C2110" s="5" t="inlineStr">
        <is>
          <t>IKEA</t>
        </is>
      </c>
      <c r="E2110" s="5" t="n">
        <v>1</v>
      </c>
      <c r="F2110" s="6" t="n"/>
      <c r="G2110" s="10" t="n"/>
      <c r="H2110" s="9" t="inlineStr">
        <is>
          <t>IKEA Mary Wu</t>
        </is>
      </c>
      <c r="I2110" s="9" t="n"/>
      <c r="J2110" s="9" t="n"/>
      <c r="K2110" s="85" t="n">
        <v>7.98</v>
      </c>
    </row>
    <row r="2111" ht="15" customFormat="1" customHeight="1" s="5">
      <c r="A2111" s="81" t="n">
        <v>45866</v>
      </c>
      <c r="B2111" s="82" t="n">
        <v>0.6652083333333333</v>
      </c>
      <c r="C2111" s="5" t="inlineStr">
        <is>
          <t>IKEA</t>
        </is>
      </c>
      <c r="E2111" s="5" t="n">
        <v>1</v>
      </c>
      <c r="F2111" s="6" t="n"/>
      <c r="G2111" s="10" t="n"/>
      <c r="H2111" s="9" t="inlineStr">
        <is>
          <t>Mary Wu Treat!</t>
        </is>
      </c>
      <c r="I2111" s="9" t="n"/>
      <c r="J2111" s="9" t="n"/>
      <c r="K2111" s="85" t="n">
        <v>-7.98</v>
      </c>
    </row>
    <row r="2112" ht="15" customFormat="1" customHeight="1" s="5">
      <c r="A2112" s="89" t="n">
        <v>45866</v>
      </c>
      <c r="B2112" s="82" t="n">
        <v>0.2916666666666667</v>
      </c>
      <c r="C2112" s="5" t="inlineStr">
        <is>
          <t>Nourish Dietician App</t>
        </is>
      </c>
      <c r="D2112" s="5" t="n">
        <v>1</v>
      </c>
      <c r="F2112" s="6" t="inlineStr">
        <is>
          <t>None_FullyCovered</t>
        </is>
      </c>
      <c r="G2112" s="17" t="inlineStr">
        <is>
          <t>2025213MD4435</t>
        </is>
      </c>
      <c r="H2112" s="9" t="inlineStr">
        <is>
          <t>7/28 Nourish follow-up call (Lauren Jamal)</t>
        </is>
      </c>
      <c r="I2112" s="5" t="n">
        <v>1</v>
      </c>
      <c r="J2112" s="5" t="inlineStr">
        <is>
          <t>cnt</t>
        </is>
      </c>
      <c r="K2112" s="5" t="n">
        <v>0</v>
      </c>
    </row>
    <row r="2113" ht="15" customFormat="1" customHeight="1" s="5">
      <c r="A2113" s="81" t="n">
        <v>45866</v>
      </c>
      <c r="B2113" s="82" t="n">
        <v>0.2916666666666667</v>
      </c>
      <c r="C2113" s="5" t="inlineStr">
        <is>
          <t>Corelle (SnapWare)</t>
        </is>
      </c>
      <c r="D2113" s="5" t="n">
        <v>1</v>
      </c>
      <c r="F2113" s="6" t="inlineStr">
        <is>
          <t>WS02192129</t>
        </is>
      </c>
      <c r="G2113" s="10" t="n"/>
      <c r="H2113" s="18" t="inlineStr">
        <is>
          <t>FREE TS Lid Med RNd w/BEACH TEA 326C replacement snapware lid</t>
        </is>
      </c>
      <c r="I2113" s="9" t="n">
        <v>1</v>
      </c>
      <c r="J2113" s="9" t="inlineStr">
        <is>
          <t>cnt</t>
        </is>
      </c>
      <c r="K2113" s="85" t="n">
        <v>0</v>
      </c>
    </row>
    <row r="2114" ht="15" customFormat="1" customHeight="1" s="5">
      <c r="A2114" s="81" t="n">
        <v>45865</v>
      </c>
      <c r="B2114" s="82" t="n">
        <v>0.4880555555555556</v>
      </c>
      <c r="C2114" s="5" t="inlineStr">
        <is>
          <t>Hong Kong Station</t>
        </is>
      </c>
      <c r="E2114" s="5" t="n">
        <v>1</v>
      </c>
      <c r="F2114" s="6" t="n"/>
      <c r="G2114" s="10" t="n"/>
      <c r="H2114" s="9" t="inlineStr">
        <is>
          <t xml:space="preserve">Hong Kong station Joe Wu </t>
        </is>
      </c>
      <c r="I2114" s="9" t="n">
        <v>5</v>
      </c>
      <c r="J2114" s="9" t="inlineStr">
        <is>
          <t>cnt</t>
        </is>
      </c>
      <c r="K2114" s="85" t="n">
        <v>93.67</v>
      </c>
    </row>
    <row r="2115" ht="15" customFormat="1" customHeight="1" s="5">
      <c r="A2115" s="81" t="n">
        <v>45865</v>
      </c>
      <c r="B2115" s="82" t="n">
        <v>0.4880555555555556</v>
      </c>
      <c r="C2115" s="5" t="inlineStr">
        <is>
          <t>Hong Kong Station</t>
        </is>
      </c>
      <c r="E2115" s="5" t="n">
        <v>1</v>
      </c>
      <c r="F2115" s="6" t="n"/>
      <c r="G2115" s="10" t="n"/>
      <c r="H2115" s="9" t="inlineStr">
        <is>
          <t>Joseph Wu Treat!</t>
        </is>
      </c>
      <c r="I2115" s="9" t="n">
        <v>5</v>
      </c>
      <c r="J2115" s="9" t="inlineStr">
        <is>
          <t>cnt</t>
        </is>
      </c>
      <c r="K2115" s="85" t="n">
        <v>-93.67</v>
      </c>
    </row>
    <row r="2116" ht="15" customFormat="1" customHeight="1" s="5">
      <c r="A2116" s="81" t="n">
        <v>45864</v>
      </c>
      <c r="B2116" s="82" t="n">
        <v>0.7388888888888889</v>
      </c>
      <c r="C2116" s="5" t="inlineStr">
        <is>
          <t>Blackjack Pizza</t>
        </is>
      </c>
      <c r="D2116" s="5" t="n">
        <v>1</v>
      </c>
      <c r="F2116" s="6" t="inlineStr">
        <is>
          <t>#23</t>
        </is>
      </c>
      <c r="G2116" s="10" t="n"/>
      <c r="H2116" s="9" t="inlineStr">
        <is>
          <t>Large Hand Toss Jackpot Pizza</t>
        </is>
      </c>
      <c r="I2116" s="9" t="n">
        <v>1</v>
      </c>
      <c r="J2116" s="9" t="inlineStr">
        <is>
          <t>cnt</t>
        </is>
      </c>
      <c r="K2116" s="85" t="n">
        <v>20.99</v>
      </c>
    </row>
    <row r="2117" ht="15" customFormat="1" customHeight="1" s="5">
      <c r="A2117" s="81" t="n">
        <v>45864</v>
      </c>
      <c r="B2117" s="82" t="n">
        <v>0.7388888888888889</v>
      </c>
      <c r="C2117" s="5" t="inlineStr">
        <is>
          <t>Blackjack Pizza</t>
        </is>
      </c>
      <c r="D2117" s="5" t="n">
        <v>1</v>
      </c>
      <c r="F2117" s="6" t="inlineStr">
        <is>
          <t>#23</t>
        </is>
      </c>
      <c r="G2117" s="10" t="n"/>
      <c r="H2117" s="9" t="inlineStr">
        <is>
          <t>**DISCOUNT** Denver Broncos Partner</t>
        </is>
      </c>
      <c r="I2117" s="9" t="n">
        <v>1</v>
      </c>
      <c r="J2117" s="9" t="inlineStr">
        <is>
          <t>cnt</t>
        </is>
      </c>
      <c r="K2117" s="85" t="n">
        <v>-3.15</v>
      </c>
    </row>
    <row r="2118" ht="15" customFormat="1" customHeight="1" s="5">
      <c r="A2118" s="81" t="n">
        <v>45864</v>
      </c>
      <c r="B2118" s="82" t="n">
        <v>0.7388888888888889</v>
      </c>
      <c r="C2118" s="5" t="inlineStr">
        <is>
          <t>Blackjack Pizza</t>
        </is>
      </c>
      <c r="D2118" s="5" t="n">
        <v>1</v>
      </c>
      <c r="F2118" s="6" t="inlineStr">
        <is>
          <t>#23</t>
        </is>
      </c>
      <c r="G2118" s="10" t="n"/>
      <c r="H2118" s="9" t="inlineStr">
        <is>
          <t>Tax</t>
        </is>
      </c>
      <c r="I2118" s="9" t="n">
        <v>1</v>
      </c>
      <c r="J2118" s="9" t="inlineStr">
        <is>
          <t>cnt</t>
        </is>
      </c>
      <c r="K2118" s="85" t="n">
        <v>0.76</v>
      </c>
    </row>
    <row r="2119" ht="15" customFormat="1" customHeight="1" s="5">
      <c r="A2119" s="81" t="n">
        <v>45864</v>
      </c>
      <c r="B2119" s="82" t="n">
        <v>0.4375</v>
      </c>
      <c r="C2119" s="5" t="inlineStr">
        <is>
          <t>In Person</t>
        </is>
      </c>
      <c r="E2119" s="5" t="n">
        <v>1</v>
      </c>
      <c r="F2119" s="6" t="n"/>
      <c r="G2119" s="10" t="inlineStr">
        <is>
          <t>Heather</t>
        </is>
      </c>
      <c r="H2119" s="5" t="inlineStr">
        <is>
          <t>BABY GIFT from Aaron and Heather Blahut: $50 from Aaron and Heather CASH</t>
        </is>
      </c>
      <c r="I2119" s="9" t="n">
        <v>1</v>
      </c>
      <c r="J2119" s="9" t="inlineStr">
        <is>
          <t>cnt</t>
        </is>
      </c>
      <c r="K2119" s="85" t="n">
        <v>-50</v>
      </c>
    </row>
    <row r="2120" ht="15" customFormat="1" customHeight="1" s="5">
      <c r="A2120" s="81" t="n">
        <v>45864</v>
      </c>
      <c r="B2120" s="82" t="n">
        <v>0.4375</v>
      </c>
      <c r="C2120" s="5" t="inlineStr">
        <is>
          <t>In Person</t>
        </is>
      </c>
      <c r="E2120" s="5" t="n">
        <v>1</v>
      </c>
      <c r="F2120" s="6" t="n"/>
      <c r="G2120" s="10" t="inlineStr">
        <is>
          <t>Carly</t>
        </is>
      </c>
      <c r="H2120" s="5" t="inlineStr">
        <is>
          <t>BABY GIFT from Carly Watkins: $20 Amazon + free babysitting coupon!</t>
        </is>
      </c>
      <c r="I2120" s="9" t="n">
        <v>1</v>
      </c>
      <c r="J2120" s="9" t="inlineStr">
        <is>
          <t>cnt</t>
        </is>
      </c>
      <c r="K2120" s="85" t="n">
        <v>-20</v>
      </c>
    </row>
    <row r="2121" ht="15" customFormat="1" customHeight="1" s="5">
      <c r="A2121" s="81" t="n">
        <v>45864</v>
      </c>
      <c r="B2121" s="82" t="n">
        <v>0.4375</v>
      </c>
      <c r="C2121" s="5" t="inlineStr">
        <is>
          <t>In Person</t>
        </is>
      </c>
      <c r="E2121" s="5" t="n">
        <v>1</v>
      </c>
      <c r="F2121" s="6" t="n"/>
      <c r="G2121" s="10" t="inlineStr">
        <is>
          <t>Margo</t>
        </is>
      </c>
      <c r="H2121" s="5" t="inlineStr">
        <is>
          <t>BABY GIFT from Margo Grasser: $50 VISA</t>
        </is>
      </c>
      <c r="I2121" s="9" t="n">
        <v>1</v>
      </c>
      <c r="J2121" s="9" t="inlineStr">
        <is>
          <t>cnt</t>
        </is>
      </c>
      <c r="K2121" s="85" t="n">
        <v>-50</v>
      </c>
    </row>
    <row r="2122" ht="15" customFormat="1" customHeight="1" s="5">
      <c r="A2122" s="81" t="n">
        <v>45864</v>
      </c>
      <c r="B2122" s="82" t="n">
        <v>0.4375</v>
      </c>
      <c r="C2122" s="5" t="inlineStr">
        <is>
          <t>In Person</t>
        </is>
      </c>
      <c r="E2122" s="5" t="n">
        <v>1</v>
      </c>
      <c r="F2122" s="6" t="n"/>
      <c r="G2122" s="10" t="inlineStr">
        <is>
          <t>Rita</t>
        </is>
      </c>
      <c r="H2122" s="9" t="inlineStr">
        <is>
          <t>ABCs of Mathematics: Learn About Addition, Equations, and More in this Perfect Primer for Preschool Math (Baby Board Books, Science Gifts for Kids) (Baby University) Board book – Picture Book, October 3, 2017</t>
        </is>
      </c>
      <c r="I2122" s="9" t="n">
        <v>1</v>
      </c>
      <c r="J2122" s="9" t="inlineStr">
        <is>
          <t>cnt</t>
        </is>
      </c>
      <c r="K2122" s="85" t="n">
        <v>5.64</v>
      </c>
    </row>
    <row r="2123" ht="15" customFormat="1" customHeight="1" s="5">
      <c r="A2123" s="81" t="n">
        <v>45864</v>
      </c>
      <c r="B2123" s="82" t="n">
        <v>0.4375</v>
      </c>
      <c r="C2123" s="5" t="inlineStr">
        <is>
          <t>In Person</t>
        </is>
      </c>
      <c r="E2123" s="5" t="n">
        <v>1</v>
      </c>
      <c r="F2123" s="6" t="n"/>
      <c r="G2123" s="10" t="inlineStr">
        <is>
          <t>Rita</t>
        </is>
      </c>
      <c r="H2123" s="9" t="inlineStr">
        <is>
          <t>Cash $100 from Rita!!</t>
        </is>
      </c>
      <c r="I2123" s="9" t="n">
        <v>1</v>
      </c>
      <c r="J2123" s="9" t="inlineStr">
        <is>
          <t>cnt</t>
        </is>
      </c>
      <c r="K2123" s="85" t="n">
        <v>-100</v>
      </c>
    </row>
    <row r="2124" ht="15" customFormat="1" customHeight="1" s="5">
      <c r="A2124" s="81" t="n">
        <v>45864</v>
      </c>
      <c r="B2124" s="82" t="n">
        <v>0.4375</v>
      </c>
      <c r="C2124" s="5" t="inlineStr">
        <is>
          <t>In Person</t>
        </is>
      </c>
      <c r="E2124" s="5" t="n">
        <v>1</v>
      </c>
      <c r="F2124" s="6" t="n"/>
      <c r="G2124" s="10" t="inlineStr">
        <is>
          <t>Rita</t>
        </is>
      </c>
      <c r="H2124" s="9" t="inlineStr">
        <is>
          <t>BABY GIFT from Rita Stagg</t>
        </is>
      </c>
      <c r="I2124" s="9" t="n">
        <v>2</v>
      </c>
      <c r="J2124" s="9" t="inlineStr">
        <is>
          <t>cnt</t>
        </is>
      </c>
      <c r="K2124" s="85" t="n">
        <v>-5.64</v>
      </c>
    </row>
    <row r="2125" ht="15" customFormat="1" customHeight="1" s="5">
      <c r="A2125" s="81" t="n">
        <v>45864</v>
      </c>
      <c r="B2125" s="82" t="n">
        <v>0.4375</v>
      </c>
      <c r="C2125" s="5" t="inlineStr">
        <is>
          <t>In Person</t>
        </is>
      </c>
      <c r="E2125" s="5" t="n">
        <v>1</v>
      </c>
      <c r="F2125" s="6" t="n"/>
      <c r="G2125" s="10" t="inlineStr">
        <is>
          <t>Allie</t>
        </is>
      </c>
      <c r="H2125" s="9" t="inlineStr">
        <is>
          <t>Indestructibles: Baby Animals: Chew Proof · Rip Proof · Nontoxic · 100% Washable (Book for Babies, Newborn Books, Safe to Chew) Paperback – Picture Book, April 4, 2017</t>
        </is>
      </c>
      <c r="I2125" s="9" t="n">
        <v>1</v>
      </c>
      <c r="J2125" s="9" t="inlineStr">
        <is>
          <t>cnt</t>
        </is>
      </c>
      <c r="K2125" s="85" t="n">
        <v>4.58</v>
      </c>
    </row>
    <row r="2126" ht="15" customFormat="1" customHeight="1" s="5">
      <c r="A2126" s="81" t="n">
        <v>45864</v>
      </c>
      <c r="B2126" s="82" t="n">
        <v>0.4375</v>
      </c>
      <c r="C2126" s="5" t="inlineStr">
        <is>
          <t>In Person</t>
        </is>
      </c>
      <c r="E2126" s="5" t="n">
        <v>1</v>
      </c>
      <c r="F2126" s="6" t="n"/>
      <c r="G2126" s="10" t="inlineStr">
        <is>
          <t>Allie</t>
        </is>
      </c>
      <c r="H2126" s="9" t="inlineStr">
        <is>
          <t>Indestructibles: Hear the Sounds (High Color High Contrast): Chew Proof · Rip Proof · Nontoxic · 100% Washable (Book for Babies, Newborn Books, Safe to Chew) Paperback – June 6, 2023</t>
        </is>
      </c>
      <c r="I2126" s="9" t="n">
        <v>1</v>
      </c>
      <c r="J2126" s="9" t="inlineStr">
        <is>
          <t>cnt</t>
        </is>
      </c>
      <c r="K2126" s="85" t="n">
        <v>5.57</v>
      </c>
    </row>
    <row r="2127" ht="15" customFormat="1" customHeight="1" s="5">
      <c r="A2127" s="81" t="n">
        <v>45864</v>
      </c>
      <c r="B2127" s="82" t="n">
        <v>0.4375</v>
      </c>
      <c r="C2127" s="5" t="inlineStr">
        <is>
          <t>In Person</t>
        </is>
      </c>
      <c r="E2127" s="5" t="n">
        <v>1</v>
      </c>
      <c r="F2127" s="6" t="n"/>
      <c r="G2127" s="10" t="inlineStr">
        <is>
          <t>Allie</t>
        </is>
      </c>
      <c r="H2127" s="9" t="inlineStr">
        <is>
          <t>Cash $60 from Allie!!</t>
        </is>
      </c>
      <c r="I2127" s="9" t="n">
        <v>1</v>
      </c>
      <c r="J2127" s="9" t="inlineStr">
        <is>
          <t>cnt</t>
        </is>
      </c>
      <c r="K2127" s="85" t="n">
        <v>-60</v>
      </c>
    </row>
    <row r="2128" ht="15" customFormat="1" customHeight="1" s="5">
      <c r="A2128" s="81" t="n">
        <v>45864</v>
      </c>
      <c r="B2128" s="82" t="n">
        <v>0.4375</v>
      </c>
      <c r="C2128" s="5" t="inlineStr">
        <is>
          <t>In Person</t>
        </is>
      </c>
      <c r="E2128" s="5" t="n">
        <v>1</v>
      </c>
      <c r="F2128" s="6" t="n"/>
      <c r="G2128" s="10" t="inlineStr">
        <is>
          <t xml:space="preserve">Allie </t>
        </is>
      </c>
      <c r="H2128" s="9" t="inlineStr">
        <is>
          <t>BABY GIFT from Allie Elliot</t>
        </is>
      </c>
      <c r="I2128" s="9" t="n">
        <v>2</v>
      </c>
      <c r="J2128" s="9" t="inlineStr">
        <is>
          <t>cnt</t>
        </is>
      </c>
      <c r="K2128" s="85" t="n">
        <v>-10.15</v>
      </c>
    </row>
    <row r="2129" ht="15" customFormat="1" customHeight="1" s="5">
      <c r="A2129" s="81" t="n">
        <v>45864</v>
      </c>
      <c r="B2129" s="82" t="n">
        <v>0.4152777777777778</v>
      </c>
      <c r="C2129" s="5" t="inlineStr">
        <is>
          <t>Safeway</t>
        </is>
      </c>
      <c r="E2129" s="5" t="n">
        <v>1</v>
      </c>
      <c r="F2129" s="6" t="inlineStr">
        <is>
          <t>2612 5 21 6060</t>
        </is>
      </c>
      <c r="G2129" s="15" t="inlineStr">
        <is>
          <t>20503</t>
        </is>
      </c>
      <c r="H2129" s="9" t="inlineStr">
        <is>
          <t>Party Ice Large</t>
        </is>
      </c>
      <c r="I2129" s="9" t="n">
        <v>1</v>
      </c>
      <c r="J2129" s="9" t="inlineStr">
        <is>
          <t>cnt</t>
        </is>
      </c>
      <c r="K2129" s="85" t="n">
        <v>4.99</v>
      </c>
    </row>
    <row r="2130" ht="15" customFormat="1" customHeight="1" s="42">
      <c r="A2130" s="81" t="n">
        <v>45864</v>
      </c>
      <c r="B2130" s="82" t="n">
        <v>0.4152777777777778</v>
      </c>
      <c r="C2130" s="5" t="inlineStr">
        <is>
          <t>Safeway</t>
        </is>
      </c>
      <c r="D2130" s="5" t="n"/>
      <c r="E2130" s="5" t="n">
        <v>1</v>
      </c>
      <c r="F2130" s="6" t="inlineStr">
        <is>
          <t>2612 5 21 6060</t>
        </is>
      </c>
      <c r="G2130" s="15" t="n"/>
      <c r="H2130" s="9" t="inlineStr">
        <is>
          <t>Mary Wu Treat!</t>
        </is>
      </c>
      <c r="I2130" s="9" t="n">
        <v>1</v>
      </c>
      <c r="J2130" s="9" t="inlineStr">
        <is>
          <t>cnt</t>
        </is>
      </c>
      <c r="K2130" s="85" t="n">
        <v>-4.99</v>
      </c>
    </row>
    <row r="2131" ht="15" customFormat="1" customHeight="1" s="5">
      <c r="A2131" s="81" t="n">
        <v>45864</v>
      </c>
      <c r="B2131" s="82" t="n">
        <v>0.38125</v>
      </c>
      <c r="C2131" s="5" t="inlineStr">
        <is>
          <t>Safeway</t>
        </is>
      </c>
      <c r="E2131" s="5" t="n">
        <v>1</v>
      </c>
      <c r="F2131" s="6" t="inlineStr">
        <is>
          <t>2612 96 15 8896</t>
        </is>
      </c>
      <c r="G2131" s="15" t="inlineStr">
        <is>
          <t>86000611496</t>
        </is>
      </c>
      <c r="H2131" s="9" t="inlineStr">
        <is>
          <t>Reddy Ice Premium</t>
        </is>
      </c>
      <c r="I2131" s="9" t="n">
        <v>1</v>
      </c>
      <c r="J2131" s="9" t="inlineStr">
        <is>
          <t>cnt</t>
        </is>
      </c>
      <c r="K2131" s="85" t="n">
        <v>4.99</v>
      </c>
    </row>
    <row r="2132" ht="15" customFormat="1" customHeight="1" s="5">
      <c r="A2132" s="81" t="n">
        <v>45864</v>
      </c>
      <c r="B2132" s="82" t="n">
        <v>0.38125</v>
      </c>
      <c r="C2132" s="5" t="inlineStr">
        <is>
          <t>Safeway</t>
        </is>
      </c>
      <c r="E2132" s="5" t="n">
        <v>1</v>
      </c>
      <c r="F2132" s="6" t="inlineStr">
        <is>
          <t>2612 96 15 8896</t>
        </is>
      </c>
      <c r="G2132" s="10" t="n"/>
      <c r="H2132" s="9" t="inlineStr">
        <is>
          <t>Mary Wu Treat!</t>
        </is>
      </c>
      <c r="I2132" s="9" t="n">
        <v>1</v>
      </c>
      <c r="J2132" s="9" t="inlineStr">
        <is>
          <t>cnt</t>
        </is>
      </c>
      <c r="K2132" s="85" t="n">
        <v>-4.99</v>
      </c>
    </row>
    <row r="2133" ht="15" customFormat="1" customHeight="1" s="5">
      <c r="A2133" s="81" t="n">
        <v>45863</v>
      </c>
      <c r="B2133" s="82" t="n">
        <v>0.6476851851851851</v>
      </c>
      <c r="C2133" s="5" t="inlineStr">
        <is>
          <t>J's Noodles and New Thai</t>
        </is>
      </c>
      <c r="E2133" s="5" t="n">
        <v>1</v>
      </c>
      <c r="F2133" s="6" t="inlineStr">
        <is>
          <t>1220</t>
        </is>
      </c>
      <c r="G2133" s="10" t="n"/>
      <c r="H2133" s="9" t="inlineStr">
        <is>
          <t>Didn't have beef noodle tho. BOO</t>
        </is>
      </c>
      <c r="I2133" s="9" t="n"/>
      <c r="J2133" s="9" t="n"/>
      <c r="K2133" s="85" t="n">
        <v>28.1</v>
      </c>
    </row>
    <row r="2134" ht="15" customFormat="1" customHeight="1" s="5">
      <c r="A2134" s="81" t="n">
        <v>45863</v>
      </c>
      <c r="B2134" s="82" t="n">
        <v>0.6476851851851851</v>
      </c>
      <c r="C2134" s="5" t="inlineStr">
        <is>
          <t>J's Noodles and New Thai</t>
        </is>
      </c>
      <c r="E2134" s="5" t="n">
        <v>1</v>
      </c>
      <c r="F2134" s="6" t="inlineStr">
        <is>
          <t>1220</t>
        </is>
      </c>
      <c r="G2134" s="10" t="n"/>
      <c r="H2134" s="9" t="inlineStr">
        <is>
          <t>Joseph Wu Treat!</t>
        </is>
      </c>
      <c r="I2134" s="9" t="n"/>
      <c r="J2134" s="9" t="n"/>
      <c r="K2134" s="85" t="n">
        <v>-28.1</v>
      </c>
    </row>
    <row r="2135" ht="15" customFormat="1" customHeight="1" s="5">
      <c r="A2135" s="81" t="n">
        <v>45863</v>
      </c>
      <c r="B2135" s="82" t="n">
        <v>0.6458333333333334</v>
      </c>
      <c r="C2135" s="5" t="inlineStr">
        <is>
          <t>Costco</t>
        </is>
      </c>
      <c r="E2135" s="5" t="n">
        <v>1</v>
      </c>
      <c r="F2135" s="6" t="inlineStr">
        <is>
          <t>439 2 247 31</t>
        </is>
      </c>
      <c r="G2135" s="10" t="n"/>
      <c r="H2135" s="9" t="inlineStr">
        <is>
          <t>shower supplies</t>
        </is>
      </c>
      <c r="I2135" s="9" t="n"/>
      <c r="J2135" s="9" t="n"/>
      <c r="K2135" s="85" t="n">
        <v>124.44</v>
      </c>
    </row>
    <row r="2136" ht="15" customFormat="1" customHeight="1" s="5">
      <c r="A2136" s="81" t="n">
        <v>45863</v>
      </c>
      <c r="B2136" s="82" t="n">
        <v>0.6458333333333334</v>
      </c>
      <c r="C2136" s="5" t="inlineStr">
        <is>
          <t>Costco</t>
        </is>
      </c>
      <c r="E2136" s="5" t="n">
        <v>1</v>
      </c>
      <c r="F2136" s="6" t="inlineStr">
        <is>
          <t>439 2 247 31</t>
        </is>
      </c>
      <c r="G2136" s="10" t="n"/>
      <c r="H2136" s="44" t="inlineStr">
        <is>
          <t>Mary Wu Treat!</t>
        </is>
      </c>
      <c r="I2136" s="9" t="n"/>
      <c r="J2136" s="9" t="n"/>
      <c r="K2136" s="85" t="n">
        <v>-124.44</v>
      </c>
    </row>
    <row r="2137" ht="15" customFormat="1" customHeight="1" s="38">
      <c r="A2137" s="81" t="n">
        <v>45863</v>
      </c>
      <c r="B2137" s="82" t="n">
        <v>0.5798611111111112</v>
      </c>
      <c r="C2137" s="5" t="inlineStr">
        <is>
          <t>Dollar Tree, The</t>
        </is>
      </c>
      <c r="D2137" s="5" t="n"/>
      <c r="E2137" s="5" t="n">
        <v>1</v>
      </c>
      <c r="F2137" s="6" t="inlineStr">
        <is>
          <t>8632 02 002 28065311</t>
        </is>
      </c>
      <c r="G2137" s="10" t="n"/>
      <c r="H2137" s="9" t="inlineStr">
        <is>
          <t>shower supplies</t>
        </is>
      </c>
      <c r="I2137" s="9" t="n"/>
      <c r="J2137" s="9" t="n"/>
      <c r="K2137" s="85" t="n">
        <v>13.5</v>
      </c>
    </row>
    <row r="2138" ht="15" customFormat="1" customHeight="1" s="5">
      <c r="A2138" s="81" t="n">
        <v>45863</v>
      </c>
      <c r="B2138" s="82" t="n">
        <v>0.5798611111111112</v>
      </c>
      <c r="C2138" s="5" t="inlineStr">
        <is>
          <t>Dollar Tree, The</t>
        </is>
      </c>
      <c r="E2138" s="5" t="n">
        <v>1</v>
      </c>
      <c r="F2138" s="6" t="inlineStr">
        <is>
          <t>8632 02 002 28065311</t>
        </is>
      </c>
      <c r="G2138" s="10" t="n"/>
      <c r="H2138" s="9" t="inlineStr">
        <is>
          <t>Mary Wu Treat!</t>
        </is>
      </c>
      <c r="I2138" s="9" t="n"/>
      <c r="J2138" s="9" t="n"/>
      <c r="K2138" s="85" t="n">
        <v>-13.5</v>
      </c>
    </row>
    <row r="2139" ht="15" customFormat="1" customHeight="1" s="5">
      <c r="A2139" s="81" t="n">
        <v>45863</v>
      </c>
      <c r="B2139" s="82" t="n">
        <v>0.5710879629629629</v>
      </c>
      <c r="C2139" s="5" t="inlineStr">
        <is>
          <t>Daiso</t>
        </is>
      </c>
      <c r="E2139" s="5" t="n">
        <v>1</v>
      </c>
      <c r="F2139" s="6" t="inlineStr">
        <is>
          <t>06366 003 C</t>
        </is>
      </c>
      <c r="G2139" s="10" t="n"/>
      <c r="H2139" s="9" t="inlineStr">
        <is>
          <t>shower supplies</t>
        </is>
      </c>
      <c r="I2139" s="9" t="n"/>
      <c r="J2139" s="9" t="n"/>
      <c r="K2139" s="85" t="n">
        <v>14.58</v>
      </c>
    </row>
    <row r="2140" ht="15" customFormat="1" customHeight="1" s="5">
      <c r="A2140" s="81" t="n">
        <v>45863</v>
      </c>
      <c r="B2140" s="82" t="n">
        <v>0.5710879629629629</v>
      </c>
      <c r="C2140" s="5" t="inlineStr">
        <is>
          <t>Daiso</t>
        </is>
      </c>
      <c r="E2140" s="5" t="n">
        <v>1</v>
      </c>
      <c r="F2140" s="6" t="inlineStr">
        <is>
          <t>06366 003 C</t>
        </is>
      </c>
      <c r="G2140" s="10" t="n"/>
      <c r="H2140" s="44" t="inlineStr">
        <is>
          <t>Mary Wu Treat!</t>
        </is>
      </c>
      <c r="I2140" s="9" t="n"/>
      <c r="J2140" s="9" t="n"/>
      <c r="K2140" s="85" t="n">
        <v>-14.58</v>
      </c>
    </row>
    <row r="2141" ht="15" customFormat="1" customHeight="1" s="5">
      <c r="A2141" s="81" t="n">
        <v>45863</v>
      </c>
      <c r="B2141" s="82" t="n">
        <v>0.2916666666666667</v>
      </c>
      <c r="C2141" s="5" t="inlineStr">
        <is>
          <t>Amazon</t>
        </is>
      </c>
      <c r="D2141" s="5" t="n">
        <v>1</v>
      </c>
      <c r="F2141" s="6" t="n"/>
      <c r="G2141" s="10" t="inlineStr">
        <is>
          <t>Joy</t>
        </is>
      </c>
      <c r="H2141" s="9" t="inlineStr">
        <is>
          <t>Potty Training Toilet Seat with Step Stool Ladder for Boys and Girls Baby Toddler Kid Children Toilet Training Seat Chair with Handles Padded Seat Non-Slip Wide Step(Gray)</t>
        </is>
      </c>
      <c r="I2141" s="9" t="n">
        <v>1</v>
      </c>
      <c r="J2141" s="9" t="inlineStr">
        <is>
          <t>cnt</t>
        </is>
      </c>
      <c r="K2141" s="85" t="n">
        <v>28.99</v>
      </c>
    </row>
    <row r="2142" ht="15" customFormat="1" customHeight="1" s="42">
      <c r="A2142" s="81" t="n">
        <v>45863</v>
      </c>
      <c r="B2142" s="82" t="n">
        <v>0.2916666666666667</v>
      </c>
      <c r="C2142" s="5" t="inlineStr">
        <is>
          <t>Amazon</t>
        </is>
      </c>
      <c r="D2142" s="5" t="n">
        <v>1</v>
      </c>
      <c r="E2142" s="5" t="n"/>
      <c r="F2142" s="6" t="n"/>
      <c r="G2142" s="10" t="inlineStr">
        <is>
          <t>Joy</t>
        </is>
      </c>
      <c r="H2142" s="9" t="inlineStr">
        <is>
          <t>BABY GIFT FROM Joy and Bryan Sugiarto</t>
        </is>
      </c>
      <c r="I2142" s="9" t="n">
        <v>1</v>
      </c>
      <c r="J2142" s="9" t="inlineStr">
        <is>
          <t>cnt</t>
        </is>
      </c>
      <c r="K2142" s="85" t="n">
        <v>-28.99</v>
      </c>
    </row>
    <row r="2143" ht="15" customFormat="1" customHeight="1" s="5">
      <c r="A2143" s="81" t="n">
        <v>45863</v>
      </c>
      <c r="B2143" s="82" t="n"/>
      <c r="C2143" s="5" t="inlineStr">
        <is>
          <t>Safeway</t>
        </is>
      </c>
      <c r="E2143" s="5" t="n">
        <v>1</v>
      </c>
      <c r="F2143" s="6" t="n"/>
      <c r="G2143" s="10" t="n"/>
      <c r="H2143" s="9" t="inlineStr">
        <is>
          <t>4 receipts….. Need to work on this later eek -- shower supplies</t>
        </is>
      </c>
      <c r="I2143" s="9" t="n"/>
      <c r="J2143" s="9" t="n"/>
      <c r="K2143" s="85">
        <f>11.54+48.9-14.02+0.49</f>
        <v/>
      </c>
    </row>
    <row r="2144" ht="15" customFormat="1" customHeight="1" s="42">
      <c r="A2144" s="81" t="n">
        <v>45863</v>
      </c>
      <c r="B2144" s="82" t="n"/>
      <c r="C2144" s="5" t="inlineStr">
        <is>
          <t>Safeway</t>
        </is>
      </c>
      <c r="D2144" s="5" t="n"/>
      <c r="E2144" s="5" t="n">
        <v>1</v>
      </c>
      <c r="F2144" s="6" t="n"/>
      <c r="G2144" s="10" t="n"/>
      <c r="H2144" s="9" t="inlineStr">
        <is>
          <t>Mary Wu Treat!</t>
        </is>
      </c>
      <c r="I2144" s="9" t="n"/>
      <c r="J2144" s="9" t="n"/>
      <c r="K2144" s="85" t="n">
        <v>-46.91</v>
      </c>
    </row>
    <row r="2145" ht="15" customFormat="1" customHeight="1" s="5">
      <c r="A2145" s="81" t="n">
        <v>45862</v>
      </c>
      <c r="B2145" s="82" t="n">
        <v>0.8569444444444444</v>
      </c>
      <c r="C2145" s="5" t="inlineStr">
        <is>
          <t>Costco</t>
        </is>
      </c>
      <c r="E2145" s="5" t="n">
        <v>1</v>
      </c>
      <c r="F2145" s="6" t="inlineStr">
        <is>
          <t>33897</t>
        </is>
      </c>
      <c r="G2145" s="15" t="inlineStr">
        <is>
          <t>12</t>
        </is>
      </c>
      <c r="H2145" s="9" t="inlineStr">
        <is>
          <t>Gas — Mary Wu Turo rental @$2.459/gal</t>
        </is>
      </c>
      <c r="I2145" s="9" t="n">
        <v>11.114</v>
      </c>
      <c r="J2145" s="9" t="inlineStr">
        <is>
          <t>gal</t>
        </is>
      </c>
      <c r="K2145" s="85" t="n">
        <v>27.33</v>
      </c>
    </row>
    <row r="2146" ht="15" customFormat="1" customHeight="1" s="5">
      <c r="A2146" s="81" t="n">
        <v>45862</v>
      </c>
      <c r="B2146" s="82" t="n">
        <v>0.8569444444444444</v>
      </c>
      <c r="C2146" s="5" t="inlineStr">
        <is>
          <t>Costco</t>
        </is>
      </c>
      <c r="E2146" s="5" t="n">
        <v>1</v>
      </c>
      <c r="F2146" s="6" t="inlineStr">
        <is>
          <t>33897</t>
        </is>
      </c>
      <c r="G2146" s="10" t="n"/>
      <c r="H2146" s="9" t="inlineStr">
        <is>
          <t>Mary Wu Treat!</t>
        </is>
      </c>
      <c r="I2146" s="9" t="n">
        <v>11.114</v>
      </c>
      <c r="J2146" s="9" t="inlineStr">
        <is>
          <t>gal</t>
        </is>
      </c>
      <c r="K2146" s="85" t="n">
        <v>-27.33</v>
      </c>
    </row>
    <row r="2147" ht="15" customFormat="1" customHeight="1" s="38">
      <c r="A2147" s="81" t="n">
        <v>45862</v>
      </c>
      <c r="B2147" s="82" t="n">
        <v>0.6833333333333333</v>
      </c>
      <c r="C2147" s="5" t="inlineStr">
        <is>
          <t>Biryani Bliss</t>
        </is>
      </c>
      <c r="D2147" s="5" t="n"/>
      <c r="E2147" s="5" t="n">
        <v>1</v>
      </c>
      <c r="F2147" s="6" t="inlineStr">
        <is>
          <t>F08QGYBQGY1A2</t>
        </is>
      </c>
      <c r="G2147" s="10" t="n"/>
      <c r="H2147" s="9" t="inlineStr">
        <is>
          <t>Lydia: Vegeltable Korma mild (level 1/4)</t>
        </is>
      </c>
      <c r="I2147" s="9" t="n">
        <v>1</v>
      </c>
      <c r="J2147" s="9" t="inlineStr">
        <is>
          <t>cnt</t>
        </is>
      </c>
      <c r="K2147" s="85" t="n">
        <v>14.99</v>
      </c>
    </row>
    <row r="2148" ht="15" customFormat="1" customHeight="1" s="38">
      <c r="A2148" s="81" t="n">
        <v>45862</v>
      </c>
      <c r="B2148" s="82" t="n">
        <v>0.6833333333333333</v>
      </c>
      <c r="C2148" s="5" t="inlineStr">
        <is>
          <t>Biryani Bliss</t>
        </is>
      </c>
      <c r="D2148" s="5" t="n"/>
      <c r="E2148" s="5" t="n">
        <v>1</v>
      </c>
      <c r="F2148" s="6" t="inlineStr">
        <is>
          <t>F08QGYBQGY1A2</t>
        </is>
      </c>
      <c r="G2148" s="10" t="n"/>
      <c r="H2148" s="9" t="inlineStr">
        <is>
          <t>Eli: Mutton Vindaloo Hot (level 3/4)</t>
        </is>
      </c>
      <c r="I2148" s="9" t="n">
        <v>1</v>
      </c>
      <c r="J2148" s="9" t="inlineStr">
        <is>
          <t>cnt</t>
        </is>
      </c>
      <c r="K2148" s="85" t="n">
        <v>17.99</v>
      </c>
    </row>
    <row r="2149" ht="15" customFormat="1" customHeight="1" s="5">
      <c r="A2149" s="81" t="n">
        <v>45862</v>
      </c>
      <c r="B2149" s="82" t="n">
        <v>0.6833333333333333</v>
      </c>
      <c r="C2149" s="5" t="inlineStr">
        <is>
          <t>Biryani Bliss</t>
        </is>
      </c>
      <c r="E2149" s="5" t="n">
        <v>1</v>
      </c>
      <c r="F2149" s="6" t="inlineStr">
        <is>
          <t>F08QGYBQGY1A2</t>
        </is>
      </c>
      <c r="G2149" s="10" t="n"/>
      <c r="H2149" s="9" t="inlineStr">
        <is>
          <t>Bella: Daal Takda hot (level 3/4)</t>
        </is>
      </c>
      <c r="I2149" s="9" t="n">
        <v>1</v>
      </c>
      <c r="J2149" s="9" t="inlineStr">
        <is>
          <t>cnt</t>
        </is>
      </c>
      <c r="K2149" s="85" t="n">
        <v>12.99</v>
      </c>
    </row>
    <row r="2150" ht="15" customFormat="1" customHeight="1" s="5">
      <c r="A2150" s="81" t="n">
        <v>45862</v>
      </c>
      <c r="B2150" s="82" t="n">
        <v>0.6833333333333333</v>
      </c>
      <c r="C2150" s="5" t="inlineStr">
        <is>
          <t>Biryani Bliss</t>
        </is>
      </c>
      <c r="E2150" s="5" t="n">
        <v>1</v>
      </c>
      <c r="F2150" s="6" t="inlineStr">
        <is>
          <t>F08QGYBQGY1A2</t>
        </is>
      </c>
      <c r="G2150" s="10" t="n"/>
      <c r="H2150" s="9" t="inlineStr">
        <is>
          <t>Joe: Mutton Kadai</t>
        </is>
      </c>
      <c r="I2150" s="9" t="n">
        <v>1</v>
      </c>
      <c r="J2150" s="9" t="inlineStr">
        <is>
          <t>cnt</t>
        </is>
      </c>
      <c r="K2150" s="85" t="n">
        <v>17.99</v>
      </c>
    </row>
    <row r="2151" ht="15" customFormat="1" customHeight="1" s="5">
      <c r="A2151" s="81" t="n">
        <v>45862</v>
      </c>
      <c r="B2151" s="82" t="n">
        <v>0.6833333333333333</v>
      </c>
      <c r="C2151" s="5" t="inlineStr">
        <is>
          <t>Biryani Bliss</t>
        </is>
      </c>
      <c r="E2151" s="5" t="n">
        <v>1</v>
      </c>
      <c r="F2151" s="6" t="inlineStr">
        <is>
          <t>F08QGYBQGY1A2</t>
        </is>
      </c>
      <c r="G2151" s="10" t="n"/>
      <c r="H2151" s="9" t="inlineStr">
        <is>
          <t>Mary: Tandoori Chicken mild (level 1/4)</t>
        </is>
      </c>
      <c r="I2151" s="9" t="n">
        <v>1</v>
      </c>
      <c r="J2151" s="9" t="inlineStr">
        <is>
          <t>cnt</t>
        </is>
      </c>
      <c r="K2151" s="85" t="n">
        <v>15.99</v>
      </c>
    </row>
    <row r="2152" ht="15" customFormat="1" customHeight="1" s="5">
      <c r="A2152" s="81" t="n">
        <v>45862</v>
      </c>
      <c r="B2152" s="82" t="n">
        <v>0.6833333333333333</v>
      </c>
      <c r="C2152" s="5" t="inlineStr">
        <is>
          <t>Biryani Bliss</t>
        </is>
      </c>
      <c r="E2152" s="5" t="n">
        <v>1</v>
      </c>
      <c r="F2152" s="6" t="inlineStr">
        <is>
          <t>F08QGYBQGY1A2</t>
        </is>
      </c>
      <c r="G2152" s="10" t="n"/>
      <c r="H2152" s="9" t="inlineStr">
        <is>
          <t>Garlic Butter Naan</t>
        </is>
      </c>
      <c r="I2152" s="9" t="n">
        <v>4</v>
      </c>
      <c r="J2152" s="9" t="inlineStr">
        <is>
          <t>cnt</t>
        </is>
      </c>
      <c r="K2152" s="85" t="n">
        <v>4.99</v>
      </c>
    </row>
    <row r="2153" ht="15" customFormat="1" customHeight="1" s="5">
      <c r="A2153" s="81" t="n">
        <v>45862</v>
      </c>
      <c r="B2153" s="82" t="n">
        <v>0.6833333333333333</v>
      </c>
      <c r="C2153" s="5" t="inlineStr">
        <is>
          <t>Biryani Bliss</t>
        </is>
      </c>
      <c r="E2153" s="5" t="n">
        <v>1</v>
      </c>
      <c r="F2153" s="6" t="inlineStr">
        <is>
          <t>F08QGYBQGY1A2</t>
        </is>
      </c>
      <c r="G2153" s="10" t="n"/>
      <c r="H2153" s="9" t="inlineStr">
        <is>
          <t>Raita Yogurt (for free for us to try! WOW) -- but adding up the numbers sincd we don't have an itemized receipt, we're off by $1, so putting $1 here</t>
        </is>
      </c>
      <c r="I2153" s="9" t="n">
        <v>1</v>
      </c>
      <c r="J2153" s="9" t="inlineStr">
        <is>
          <t>cnt</t>
        </is>
      </c>
      <c r="K2153" s="85" t="n">
        <v>1</v>
      </c>
    </row>
    <row r="2154" ht="15" customFormat="1" customHeight="1" s="5">
      <c r="A2154" s="81" t="n">
        <v>45862</v>
      </c>
      <c r="B2154" s="82" t="n">
        <v>0.6833333333333333</v>
      </c>
      <c r="C2154" s="5" t="inlineStr">
        <is>
          <t>Biryani Bliss</t>
        </is>
      </c>
      <c r="E2154" s="5" t="n">
        <v>1</v>
      </c>
      <c r="F2154" s="6" t="inlineStr">
        <is>
          <t>F08QGYBQGY1A2</t>
        </is>
      </c>
      <c r="G2154" s="10" t="n"/>
      <c r="H2154" s="9" t="inlineStr">
        <is>
          <t>Tip</t>
        </is>
      </c>
      <c r="I2154" s="9" t="n">
        <v>7</v>
      </c>
      <c r="J2154" s="9" t="inlineStr">
        <is>
          <t>cnt</t>
        </is>
      </c>
      <c r="K2154" s="85" t="n">
        <v>7.7</v>
      </c>
    </row>
    <row r="2155" ht="15" customFormat="1" customHeight="1" s="38">
      <c r="A2155" s="81" t="n">
        <v>45862</v>
      </c>
      <c r="B2155" s="82" t="n">
        <v>0.6833333333333333</v>
      </c>
      <c r="C2155" s="5" t="inlineStr">
        <is>
          <t>Biryani Bliss</t>
        </is>
      </c>
      <c r="D2155" s="5" t="n"/>
      <c r="E2155" s="5" t="n">
        <v>1</v>
      </c>
      <c r="F2155" s="6" t="inlineStr">
        <is>
          <t>F08QGYBQGY1A2</t>
        </is>
      </c>
      <c r="G2155" s="10" t="n"/>
      <c r="H2155" s="9" t="inlineStr">
        <is>
          <t>Tax 8.96%</t>
        </is>
      </c>
      <c r="I2155" s="9" t="n">
        <v>7</v>
      </c>
      <c r="J2155" s="9" t="inlineStr">
        <is>
          <t>cnt</t>
        </is>
      </c>
      <c r="K2155" s="85" t="n">
        <v>11.11</v>
      </c>
    </row>
    <row r="2156" ht="15" customFormat="1" customHeight="1" s="42">
      <c r="A2156" s="81" t="n">
        <v>45862</v>
      </c>
      <c r="B2156" s="82" t="n">
        <v>0.6833333333333333</v>
      </c>
      <c r="C2156" s="5" t="inlineStr">
        <is>
          <t>Biryani Bliss</t>
        </is>
      </c>
      <c r="D2156" s="5" t="n"/>
      <c r="E2156" s="5" t="n">
        <v>1</v>
      </c>
      <c r="F2156" s="6" t="inlineStr">
        <is>
          <t>F08QGYBQGY1A2</t>
        </is>
      </c>
      <c r="G2156" s="10" t="n"/>
      <c r="H2156" s="9" t="inlineStr">
        <is>
          <t>Joseph Wu Treat!</t>
        </is>
      </c>
      <c r="I2156" s="9" t="n">
        <v>7</v>
      </c>
      <c r="J2156" s="9" t="inlineStr">
        <is>
          <t>cnt</t>
        </is>
      </c>
      <c r="K2156" s="85" t="n">
        <v>-104.75</v>
      </c>
    </row>
    <row r="2157" ht="15" customFormat="1" customHeight="1" s="38">
      <c r="A2157" s="81" t="n">
        <v>45862</v>
      </c>
      <c r="B2157" s="82" t="n">
        <v>0.2916666666666667</v>
      </c>
      <c r="C2157" s="5" t="inlineStr">
        <is>
          <t>Amazon</t>
        </is>
      </c>
      <c r="D2157" s="5" t="n">
        <v>1</v>
      </c>
      <c r="E2157" s="5" t="n"/>
      <c r="F2157" s="6" t="inlineStr">
        <is>
          <t>112-9461040-2013035</t>
        </is>
      </c>
      <c r="G2157" s="10" t="n"/>
      <c r="H2157" s="18" t="inlineStr">
        <is>
          <t>Moonkie Baby Finger Toothbrush Tongue Oral Cleaner Kit for 3 Months +, 3 Pcs (Blue/Mint/Blue)
Sold by: Moonkie.store</t>
        </is>
      </c>
      <c r="I2157" s="9" t="n">
        <v>3</v>
      </c>
      <c r="J2157" s="9" t="inlineStr">
        <is>
          <t>cnt</t>
        </is>
      </c>
      <c r="K2157" s="9" t="n">
        <v>8.890000000000001</v>
      </c>
    </row>
    <row r="2158" ht="15" customFormat="1" customHeight="1" s="38">
      <c r="A2158" s="81" t="n">
        <v>45862</v>
      </c>
      <c r="B2158" s="82" t="n">
        <v>0.2916666666666667</v>
      </c>
      <c r="C2158" s="5" t="inlineStr">
        <is>
          <t>Amazon</t>
        </is>
      </c>
      <c r="D2158" s="5" t="n">
        <v>1</v>
      </c>
      <c r="E2158" s="5" t="n"/>
      <c r="F2158" s="6" t="inlineStr">
        <is>
          <t>112-9461040-2013035</t>
        </is>
      </c>
      <c r="G2158" s="10" t="n"/>
      <c r="H2158" s="9" t="inlineStr">
        <is>
          <t>Tax</t>
        </is>
      </c>
      <c r="I2158" s="9" t="n">
        <v>1</v>
      </c>
      <c r="J2158" s="9" t="inlineStr">
        <is>
          <t>cnt</t>
        </is>
      </c>
      <c r="K2158" s="9" t="n">
        <v>0.71</v>
      </c>
    </row>
    <row r="2159" ht="15" customFormat="1" customHeight="1" s="42">
      <c r="A2159" s="81" t="n">
        <v>45862</v>
      </c>
      <c r="B2159" s="82" t="n">
        <v>0.2916666666666667</v>
      </c>
      <c r="C2159" s="5" t="inlineStr">
        <is>
          <t>Amazon</t>
        </is>
      </c>
      <c r="D2159" s="5" t="n">
        <v>1</v>
      </c>
      <c r="E2159" s="5" t="n"/>
      <c r="F2159" s="6" t="inlineStr">
        <is>
          <t>112-9461040-2013035</t>
        </is>
      </c>
      <c r="G2159" s="10" t="n"/>
      <c r="H2159" s="9" t="inlineStr">
        <is>
          <t>CO Retail Delivery Fees</t>
        </is>
      </c>
      <c r="I2159" s="9" t="n">
        <v>1</v>
      </c>
      <c r="J2159" s="9" t="inlineStr">
        <is>
          <t>cnt</t>
        </is>
      </c>
      <c r="K2159" s="9" t="n">
        <v>0.28</v>
      </c>
    </row>
    <row r="2160" ht="15" customFormat="1" customHeight="1" s="5">
      <c r="A2160" s="81" t="n">
        <v>45862</v>
      </c>
      <c r="B2160" s="82" t="n">
        <v>0.2916666666666667</v>
      </c>
      <c r="C2160" s="5" t="inlineStr">
        <is>
          <t>Amazon</t>
        </is>
      </c>
      <c r="D2160" s="5" t="n">
        <v>1</v>
      </c>
      <c r="F2160" s="6" t="inlineStr">
        <is>
          <t>112-9461040-2013035</t>
        </is>
      </c>
      <c r="G2160" s="10" t="n"/>
      <c r="H2160" s="9" t="inlineStr">
        <is>
          <t>**DISCOUNT** Amazon Rewards Points</t>
        </is>
      </c>
      <c r="I2160" s="9" t="n">
        <v>1</v>
      </c>
      <c r="J2160" s="9" t="inlineStr">
        <is>
          <t>cnt</t>
        </is>
      </c>
      <c r="K2160" s="9" t="n">
        <v>-1.95</v>
      </c>
    </row>
    <row r="2161" ht="15" customFormat="1" customHeight="1" s="5">
      <c r="A2161" s="81" t="n">
        <v>45862</v>
      </c>
      <c r="B2161" s="82" t="n">
        <v>0.2916666666666667</v>
      </c>
      <c r="C2161" s="5" t="inlineStr">
        <is>
          <t>Amazon</t>
        </is>
      </c>
      <c r="D2161" s="5" t="n">
        <v>1</v>
      </c>
      <c r="F2161" s="6" t="inlineStr">
        <is>
          <t>112-9461040-2013035</t>
        </is>
      </c>
      <c r="G2161" s="10" t="n"/>
      <c r="H2161" s="9" t="inlineStr">
        <is>
          <t>Mary Wu Treat!</t>
        </is>
      </c>
      <c r="I2161" s="9" t="n">
        <v>1</v>
      </c>
      <c r="J2161" s="9" t="inlineStr">
        <is>
          <t>cnt</t>
        </is>
      </c>
      <c r="K2161" s="9" t="n">
        <v>-7.93</v>
      </c>
    </row>
    <row r="2162" ht="15" customFormat="1" customHeight="1" s="5">
      <c r="A2162" s="81" t="n">
        <v>45862</v>
      </c>
      <c r="B2162" s="82" t="n">
        <v>0.2916666666666667</v>
      </c>
      <c r="C2162" s="5" t="inlineStr">
        <is>
          <t>US Tax Witholding</t>
        </is>
      </c>
      <c r="D2162" s="5" t="n">
        <v>1</v>
      </c>
      <c r="F2162" s="6" t="inlineStr">
        <is>
          <t>RTX_Paycheck_25_41</t>
        </is>
      </c>
      <c r="G2162" s="7" t="n"/>
      <c r="H2162" s="9" t="inlineStr">
        <is>
          <t>Federal Income Tax</t>
        </is>
      </c>
      <c r="I2162" s="9" t="n"/>
      <c r="J2162" s="9" t="n"/>
      <c r="K2162" s="9" t="n">
        <v>461.43</v>
      </c>
    </row>
    <row r="2163" ht="15" customFormat="1" customHeight="1" s="5">
      <c r="A2163" s="81" t="n">
        <v>45862</v>
      </c>
      <c r="B2163" s="82" t="n">
        <v>0.2916666666666667</v>
      </c>
      <c r="C2163" s="5" t="inlineStr">
        <is>
          <t>US Tax Witholding</t>
        </is>
      </c>
      <c r="D2163" s="5" t="n">
        <v>1</v>
      </c>
      <c r="F2163" s="6" t="inlineStr">
        <is>
          <t>RTX_Paycheck_25_41</t>
        </is>
      </c>
      <c r="G2163" s="7" t="n"/>
      <c r="H2163" s="9" t="inlineStr">
        <is>
          <t>Social Security Tax</t>
        </is>
      </c>
      <c r="I2163" s="9" t="n"/>
      <c r="J2163" s="9" t="n"/>
      <c r="K2163" s="9" t="n">
        <v>265.65</v>
      </c>
    </row>
    <row r="2164" ht="15" customFormat="1" customHeight="1" s="38">
      <c r="A2164" s="81" t="n">
        <v>45862</v>
      </c>
      <c r="B2164" s="82" t="n">
        <v>0.2916666666666667</v>
      </c>
      <c r="C2164" s="5" t="inlineStr">
        <is>
          <t>US Tax Witholding</t>
        </is>
      </c>
      <c r="D2164" s="5" t="n">
        <v>1</v>
      </c>
      <c r="E2164" s="5" t="n"/>
      <c r="F2164" s="6" t="inlineStr">
        <is>
          <t>RTX_Paycheck_25_41</t>
        </is>
      </c>
      <c r="G2164" s="7" t="n"/>
      <c r="H2164" s="9" t="inlineStr">
        <is>
          <t>Medicare Tax</t>
        </is>
      </c>
      <c r="I2164" s="9" t="n"/>
      <c r="J2164" s="9" t="n"/>
      <c r="K2164" s="9" t="n">
        <v>62.13</v>
      </c>
    </row>
    <row r="2165" ht="15" customFormat="1" customHeight="1" s="38">
      <c r="A2165" s="81" t="n">
        <v>45862</v>
      </c>
      <c r="B2165" s="82" t="n">
        <v>0.2916666666666667</v>
      </c>
      <c r="C2165" s="5" t="inlineStr">
        <is>
          <t>Raytheon</t>
        </is>
      </c>
      <c r="D2165" s="5" t="n">
        <v>1</v>
      </c>
      <c r="E2165" s="5" t="n"/>
      <c r="F2165" s="6" t="inlineStr">
        <is>
          <t>RTX_Paycheck_25_41</t>
        </is>
      </c>
      <c r="G2165" s="17" t="inlineStr">
        <is>
          <t>XXXX3523</t>
        </is>
      </c>
      <c r="H2165" s="9" t="inlineStr">
        <is>
          <t>Net Paycheck [Jul 05 - Jul 18]</t>
        </is>
      </c>
      <c r="I2165" s="9" t="n"/>
      <c r="J2165" s="9" t="n"/>
      <c r="K2165" s="9" t="n">
        <v>2349.07</v>
      </c>
    </row>
    <row r="2166" ht="15" customFormat="1" customHeight="1" s="38">
      <c r="A2166" s="81" t="n">
        <v>45862</v>
      </c>
      <c r="B2166" s="82" t="n">
        <v>0.2916666666666667</v>
      </c>
      <c r="C2166" s="5" t="inlineStr">
        <is>
          <t>Raytheon</t>
        </is>
      </c>
      <c r="D2166" s="5" t="n">
        <v>1</v>
      </c>
      <c r="E2166" s="5" t="n"/>
      <c r="F2166" s="6" t="inlineStr">
        <is>
          <t>RTX_Paycheck_25_41</t>
        </is>
      </c>
      <c r="G2166" s="7" t="n"/>
      <c r="H2166" s="9" t="inlineStr">
        <is>
          <t>RTX Direct Deposit -- cancelling offset</t>
        </is>
      </c>
      <c r="I2166" s="9" t="n"/>
      <c r="J2166" s="9" t="n"/>
      <c r="K2166" s="9" t="n">
        <v>-2349.08</v>
      </c>
    </row>
    <row r="2167" ht="15" customFormat="1" customHeight="1" s="38">
      <c r="A2167" s="81" t="n">
        <v>45862</v>
      </c>
      <c r="B2167" s="82" t="n">
        <v>0.2916666666666667</v>
      </c>
      <c r="C2167" s="5" t="inlineStr">
        <is>
          <t>Raytheon</t>
        </is>
      </c>
      <c r="D2167" s="5" t="n">
        <v>1</v>
      </c>
      <c r="E2167" s="5" t="n"/>
      <c r="F2167" s="6" t="inlineStr">
        <is>
          <t>RTX_Paycheck_25_41</t>
        </is>
      </c>
      <c r="G2167" s="7" t="n"/>
      <c r="H2167" s="9" t="inlineStr">
        <is>
          <t>Gross Paycheck [Jul 05 - Jul 18]</t>
        </is>
      </c>
      <c r="I2167" s="9" t="n"/>
      <c r="J2167" s="9" t="n"/>
      <c r="K2167" s="9" t="n">
        <v>-4718.56</v>
      </c>
    </row>
    <row r="2168" ht="15" customFormat="1" customHeight="1" s="5">
      <c r="A2168" s="81" t="n">
        <v>45862</v>
      </c>
      <c r="B2168" s="82" t="n">
        <v>0.2916666666666667</v>
      </c>
      <c r="C2168" s="5" t="inlineStr">
        <is>
          <t>Raytheon</t>
        </is>
      </c>
      <c r="D2168" s="5" t="n">
        <v>1</v>
      </c>
      <c r="F2168" s="6" t="inlineStr">
        <is>
          <t>RTX_Paycheck_25_41</t>
        </is>
      </c>
      <c r="G2168" s="7" t="n"/>
      <c r="H2168" s="9" t="inlineStr">
        <is>
          <t>Ed(ucation) Assi(tance) Offset</t>
        </is>
      </c>
      <c r="I2168" s="9" t="n"/>
      <c r="J2168" s="9" t="n"/>
      <c r="K2168" s="9" t="n">
        <v>711.63</v>
      </c>
    </row>
    <row r="2169" ht="15" customFormat="1" customHeight="1" s="5">
      <c r="A2169" s="81" t="n">
        <v>45862</v>
      </c>
      <c r="B2169" s="82" t="n">
        <v>0.2916666666666667</v>
      </c>
      <c r="C2169" s="5" t="inlineStr">
        <is>
          <t>Parents Gift Account</t>
        </is>
      </c>
      <c r="D2169" s="5" t="n">
        <v>1</v>
      </c>
      <c r="F2169" s="6" t="inlineStr">
        <is>
          <t>RTX_Paycheck_25_41</t>
        </is>
      </c>
      <c r="G2169" s="17" t="inlineStr">
        <is>
          <t>XXXX7146</t>
        </is>
      </c>
      <c r="H2169" s="9" t="inlineStr">
        <is>
          <t>Contribution to Parents Gift Account</t>
        </is>
      </c>
      <c r="I2169" s="9" t="n"/>
      <c r="J2169" s="9" t="n"/>
      <c r="K2169" s="9" t="n">
        <v>0.01</v>
      </c>
    </row>
    <row r="2170" ht="15" customFormat="1" customHeight="1" s="5">
      <c r="A2170" s="81" t="n">
        <v>45862</v>
      </c>
      <c r="B2170" s="82" t="n">
        <v>0.2916666666666667</v>
      </c>
      <c r="C2170" s="5" t="inlineStr">
        <is>
          <t>HSA</t>
        </is>
      </c>
      <c r="D2170" s="5" t="n">
        <v>1</v>
      </c>
      <c r="F2170" s="6" t="inlineStr">
        <is>
          <t>RTX_Paycheck_25_41</t>
        </is>
      </c>
      <c r="G2170" s="7" t="n"/>
      <c r="H2170" s="9" t="inlineStr">
        <is>
          <t>Personal contribution to HSA</t>
        </is>
      </c>
      <c r="I2170" s="9" t="n"/>
      <c r="J2170" s="9" t="n"/>
      <c r="K2170" s="9" t="n">
        <v>299.91</v>
      </c>
    </row>
    <row r="2171" ht="15" customFormat="1" customHeight="1" s="5">
      <c r="A2171" s="81" t="n">
        <v>45862</v>
      </c>
      <c r="B2171" s="82" t="n">
        <v>0.2916666666666667</v>
      </c>
      <c r="C2171" s="5" t="inlineStr">
        <is>
          <t>Delta Dental</t>
        </is>
      </c>
      <c r="D2171" s="5" t="n">
        <v>1</v>
      </c>
      <c r="F2171" s="6" t="inlineStr">
        <is>
          <t>RTX_Paycheck_25_41</t>
        </is>
      </c>
      <c r="G2171" s="10" t="n"/>
      <c r="H2171" s="9" t="inlineStr">
        <is>
          <t>Dental Insurance</t>
        </is>
      </c>
      <c r="I2171" s="9" t="n"/>
      <c r="J2171" s="9" t="n"/>
      <c r="K2171" s="9" t="n">
        <v>4.26</v>
      </c>
    </row>
    <row r="2172" ht="15" customFormat="1" customHeight="1" s="5">
      <c r="A2172" s="81" t="n">
        <v>45862</v>
      </c>
      <c r="B2172" s="82" t="n">
        <v>0.2916666666666667</v>
      </c>
      <c r="C2172" s="5" t="inlineStr">
        <is>
          <t>CO Tax Witholding</t>
        </is>
      </c>
      <c r="D2172" s="5" t="n">
        <v>1</v>
      </c>
      <c r="F2172" s="6" t="inlineStr">
        <is>
          <t>RTX_Paycheck_25_41</t>
        </is>
      </c>
      <c r="G2172" s="7" t="n"/>
      <c r="H2172" s="9" t="inlineStr">
        <is>
          <t>CO State Income Tax</t>
        </is>
      </c>
      <c r="I2172" s="9" t="n"/>
      <c r="J2172" s="9" t="n"/>
      <c r="K2172" s="9" t="n">
        <v>171.53</v>
      </c>
    </row>
    <row r="2173" ht="15" customFormat="1" customHeight="1" s="5">
      <c r="A2173" s="81" t="n">
        <v>45862</v>
      </c>
      <c r="B2173" s="82" t="n">
        <v>0.2916666666666667</v>
      </c>
      <c r="C2173" s="5" t="inlineStr">
        <is>
          <t>CO Tax Witholding</t>
        </is>
      </c>
      <c r="D2173" s="5" t="n">
        <v>1</v>
      </c>
      <c r="F2173" s="6" t="inlineStr">
        <is>
          <t>RTX_Paycheck_25_41</t>
        </is>
      </c>
      <c r="G2173" s="7" t="n"/>
      <c r="H2173" s="9" t="inlineStr">
        <is>
          <t>CO Paid Family Leave Insurance</t>
        </is>
      </c>
      <c r="I2173" s="9" t="n"/>
      <c r="J2173" s="9" t="n"/>
      <c r="K2173" s="9" t="n">
        <v>21.24</v>
      </c>
    </row>
    <row r="2174" ht="15" customFormat="1" customHeight="1" s="5">
      <c r="A2174" s="81" t="n">
        <v>45862</v>
      </c>
      <c r="B2174" s="82" t="n">
        <v>0.2916666666666667</v>
      </c>
      <c r="C2174" s="5" t="inlineStr">
        <is>
          <t>Anthem BcBs</t>
        </is>
      </c>
      <c r="D2174" s="5" t="n">
        <v>1</v>
      </c>
      <c r="F2174" s="6" t="inlineStr">
        <is>
          <t>RTX_Paycheck_25_41</t>
        </is>
      </c>
      <c r="G2174" s="7" t="n"/>
      <c r="H2174" s="9" t="inlineStr">
        <is>
          <t>Medical Insurance</t>
        </is>
      </c>
      <c r="I2174" s="9" t="n"/>
      <c r="J2174" s="9" t="n"/>
      <c r="K2174" s="9" t="n">
        <v>131.28</v>
      </c>
    </row>
    <row r="2175" ht="15" customFormat="1" customHeight="1" s="5">
      <c r="A2175" s="81" t="n">
        <v>45862</v>
      </c>
      <c r="B2175" s="82" t="n">
        <v>0.2916666666666667</v>
      </c>
      <c r="C2175" s="5" t="inlineStr">
        <is>
          <t>Alight</t>
        </is>
      </c>
      <c r="D2175" s="5" t="n">
        <v>1</v>
      </c>
      <c r="F2175" s="6" t="inlineStr">
        <is>
          <t>RTX_Paycheck_25_41</t>
        </is>
      </c>
      <c r="G2175" s="7" t="n"/>
      <c r="H2175" s="9" t="inlineStr">
        <is>
          <t>401k Basic -- Traditional</t>
        </is>
      </c>
      <c r="I2175" s="9" t="n"/>
      <c r="J2175" s="9" t="n"/>
      <c r="K2175" s="9" t="n">
        <v>0</v>
      </c>
    </row>
    <row r="2176" ht="15" customFormat="1" customHeight="1" s="5">
      <c r="A2176" s="81" t="n">
        <v>45862</v>
      </c>
      <c r="B2176" s="82" t="n">
        <v>0.2916666666666667</v>
      </c>
      <c r="C2176" s="5" t="inlineStr">
        <is>
          <t>Alight</t>
        </is>
      </c>
      <c r="D2176" s="5" t="n">
        <v>1</v>
      </c>
      <c r="F2176" s="6" t="inlineStr">
        <is>
          <t>RTX_Paycheck_25_41</t>
        </is>
      </c>
      <c r="G2176" s="7" t="n"/>
      <c r="H2176" s="9" t="inlineStr">
        <is>
          <t>Roth 401k Basic</t>
        </is>
      </c>
      <c r="I2176" s="9" t="n"/>
      <c r="J2176" s="9" t="n"/>
      <c r="K2176" s="9" t="n">
        <v>240.42</v>
      </c>
    </row>
    <row r="2177" ht="15" customFormat="1" customHeight="1" s="5">
      <c r="A2177" s="81" t="n">
        <v>45862</v>
      </c>
      <c r="B2177" s="82" t="n">
        <v>0.2916666666666667</v>
      </c>
      <c r="C2177" s="5" t="inlineStr">
        <is>
          <t>Amazon</t>
        </is>
      </c>
      <c r="D2177" s="5" t="n">
        <v>1</v>
      </c>
      <c r="F2177" s="6" t="n"/>
      <c r="G2177" s="10" t="inlineStr">
        <is>
          <t>Madeleine</t>
        </is>
      </c>
      <c r="H2177" s="9" t="inlineStr">
        <is>
          <t>Melissa &amp; Doug Add &amp; Subtract Abacus - Educational Toy With 55 Colorful Beads and Sturdy Wooden Construction, 3 - 6 years</t>
        </is>
      </c>
      <c r="I2177" s="9" t="n">
        <v>1</v>
      </c>
      <c r="J2177" s="9" t="inlineStr">
        <is>
          <t>cnt</t>
        </is>
      </c>
      <c r="K2177" s="85" t="n">
        <v>16.99</v>
      </c>
    </row>
    <row r="2178" ht="15" customFormat="1" customHeight="1" s="5">
      <c r="A2178" s="81" t="n">
        <v>45862</v>
      </c>
      <c r="B2178" s="82" t="n">
        <v>0.2916666666666667</v>
      </c>
      <c r="C2178" s="5" t="inlineStr">
        <is>
          <t>Amazon</t>
        </is>
      </c>
      <c r="D2178" s="5" t="n">
        <v>1</v>
      </c>
      <c r="F2178" s="6" t="n"/>
      <c r="G2178" s="10" t="inlineStr">
        <is>
          <t>Madeleine</t>
        </is>
      </c>
      <c r="H2178" s="9" t="inlineStr">
        <is>
          <t>BABY GIFT from Madeleine and Stephen Herrera</t>
        </is>
      </c>
      <c r="I2178" s="9" t="n">
        <v>1</v>
      </c>
      <c r="J2178" s="9" t="inlineStr">
        <is>
          <t>cnt</t>
        </is>
      </c>
      <c r="K2178" s="85" t="n">
        <v>-16.99</v>
      </c>
    </row>
    <row r="2179" ht="15" customFormat="1" customHeight="1" s="5">
      <c r="A2179" s="81" t="n">
        <v>45862</v>
      </c>
      <c r="B2179" s="82" t="n"/>
      <c r="C2179" s="5" t="inlineStr">
        <is>
          <t>Panera Bread</t>
        </is>
      </c>
      <c r="E2179" s="5" t="n">
        <v>1</v>
      </c>
      <c r="F2179" s="6" t="n"/>
      <c r="G2179" s="10" t="n"/>
      <c r="H2179" s="9" t="inlineStr">
        <is>
          <t>Panera Mary Wu</t>
        </is>
      </c>
      <c r="I2179" s="9" t="n"/>
      <c r="J2179" s="9" t="n"/>
      <c r="K2179" s="85" t="n"/>
    </row>
    <row r="2180" ht="15" customFormat="1" customHeight="1" s="5">
      <c r="A2180" s="81" t="n">
        <v>45862</v>
      </c>
      <c r="B2180" s="82" t="n"/>
      <c r="C2180" s="5" t="inlineStr">
        <is>
          <t>Panera Bread</t>
        </is>
      </c>
      <c r="E2180" s="5" t="n">
        <v>1</v>
      </c>
      <c r="F2180" s="6" t="n"/>
      <c r="G2180" s="10" t="n"/>
      <c r="H2180" s="9" t="inlineStr">
        <is>
          <t>Mary Wu Treat!</t>
        </is>
      </c>
      <c r="I2180" s="9" t="n"/>
      <c r="J2180" s="9" t="n"/>
      <c r="K2180" s="85" t="n"/>
    </row>
    <row r="2181" ht="15" customFormat="1" customHeight="1" s="5">
      <c r="A2181" s="81" t="n">
        <v>45861</v>
      </c>
      <c r="B2181" s="82" t="n">
        <v>0.7923611111111111</v>
      </c>
      <c r="C2181" s="5" t="inlineStr">
        <is>
          <t>Mr. Bakery</t>
        </is>
      </c>
      <c r="E2181" s="5" t="n">
        <v>1</v>
      </c>
      <c r="F2181" s="6" t="inlineStr">
        <is>
          <t>GVPC94ADEZ2ER</t>
        </is>
      </c>
      <c r="G2181" s="10" t="inlineStr">
        <is>
          <t>2.5_item</t>
        </is>
      </c>
      <c r="H2181" s="9" t="inlineStr">
        <is>
          <t>Garoke</t>
        </is>
      </c>
      <c r="I2181" s="9" t="n">
        <v>1</v>
      </c>
      <c r="J2181" s="9" t="inlineStr">
        <is>
          <t>cnt</t>
        </is>
      </c>
      <c r="K2181" s="85" t="n">
        <v>2.5</v>
      </c>
    </row>
    <row r="2182" ht="15" customFormat="1" customHeight="1" s="5">
      <c r="A2182" s="81" t="n">
        <v>45861</v>
      </c>
      <c r="B2182" s="82" t="n">
        <v>0.7923611111111111</v>
      </c>
      <c r="C2182" s="5" t="inlineStr">
        <is>
          <t>Mr. Bakery</t>
        </is>
      </c>
      <c r="E2182" s="5" t="n">
        <v>1</v>
      </c>
      <c r="F2182" s="6" t="inlineStr">
        <is>
          <t>GVPC94ADEZ2ER</t>
        </is>
      </c>
      <c r="G2182" s="10" t="inlineStr">
        <is>
          <t>2.5_item</t>
        </is>
      </c>
      <c r="H2182" s="9" t="inlineStr">
        <is>
          <t>Garoke</t>
        </is>
      </c>
      <c r="I2182" s="9" t="n">
        <v>1</v>
      </c>
      <c r="J2182" s="9" t="inlineStr">
        <is>
          <t>cnt</t>
        </is>
      </c>
      <c r="K2182" s="85" t="n">
        <v>2.5</v>
      </c>
    </row>
    <row r="2183" ht="15" customFormat="1" customHeight="1" s="5">
      <c r="A2183" s="81" t="n">
        <v>45861</v>
      </c>
      <c r="B2183" s="82" t="n">
        <v>0.7923611111111111</v>
      </c>
      <c r="C2183" s="5" t="inlineStr">
        <is>
          <t>Mr. Bakery</t>
        </is>
      </c>
      <c r="E2183" s="5" t="n">
        <v>1</v>
      </c>
      <c r="F2183" s="6" t="inlineStr">
        <is>
          <t>GVPC94ADEZ2ER</t>
        </is>
      </c>
      <c r="G2183" s="10" t="inlineStr">
        <is>
          <t>2.5_item</t>
        </is>
      </c>
      <c r="H2183" s="9" t="inlineStr">
        <is>
          <t>Garoke</t>
        </is>
      </c>
      <c r="I2183" s="9" t="n">
        <v>1</v>
      </c>
      <c r="J2183" s="9" t="inlineStr">
        <is>
          <t>cnt</t>
        </is>
      </c>
      <c r="K2183" s="85" t="n">
        <v>2.5</v>
      </c>
    </row>
    <row r="2184" ht="15" customFormat="1" customHeight="1" s="5">
      <c r="A2184" s="81" t="n">
        <v>45861</v>
      </c>
      <c r="B2184" s="82" t="n">
        <v>0.7923611111111111</v>
      </c>
      <c r="C2184" s="5" t="inlineStr">
        <is>
          <t>Mr. Bakery</t>
        </is>
      </c>
      <c r="E2184" s="5" t="n">
        <v>1</v>
      </c>
      <c r="F2184" s="6" t="inlineStr">
        <is>
          <t>GVPC94ADEZ2ER</t>
        </is>
      </c>
      <c r="G2184" s="10" t="inlineStr">
        <is>
          <t>2.5_item</t>
        </is>
      </c>
      <c r="H2184" s="9" t="inlineStr">
        <is>
          <t>Garoke</t>
        </is>
      </c>
      <c r="I2184" s="9" t="n">
        <v>1</v>
      </c>
      <c r="J2184" s="9" t="inlineStr">
        <is>
          <t>cnt</t>
        </is>
      </c>
      <c r="K2184" s="85" t="n">
        <v>2.5</v>
      </c>
    </row>
    <row r="2185" ht="15" customFormat="1" customHeight="1" s="5">
      <c r="A2185" s="81" t="n">
        <v>45861</v>
      </c>
      <c r="B2185" s="82" t="n">
        <v>0.7923611111111111</v>
      </c>
      <c r="C2185" s="5" t="inlineStr">
        <is>
          <t>Mr. Bakery</t>
        </is>
      </c>
      <c r="E2185" s="5" t="n">
        <v>1</v>
      </c>
      <c r="F2185" s="6" t="inlineStr">
        <is>
          <t>GVPC94ADEZ2ER</t>
        </is>
      </c>
      <c r="G2185" s="10" t="inlineStr">
        <is>
          <t>2.5_item</t>
        </is>
      </c>
      <c r="H2185" s="9" t="inlineStr">
        <is>
          <t>BOGO Peanut Butter Bun</t>
        </is>
      </c>
      <c r="I2185" s="9" t="n">
        <v>2</v>
      </c>
      <c r="J2185" s="9" t="inlineStr">
        <is>
          <t>cnt</t>
        </is>
      </c>
      <c r="K2185" s="85" t="n">
        <v>2.5</v>
      </c>
    </row>
    <row r="2186" ht="15" customFormat="1" customHeight="1" s="5">
      <c r="A2186" s="81" t="n">
        <v>45861</v>
      </c>
      <c r="B2186" s="82" t="n">
        <v>0.7923611111111111</v>
      </c>
      <c r="C2186" s="5" t="inlineStr">
        <is>
          <t>Mr. Bakery</t>
        </is>
      </c>
      <c r="E2186" s="5" t="n">
        <v>1</v>
      </c>
      <c r="F2186" s="6" t="inlineStr">
        <is>
          <t>GVPC94ADEZ2ER</t>
        </is>
      </c>
      <c r="G2186" s="10" t="inlineStr">
        <is>
          <t>3.50_item</t>
        </is>
      </c>
      <c r="H2186" s="9" t="inlineStr">
        <is>
          <t>Walnut Pastry</t>
        </is>
      </c>
      <c r="I2186" s="9" t="n">
        <v>1</v>
      </c>
      <c r="J2186" s="9" t="inlineStr">
        <is>
          <t>cnt</t>
        </is>
      </c>
      <c r="K2186" s="85" t="n">
        <v>3.5</v>
      </c>
    </row>
    <row r="2187" ht="15" customFormat="1" customHeight="1" s="5">
      <c r="A2187" s="81" t="n">
        <v>45861</v>
      </c>
      <c r="B2187" s="82" t="n">
        <v>0.7923611111111111</v>
      </c>
      <c r="C2187" s="5" t="inlineStr">
        <is>
          <t>Mr. Bakery</t>
        </is>
      </c>
      <c r="E2187" s="5" t="n">
        <v>1</v>
      </c>
      <c r="F2187" s="6" t="inlineStr">
        <is>
          <t>GVPC94ADEZ2ER</t>
        </is>
      </c>
      <c r="G2187" s="10" t="n"/>
      <c r="H2187" s="9" t="inlineStr">
        <is>
          <t>Tax</t>
        </is>
      </c>
      <c r="I2187" s="9" t="n">
        <v>7</v>
      </c>
      <c r="J2187" s="9" t="inlineStr">
        <is>
          <t>cnt</t>
        </is>
      </c>
      <c r="K2187" s="85" t="n">
        <v>0</v>
      </c>
    </row>
    <row r="2188" ht="15" customFormat="1" customHeight="1" s="5">
      <c r="A2188" s="81" t="n">
        <v>45861</v>
      </c>
      <c r="B2188" s="82" t="n">
        <v>0.7923611111111111</v>
      </c>
      <c r="C2188" s="5" t="inlineStr">
        <is>
          <t>Mr. Bakery</t>
        </is>
      </c>
      <c r="E2188" s="5" t="n">
        <v>1</v>
      </c>
      <c r="F2188" s="6" t="inlineStr">
        <is>
          <t>GVPC94ADEZ2ER</t>
        </is>
      </c>
      <c r="G2188" s="10" t="n"/>
      <c r="H2188" s="9" t="inlineStr">
        <is>
          <t>Joseph Wu Treat!</t>
        </is>
      </c>
      <c r="I2188" s="9" t="n">
        <v>7</v>
      </c>
      <c r="J2188" s="9" t="inlineStr">
        <is>
          <t>cnt</t>
        </is>
      </c>
      <c r="K2188" s="85" t="n">
        <v>-16</v>
      </c>
    </row>
    <row r="2189" ht="15" customFormat="1" customHeight="1" s="5">
      <c r="A2189" s="81" t="n">
        <v>45861</v>
      </c>
      <c r="B2189" s="82" t="n">
        <v>0.7883564814814815</v>
      </c>
      <c r="C2189" s="5" t="inlineStr">
        <is>
          <t>H-Mart</t>
        </is>
      </c>
      <c r="E2189" s="5" t="n">
        <v>1</v>
      </c>
      <c r="F2189" s="6" t="n"/>
      <c r="G2189" s="10" t="n"/>
      <c r="H2189" s="9" t="inlineStr">
        <is>
          <t>HMart Joe Wu</t>
        </is>
      </c>
      <c r="I2189" s="9" t="n"/>
      <c r="J2189" s="9" t="n"/>
      <c r="K2189" s="85" t="n">
        <v>70.87</v>
      </c>
    </row>
    <row r="2190" ht="15" customFormat="1" customHeight="1" s="5">
      <c r="A2190" s="81" t="n">
        <v>45861</v>
      </c>
      <c r="B2190" s="82" t="n">
        <v>0.7883564814814815</v>
      </c>
      <c r="C2190" s="5" t="inlineStr">
        <is>
          <t>H-Mart</t>
        </is>
      </c>
      <c r="E2190" s="5" t="n">
        <v>1</v>
      </c>
      <c r="F2190" s="6" t="n"/>
      <c r="G2190" s="10" t="n"/>
      <c r="H2190" s="9" t="inlineStr">
        <is>
          <t>Joseph Wu Treat!</t>
        </is>
      </c>
      <c r="I2190" s="9" t="n"/>
      <c r="J2190" s="9" t="n"/>
      <c r="K2190" s="85" t="n">
        <v>-70.87</v>
      </c>
    </row>
    <row r="2191" ht="15" customFormat="1" customHeight="1" s="5">
      <c r="A2191" s="81" t="n">
        <v>45861</v>
      </c>
      <c r="B2191" s="82" t="n">
        <v>0.7296296296296296</v>
      </c>
      <c r="C2191" s="5" t="inlineStr">
        <is>
          <t>Pho Real Saigon Hampden</t>
        </is>
      </c>
      <c r="E2191" s="5" t="n">
        <v>1</v>
      </c>
      <c r="F2191" s="6" t="n"/>
      <c r="G2191" s="10" t="n"/>
      <c r="H2191" s="9" t="inlineStr">
        <is>
          <t>Real Saigon Joe Wu</t>
        </is>
      </c>
      <c r="I2191" s="9" t="n"/>
      <c r="J2191" s="9" t="n"/>
      <c r="K2191" s="85" t="n">
        <v>77.53</v>
      </c>
    </row>
    <row r="2192" ht="15" customFormat="1" customHeight="1" s="5">
      <c r="A2192" s="81" t="n">
        <v>45861</v>
      </c>
      <c r="B2192" s="82" t="n">
        <v>0.7296296296296296</v>
      </c>
      <c r="C2192" s="5" t="inlineStr">
        <is>
          <t>Pho Real Saigon Hampden</t>
        </is>
      </c>
      <c r="E2192" s="5" t="n">
        <v>1</v>
      </c>
      <c r="F2192" s="6" t="n"/>
      <c r="G2192" s="10" t="n"/>
      <c r="H2192" s="9" t="inlineStr">
        <is>
          <t>Joseph Wu Treat!</t>
        </is>
      </c>
      <c r="I2192" s="9" t="n"/>
      <c r="J2192" s="9" t="n"/>
      <c r="K2192" s="85" t="n">
        <v>-77.53</v>
      </c>
    </row>
    <row r="2193" ht="15" customFormat="1" customHeight="1" s="5">
      <c r="A2193" s="81" t="n">
        <v>45861</v>
      </c>
      <c r="B2193" s="82" t="n">
        <v>0.5305555555555556</v>
      </c>
      <c r="C2193" s="5" t="inlineStr">
        <is>
          <t>Recreation.gov</t>
        </is>
      </c>
      <c r="D2193" s="5" t="n">
        <v>1</v>
      </c>
      <c r="F2193" s="6" t="inlineStr">
        <is>
          <t>0720610796</t>
        </is>
      </c>
      <c r="G2193" s="10" t="n"/>
      <c r="H2193" s="18" t="inlineStr">
        <is>
          <t>Brainard Lake Picnic Site/Trailhead - Day Use Parking Reservation Start: Jul 24, 2025 5:00 AM</t>
        </is>
      </c>
      <c r="I2193" s="9" t="n">
        <v>1</v>
      </c>
      <c r="J2193" s="9" t="inlineStr">
        <is>
          <t>cnt</t>
        </is>
      </c>
      <c r="K2193" s="85" t="n">
        <v>18</v>
      </c>
    </row>
    <row r="2194" ht="15" customFormat="1" customHeight="1" s="5">
      <c r="A2194" s="81" t="n">
        <v>45861</v>
      </c>
      <c r="B2194" s="82" t="n">
        <v>0.5305555555555556</v>
      </c>
      <c r="C2194" s="5" t="inlineStr">
        <is>
          <t>Recreation.gov</t>
        </is>
      </c>
      <c r="D2194" s="5" t="n">
        <v>1</v>
      </c>
      <c r="F2194" s="6" t="inlineStr">
        <is>
          <t>0720610796</t>
        </is>
      </c>
      <c r="G2194" s="10" t="n"/>
      <c r="H2194" s="18" t="inlineStr">
        <is>
          <t>**DISCOUNT** America The Beautiful Parks Pass</t>
        </is>
      </c>
      <c r="I2194" s="9" t="n">
        <v>1</v>
      </c>
      <c r="J2194" s="9" t="inlineStr">
        <is>
          <t>cnt</t>
        </is>
      </c>
      <c r="K2194" s="85" t="n">
        <v>-16</v>
      </c>
    </row>
    <row r="2195" ht="15" customFormat="1" customHeight="1" s="5">
      <c r="A2195" s="81" t="n">
        <v>45860</v>
      </c>
      <c r="B2195" s="82" t="n">
        <v>0.9152777777777777</v>
      </c>
      <c r="C2195" s="5" t="inlineStr">
        <is>
          <t>Turo Car Rental</t>
        </is>
      </c>
      <c r="D2195" s="5" t="n">
        <v>1</v>
      </c>
      <c r="F2195" s="6" t="inlineStr">
        <is>
          <t>47126181</t>
        </is>
      </c>
      <c r="G2195" s="10" t="n"/>
      <c r="H2195" s="9" t="inlineStr">
        <is>
          <t>Toyota 4Runner 2018, 1 day, 200 miles</t>
        </is>
      </c>
      <c r="I2195" s="9" t="n">
        <v>1</v>
      </c>
      <c r="J2195" s="9" t="inlineStr">
        <is>
          <t>cnt</t>
        </is>
      </c>
      <c r="K2195" s="85" t="n">
        <v>69</v>
      </c>
    </row>
    <row r="2196" ht="15" customFormat="1" customHeight="1" s="5">
      <c r="A2196" s="81" t="n">
        <v>45860</v>
      </c>
      <c r="B2196" s="82" t="n">
        <v>0.9152777777777777</v>
      </c>
      <c r="C2196" s="5" t="inlineStr">
        <is>
          <t>Turo Car Rental</t>
        </is>
      </c>
      <c r="D2196" s="5" t="n">
        <v>1</v>
      </c>
      <c r="F2196" s="6" t="inlineStr">
        <is>
          <t>47126181</t>
        </is>
      </c>
      <c r="G2196" s="10" t="n"/>
      <c r="H2196" s="9" t="inlineStr">
        <is>
          <t>Trip Fee</t>
        </is>
      </c>
      <c r="I2196" s="9" t="n">
        <v>1</v>
      </c>
      <c r="J2196" s="9" t="inlineStr">
        <is>
          <t>cnt</t>
        </is>
      </c>
      <c r="K2196" s="85" t="n">
        <v>20.8</v>
      </c>
    </row>
    <row r="2197" ht="15" customFormat="1" customHeight="1" s="5">
      <c r="A2197" s="81" t="n">
        <v>45860</v>
      </c>
      <c r="B2197" s="82" t="n">
        <v>0.9152777777777777</v>
      </c>
      <c r="C2197" s="5" t="inlineStr">
        <is>
          <t>Turo Car Rental</t>
        </is>
      </c>
      <c r="D2197" s="5" t="n">
        <v>1</v>
      </c>
      <c r="F2197" s="6" t="inlineStr">
        <is>
          <t>47126181</t>
        </is>
      </c>
      <c r="G2197" s="10" t="n"/>
      <c r="H2197" s="9" t="inlineStr">
        <is>
          <t>Standard Protetion</t>
        </is>
      </c>
      <c r="I2197" s="9" t="n">
        <v>1</v>
      </c>
      <c r="J2197" s="9" t="inlineStr">
        <is>
          <t>cnt</t>
        </is>
      </c>
      <c r="K2197" s="85" t="n">
        <v>27.6</v>
      </c>
    </row>
    <row r="2198" ht="15" customFormat="1" customHeight="1" s="5">
      <c r="A2198" s="81" t="n">
        <v>45860</v>
      </c>
      <c r="B2198" s="82" t="n">
        <v>0.9152777777777777</v>
      </c>
      <c r="C2198" s="5" t="inlineStr">
        <is>
          <t>Turo Car Rental</t>
        </is>
      </c>
      <c r="D2198" s="5" t="n">
        <v>1</v>
      </c>
      <c r="F2198" s="6" t="inlineStr">
        <is>
          <t>47126181</t>
        </is>
      </c>
      <c r="G2198" s="10" t="n"/>
      <c r="H2198" s="9" t="inlineStr">
        <is>
          <t>Enhanced Roadside</t>
        </is>
      </c>
      <c r="I2198" s="9" t="n">
        <v>1</v>
      </c>
      <c r="J2198" s="9" t="inlineStr">
        <is>
          <t>cnt</t>
        </is>
      </c>
      <c r="K2198" s="85" t="n">
        <v>2.99</v>
      </c>
    </row>
    <row r="2199" ht="15" customFormat="1" customHeight="1" s="5">
      <c r="A2199" s="81" t="n">
        <v>45860</v>
      </c>
      <c r="B2199" s="82" t="n">
        <v>0.9152777777777777</v>
      </c>
      <c r="C2199" s="5" t="inlineStr">
        <is>
          <t>Turo Car Rental</t>
        </is>
      </c>
      <c r="D2199" s="5" t="n">
        <v>1</v>
      </c>
      <c r="F2199" s="6" t="inlineStr">
        <is>
          <t>47126181</t>
        </is>
      </c>
      <c r="G2199" s="10" t="n"/>
      <c r="H2199" s="9" t="inlineStr">
        <is>
          <t>Sales Tax</t>
        </is>
      </c>
      <c r="I2199" s="9" t="n">
        <v>1</v>
      </c>
      <c r="J2199" s="9" t="inlineStr">
        <is>
          <t>cnt</t>
        </is>
      </c>
      <c r="K2199" s="85" t="n">
        <v>12.76</v>
      </c>
    </row>
    <row r="2200" ht="15" customFormat="1" customHeight="1" s="5">
      <c r="A2200" s="81" t="n">
        <v>45860</v>
      </c>
      <c r="B2200" s="82" t="n">
        <v>0.9152777777777777</v>
      </c>
      <c r="C2200" s="5" t="inlineStr">
        <is>
          <t>Turo Car Rental</t>
        </is>
      </c>
      <c r="D2200" s="5" t="n">
        <v>1</v>
      </c>
      <c r="F2200" s="6" t="inlineStr">
        <is>
          <t>47126181</t>
        </is>
      </c>
      <c r="G2200" s="10" t="n"/>
      <c r="H2200" s="9" t="inlineStr">
        <is>
          <t>Travel Credit (From the reservation mix-up hassle)</t>
        </is>
      </c>
      <c r="I2200" s="9" t="n">
        <v>1</v>
      </c>
      <c r="J2200" s="9" t="inlineStr">
        <is>
          <t>cnt</t>
        </is>
      </c>
      <c r="K2200" s="85" t="n">
        <v>-37.85</v>
      </c>
    </row>
    <row r="2201" ht="15" customFormat="1" customHeight="1" s="5">
      <c r="A2201" s="81" t="n">
        <v>45860</v>
      </c>
      <c r="B2201" s="82" t="n">
        <v>0.8368055555555556</v>
      </c>
      <c r="C2201" s="5" t="inlineStr">
        <is>
          <t>The Piper Inn</t>
        </is>
      </c>
      <c r="D2201" s="5" t="n">
        <v>1</v>
      </c>
      <c r="F2201" s="6" t="inlineStr">
        <is>
          <t>#BC4B551A</t>
        </is>
      </c>
      <c r="G2201" s="10" t="n"/>
      <c r="H2201" s="9" t="inlineStr">
        <is>
          <t>10 Asian Wings Wing Temp Medium Wing Sauce Blue Cheese Wing Prep Crispy Onion Extra Sauce Seasonal</t>
        </is>
      </c>
      <c r="I2201" s="9" t="n">
        <v>10</v>
      </c>
      <c r="J2201" s="9" t="inlineStr">
        <is>
          <t>cnt</t>
        </is>
      </c>
      <c r="K2201" s="9" t="n">
        <v>18.75</v>
      </c>
    </row>
    <row r="2202" ht="15" customFormat="1" customHeight="1" s="5">
      <c r="A2202" s="81" t="n">
        <v>45860</v>
      </c>
      <c r="B2202" s="82" t="n">
        <v>0.8368055555555556</v>
      </c>
      <c r="C2202" s="5" t="inlineStr">
        <is>
          <t>The Piper Inn</t>
        </is>
      </c>
      <c r="D2202" s="5" t="n">
        <v>1</v>
      </c>
      <c r="F2202" s="6" t="inlineStr">
        <is>
          <t>#BC4B551A</t>
        </is>
      </c>
      <c r="G2202" s="10" t="n"/>
      <c r="H2202" s="9" t="inlineStr">
        <is>
          <t>10 Garlic Parm Wings Wing Prep Crispy Onion Wing Sauce Blue Cheese</t>
        </is>
      </c>
      <c r="I2202" s="9" t="n">
        <v>10</v>
      </c>
      <c r="J2202" s="9" t="inlineStr">
        <is>
          <t>cnt</t>
        </is>
      </c>
      <c r="K2202" s="9" t="n">
        <v>18.75</v>
      </c>
    </row>
    <row r="2203" ht="15" customFormat="1" customHeight="1" s="5">
      <c r="A2203" s="81" t="n">
        <v>45860</v>
      </c>
      <c r="B2203" s="82" t="n">
        <v>0.8368055555555556</v>
      </c>
      <c r="C2203" s="5" t="inlineStr">
        <is>
          <t>The Piper Inn</t>
        </is>
      </c>
      <c r="D2203" s="5" t="n">
        <v>1</v>
      </c>
      <c r="F2203" s="6" t="inlineStr">
        <is>
          <t>#BC4B551A</t>
        </is>
      </c>
      <c r="G2203" s="10" t="n"/>
      <c r="H2203" s="9" t="inlineStr">
        <is>
          <t>Fees</t>
        </is>
      </c>
      <c r="I2203" s="9" t="n">
        <v>2</v>
      </c>
      <c r="J2203" s="9" t="inlineStr">
        <is>
          <t>cnt</t>
        </is>
      </c>
      <c r="K2203" s="9" t="n">
        <v>0.5</v>
      </c>
    </row>
    <row r="2204" ht="15" customFormat="1" customHeight="1" s="5">
      <c r="A2204" s="81" t="n">
        <v>45860</v>
      </c>
      <c r="B2204" s="82" t="n">
        <v>0.8368055555555556</v>
      </c>
      <c r="C2204" s="5" t="inlineStr">
        <is>
          <t>The Piper Inn</t>
        </is>
      </c>
      <c r="D2204" s="5" t="n">
        <v>1</v>
      </c>
      <c r="F2204" s="6" t="inlineStr">
        <is>
          <t>#BC4B551A</t>
        </is>
      </c>
      <c r="G2204" s="10" t="n"/>
      <c r="H2204" s="9" t="inlineStr">
        <is>
          <t>Tax</t>
        </is>
      </c>
      <c r="I2204" s="9" t="n">
        <v>2</v>
      </c>
      <c r="J2204" s="9" t="inlineStr">
        <is>
          <t>cnt</t>
        </is>
      </c>
      <c r="K2204" s="9" t="n">
        <v>1.6</v>
      </c>
    </row>
    <row r="2205" ht="15" customFormat="1" customHeight="1" s="5">
      <c r="A2205" s="81" t="n">
        <v>45860</v>
      </c>
      <c r="B2205" s="82" t="n">
        <v>0.8368055555555556</v>
      </c>
      <c r="C2205" s="5" t="inlineStr">
        <is>
          <t>The Piper Inn</t>
        </is>
      </c>
      <c r="D2205" s="5" t="n">
        <v>1</v>
      </c>
      <c r="F2205" s="6" t="inlineStr">
        <is>
          <t>#BC4B551A</t>
        </is>
      </c>
      <c r="G2205" s="10" t="n"/>
      <c r="H2205" s="9" t="inlineStr">
        <is>
          <t>Joseph Wu Treat!</t>
        </is>
      </c>
      <c r="I2205" s="9" t="n">
        <v>2</v>
      </c>
      <c r="J2205" s="9" t="inlineStr">
        <is>
          <t>cnt</t>
        </is>
      </c>
      <c r="K2205" s="9" t="n">
        <v>-39.6</v>
      </c>
    </row>
    <row r="2206" ht="15" customFormat="1" customHeight="1" s="5">
      <c r="A2206" s="81" t="n">
        <v>45860</v>
      </c>
      <c r="B2206" s="82" t="n">
        <v>0.625</v>
      </c>
      <c r="C2206" s="5" t="inlineStr">
        <is>
          <t>Zane's Italian Bistro</t>
        </is>
      </c>
      <c r="E2206" s="5" t="n">
        <v>1</v>
      </c>
      <c r="F2206" s="6" t="inlineStr">
        <is>
          <t>#4009</t>
        </is>
      </c>
      <c r="G2206" s="15" t="n"/>
      <c r="H2206" s="9" t="inlineStr">
        <is>
          <t>1/2 Lemon Cheese Salad</t>
        </is>
      </c>
      <c r="I2206" s="9" t="n">
        <v>2</v>
      </c>
      <c r="J2206" s="9" t="inlineStr">
        <is>
          <t>cnt</t>
        </is>
      </c>
      <c r="K2206" s="9" t="n">
        <v>14</v>
      </c>
    </row>
    <row r="2207" ht="15" customFormat="1" customHeight="1" s="5">
      <c r="A2207" s="81" t="n">
        <v>45860</v>
      </c>
      <c r="B2207" s="82" t="n">
        <v>0.625</v>
      </c>
      <c r="C2207" s="5" t="inlineStr">
        <is>
          <t>Zane's Italian Bistro</t>
        </is>
      </c>
      <c r="E2207" s="5" t="n">
        <v>1</v>
      </c>
      <c r="F2207" s="6" t="inlineStr">
        <is>
          <t>#4009</t>
        </is>
      </c>
      <c r="G2207" s="15" t="n"/>
      <c r="H2207" s="9" t="inlineStr">
        <is>
          <t>Calamari appetizer</t>
        </is>
      </c>
      <c r="I2207" s="9" t="n">
        <v>1</v>
      </c>
      <c r="J2207" s="9" t="inlineStr">
        <is>
          <t>cnt</t>
        </is>
      </c>
      <c r="K2207" s="9" t="n">
        <v>8</v>
      </c>
    </row>
    <row r="2208" ht="15" customFormat="1" customHeight="1" s="5">
      <c r="A2208" s="81" t="n">
        <v>45860</v>
      </c>
      <c r="B2208" s="82" t="n">
        <v>0.625</v>
      </c>
      <c r="C2208" s="5" t="inlineStr">
        <is>
          <t>Zane's Italian Bistro</t>
        </is>
      </c>
      <c r="E2208" s="5" t="n">
        <v>1</v>
      </c>
      <c r="F2208" s="6" t="inlineStr">
        <is>
          <t>#4009</t>
        </is>
      </c>
      <c r="G2208" s="15" t="n"/>
      <c r="H2208" s="9" t="inlineStr">
        <is>
          <t>1/2 Turkey club croissant</t>
        </is>
      </c>
      <c r="I2208" s="9" t="n">
        <v>1</v>
      </c>
      <c r="J2208" s="9" t="inlineStr">
        <is>
          <t>cnt</t>
        </is>
      </c>
      <c r="K2208" s="9" t="n">
        <v>7</v>
      </c>
    </row>
    <row r="2209" ht="15" customFormat="1" customHeight="1" s="5">
      <c r="A2209" s="81" t="n">
        <v>45860</v>
      </c>
      <c r="B2209" s="82" t="n">
        <v>0.625</v>
      </c>
      <c r="C2209" s="5" t="inlineStr">
        <is>
          <t>Zane's Italian Bistro</t>
        </is>
      </c>
      <c r="E2209" s="5" t="n">
        <v>1</v>
      </c>
      <c r="F2209" s="6" t="inlineStr">
        <is>
          <t>#4009</t>
        </is>
      </c>
      <c r="G2209" s="15" t="n"/>
      <c r="H2209" s="9" t="inlineStr">
        <is>
          <t>Minestrone Cup</t>
        </is>
      </c>
      <c r="I2209" s="9" t="n">
        <v>1</v>
      </c>
      <c r="J2209" s="9" t="inlineStr">
        <is>
          <t>cnt</t>
        </is>
      </c>
      <c r="K2209" s="9" t="n">
        <v>5</v>
      </c>
    </row>
    <row r="2210" ht="15" customFormat="1" customHeight="1" s="5">
      <c r="A2210" s="81" t="n">
        <v>45860</v>
      </c>
      <c r="B2210" s="82" t="n">
        <v>0.625</v>
      </c>
      <c r="C2210" s="5" t="inlineStr">
        <is>
          <t>Zane's Italian Bistro</t>
        </is>
      </c>
      <c r="E2210" s="5" t="n">
        <v>1</v>
      </c>
      <c r="F2210" s="6" t="inlineStr">
        <is>
          <t>#4009</t>
        </is>
      </c>
      <c r="G2210" s="15" t="n"/>
      <c r="H2210" s="9" t="inlineStr">
        <is>
          <t>1/2 House Salad</t>
        </is>
      </c>
      <c r="I2210" s="9" t="n">
        <v>1</v>
      </c>
      <c r="J2210" s="9" t="inlineStr">
        <is>
          <t>cnt</t>
        </is>
      </c>
      <c r="K2210" s="9" t="n">
        <v>7</v>
      </c>
    </row>
    <row r="2211" ht="15" customFormat="1" customHeight="1" s="5">
      <c r="A2211" s="81" t="n">
        <v>45860</v>
      </c>
      <c r="B2211" s="82" t="n">
        <v>0.625</v>
      </c>
      <c r="C2211" s="5" t="inlineStr">
        <is>
          <t>Zane's Italian Bistro</t>
        </is>
      </c>
      <c r="E2211" s="5" t="n">
        <v>1</v>
      </c>
      <c r="F2211" s="6" t="inlineStr">
        <is>
          <t>#4009</t>
        </is>
      </c>
      <c r="G2211" s="15" t="n"/>
      <c r="H2211" s="9" t="inlineStr">
        <is>
          <t>1/2 Chicken Alfredo ("This is NOT alfredo…" - Bella)</t>
        </is>
      </c>
      <c r="I2211" s="9" t="n">
        <v>1</v>
      </c>
      <c r="J2211" s="9" t="inlineStr">
        <is>
          <t>cnt</t>
        </is>
      </c>
      <c r="K2211" s="9" t="n">
        <v>7</v>
      </c>
    </row>
    <row r="2212" ht="15" customFormat="1" customHeight="1" s="5">
      <c r="A2212" s="81" t="n">
        <v>45860</v>
      </c>
      <c r="B2212" s="82" t="n">
        <v>0.625</v>
      </c>
      <c r="C2212" s="5" t="inlineStr">
        <is>
          <t>Zane's Italian Bistro</t>
        </is>
      </c>
      <c r="E2212" s="5" t="n">
        <v>1</v>
      </c>
      <c r="F2212" s="6" t="inlineStr">
        <is>
          <t>#4009</t>
        </is>
      </c>
      <c r="G2212" s="15" t="n"/>
      <c r="H2212" s="9" t="inlineStr">
        <is>
          <t>1/2 Pasta Bolognese (epic)</t>
        </is>
      </c>
      <c r="I2212" s="9" t="n">
        <v>1</v>
      </c>
      <c r="J2212" s="9" t="inlineStr">
        <is>
          <t>cnt</t>
        </is>
      </c>
      <c r="K2212" s="9" t="n">
        <v>7</v>
      </c>
    </row>
    <row r="2213" ht="15" customFormat="1" customHeight="1" s="38">
      <c r="A2213" s="81" t="n">
        <v>45860</v>
      </c>
      <c r="B2213" s="82" t="n">
        <v>0.625</v>
      </c>
      <c r="C2213" s="5" t="inlineStr">
        <is>
          <t>Zane's Italian Bistro</t>
        </is>
      </c>
      <c r="D2213" s="5" t="n"/>
      <c r="E2213" s="5" t="n">
        <v>1</v>
      </c>
      <c r="F2213" s="6" t="inlineStr">
        <is>
          <t>#4009</t>
        </is>
      </c>
      <c r="G2213" s="15" t="n"/>
      <c r="H2213" s="9" t="inlineStr">
        <is>
          <t>TIP ($60.03 before tip) -- confirmed with costco statement -- $67.90 total)</t>
        </is>
      </c>
      <c r="I2213" s="9" t="n">
        <v>7</v>
      </c>
      <c r="J2213" s="9" t="inlineStr">
        <is>
          <t>cnt</t>
        </is>
      </c>
      <c r="K2213" s="9" t="n">
        <v>7.87</v>
      </c>
    </row>
    <row r="2214" ht="15" customFormat="1" customHeight="1" s="38">
      <c r="A2214" s="81" t="n">
        <v>45860</v>
      </c>
      <c r="B2214" s="82" t="n">
        <v>0.625</v>
      </c>
      <c r="C2214" s="5" t="inlineStr">
        <is>
          <t>Zane's Italian Bistro</t>
        </is>
      </c>
      <c r="D2214" s="5" t="n"/>
      <c r="E2214" s="5" t="n">
        <v>1</v>
      </c>
      <c r="F2214" s="6" t="inlineStr">
        <is>
          <t>#4009</t>
        </is>
      </c>
      <c r="G2214" s="10" t="n"/>
      <c r="H2214" s="9" t="inlineStr">
        <is>
          <t>Tax</t>
        </is>
      </c>
      <c r="I2214" s="9" t="n">
        <v>7</v>
      </c>
      <c r="J2214" s="9" t="inlineStr">
        <is>
          <t>cnt</t>
        </is>
      </c>
      <c r="K2214" s="9" t="n">
        <v>5.03</v>
      </c>
    </row>
    <row r="2215" ht="15" customFormat="1" customHeight="1" s="42">
      <c r="A2215" s="81" t="n">
        <v>45860</v>
      </c>
      <c r="B2215" s="82" t="n">
        <v>0.4236111111111111</v>
      </c>
      <c r="C2215" s="5" t="inlineStr">
        <is>
          <t>Trader Joe's</t>
        </is>
      </c>
      <c r="D2215" s="5" t="n"/>
      <c r="E2215" s="5" t="n">
        <v>1</v>
      </c>
      <c r="F2215" s="6" t="inlineStr">
        <is>
          <t>161079</t>
        </is>
      </c>
      <c r="G2215" s="10" t="n"/>
      <c r="H2215" s="9" t="inlineStr">
        <is>
          <t>**REFUNDED** Salmon Pastrami Style Smoked Atlantic</t>
        </is>
      </c>
      <c r="I2215" s="9" t="n">
        <v>5</v>
      </c>
      <c r="J2215" s="9" t="inlineStr">
        <is>
          <t>oz</t>
        </is>
      </c>
      <c r="K2215" s="9" t="n">
        <v>-5.99</v>
      </c>
    </row>
    <row r="2216" ht="15" customFormat="1" customHeight="1" s="42">
      <c r="A2216" s="81" t="n">
        <v>45860</v>
      </c>
      <c r="B2216" s="82" t="n">
        <v>0.4236111111111111</v>
      </c>
      <c r="C2216" s="5" t="inlineStr">
        <is>
          <t>Trader Joe's</t>
        </is>
      </c>
      <c r="D2216" s="5" t="n"/>
      <c r="E2216" s="5" t="n">
        <v>1</v>
      </c>
      <c r="F2216" s="6" t="inlineStr">
        <is>
          <t>161079</t>
        </is>
      </c>
      <c r="G2216" s="10" t="n"/>
      <c r="H2216" s="9" t="inlineStr">
        <is>
          <t>Mary Wu Treat!</t>
        </is>
      </c>
      <c r="I2216" s="9" t="n">
        <v>5</v>
      </c>
      <c r="J2216" s="9" t="inlineStr">
        <is>
          <t>oz</t>
        </is>
      </c>
      <c r="K2216" s="9" t="n">
        <v>5.99</v>
      </c>
    </row>
    <row r="2217" ht="15" customFormat="1" customHeight="1" s="42">
      <c r="A2217" s="81" t="n">
        <v>45860</v>
      </c>
      <c r="B2217" s="82" t="n">
        <v>0.4194444444444445</v>
      </c>
      <c r="C2217" s="5" t="inlineStr">
        <is>
          <t>Trader Joe's</t>
        </is>
      </c>
      <c r="D2217" s="5" t="n"/>
      <c r="E2217" s="5" t="n">
        <v>1</v>
      </c>
      <c r="F2217" s="6" t="inlineStr">
        <is>
          <t>340459</t>
        </is>
      </c>
      <c r="G2217" s="10" t="n"/>
      <c r="H2217" s="9" t="inlineStr">
        <is>
          <t>Mary Wu</t>
        </is>
      </c>
      <c r="I2217" s="9" t="n"/>
      <c r="J2217" s="9" t="n"/>
      <c r="K2217" s="9" t="n">
        <v>92.31999999999999</v>
      </c>
    </row>
    <row r="2218" ht="15" customFormat="1" customHeight="1" s="42">
      <c r="A2218" s="81" t="n">
        <v>45860</v>
      </c>
      <c r="B2218" s="82" t="n">
        <v>0.4194444444444445</v>
      </c>
      <c r="C2218" s="5" t="inlineStr">
        <is>
          <t>Trader Joe's</t>
        </is>
      </c>
      <c r="D2218" s="5" t="n"/>
      <c r="E2218" s="5" t="n">
        <v>1</v>
      </c>
      <c r="F2218" s="6" t="inlineStr">
        <is>
          <t>340459</t>
        </is>
      </c>
      <c r="G2218" s="10" t="n"/>
      <c r="H2218" s="9" t="inlineStr">
        <is>
          <t>Mary Wu Treat!</t>
        </is>
      </c>
      <c r="I2218" s="9" t="n"/>
      <c r="J2218" s="9" t="n"/>
      <c r="K2218" s="9" t="n">
        <v>-92.31999999999999</v>
      </c>
    </row>
    <row r="2219" ht="15" customFormat="1" customHeight="1" s="5">
      <c r="A2219" s="81" t="n">
        <v>45860</v>
      </c>
      <c r="B2219" s="82" t="n">
        <v>0.2916666666666667</v>
      </c>
      <c r="C2219" s="5" t="inlineStr">
        <is>
          <t>Xcel Energy</t>
        </is>
      </c>
      <c r="D2219" s="5" t="n">
        <v>1</v>
      </c>
      <c r="F2219" s="6" t="inlineStr">
        <is>
          <t>934176476_</t>
        </is>
      </c>
      <c r="G2219" s="15" t="n"/>
      <c r="H2219" s="9" t="inlineStr">
        <is>
          <t>Electricity 05/29/25 - 06/29/25</t>
        </is>
      </c>
      <c r="I2219" s="9" t="n">
        <v>530</v>
      </c>
      <c r="J2219" s="9" t="inlineStr">
        <is>
          <t>kWh</t>
        </is>
      </c>
      <c r="K2219" s="9" t="n">
        <v>94.73</v>
      </c>
    </row>
    <row r="2220" ht="15" customFormat="1" customHeight="1" s="5">
      <c r="A2220" s="81" t="n">
        <v>45860</v>
      </c>
      <c r="B2220" s="82" t="n">
        <v>0.2916666666666667</v>
      </c>
      <c r="C2220" s="5" t="inlineStr">
        <is>
          <t>Xcel Energy</t>
        </is>
      </c>
      <c r="D2220" s="5" t="n">
        <v>1</v>
      </c>
      <c r="F2220" s="6" t="inlineStr">
        <is>
          <t>934176476_</t>
        </is>
      </c>
      <c r="G2220" s="15" t="n"/>
      <c r="H2220" s="9" t="inlineStr">
        <is>
          <t>Natural Gas 05/30/25 - 07/01/25</t>
        </is>
      </c>
      <c r="I2220" s="9" t="n">
        <v>9</v>
      </c>
      <c r="J2220" s="9" t="inlineStr">
        <is>
          <t>therms</t>
        </is>
      </c>
      <c r="K2220" s="9" t="n">
        <v>20.07</v>
      </c>
    </row>
    <row r="2221" ht="15" customFormat="1" customHeight="1" s="5">
      <c r="A2221" s="81" t="n">
        <v>45860</v>
      </c>
      <c r="B2221" s="82" t="n">
        <v>0.2916666666666667</v>
      </c>
      <c r="C2221" s="5" t="inlineStr">
        <is>
          <t>Xcel Energy</t>
        </is>
      </c>
      <c r="D2221" s="5" t="n">
        <v>1</v>
      </c>
      <c r="F2221" s="6" t="inlineStr">
        <is>
          <t>934176476_</t>
        </is>
      </c>
      <c r="G2221" s="15" t="n"/>
      <c r="H2221" s="9" t="inlineStr">
        <is>
          <t>Sales Tax</t>
        </is>
      </c>
      <c r="I2221" s="9" t="n"/>
      <c r="J2221" s="9" t="n"/>
      <c r="K2221" s="9">
        <f>3.65+0.77</f>
        <v/>
      </c>
    </row>
    <row r="2222" ht="15" customFormat="1" customHeight="1" s="5">
      <c r="A2222" s="81" t="n">
        <v>45860</v>
      </c>
      <c r="B2222" s="82" t="n">
        <v>0.2916666666666667</v>
      </c>
      <c r="C2222" s="5" t="inlineStr">
        <is>
          <t>Xcel Energy</t>
        </is>
      </c>
      <c r="D2222" s="5" t="n">
        <v>1</v>
      </c>
      <c r="F2222" s="6" t="inlineStr">
        <is>
          <t>934176476_</t>
        </is>
      </c>
      <c r="G2222" s="15" t="n"/>
      <c r="H2222" s="9" t="inlineStr">
        <is>
          <t>Franchise Fee 3.00%</t>
        </is>
      </c>
      <c r="I2222" s="9" t="n"/>
      <c r="J2222" s="9" t="n"/>
      <c r="K2222" s="9">
        <f>2.85+0.61</f>
        <v/>
      </c>
    </row>
    <row r="2223" ht="15" customFormat="1" customHeight="1" s="38">
      <c r="A2223" s="81" t="n">
        <v>45859</v>
      </c>
      <c r="B2223" s="82" t="n">
        <v>0.8923726851851852</v>
      </c>
      <c r="C2223" s="5" t="inlineStr">
        <is>
          <t>Walmart</t>
        </is>
      </c>
      <c r="D2223" s="5" t="n"/>
      <c r="E2223" s="5" t="n"/>
      <c r="F2223" s="6" t="inlineStr">
        <is>
          <t>0201 2363 2745 3352 5023</t>
        </is>
      </c>
      <c r="G2223" s="10" t="n"/>
      <c r="H2223" s="9" t="inlineStr">
        <is>
          <t>Dad:)</t>
        </is>
      </c>
      <c r="I2223" s="9" t="n"/>
      <c r="J2223" s="9" t="n"/>
      <c r="K2223" s="9" t="n">
        <v>32.25</v>
      </c>
    </row>
    <row r="2224" ht="15" customFormat="1" customHeight="1" s="5">
      <c r="A2224" s="81" t="n">
        <v>45859</v>
      </c>
      <c r="B2224" s="82" t="n">
        <v>0.8923726851851852</v>
      </c>
      <c r="C2224" s="5" t="inlineStr">
        <is>
          <t>Walmart</t>
        </is>
      </c>
      <c r="F2224" s="6" t="inlineStr">
        <is>
          <t>0201 2363 2745 3352 5023</t>
        </is>
      </c>
      <c r="G2224" s="10" t="n"/>
      <c r="H2224" s="9" t="inlineStr">
        <is>
          <t>Joseph Wu Treat!</t>
        </is>
      </c>
      <c r="I2224" s="9" t="n"/>
      <c r="J2224" s="9" t="n"/>
      <c r="K2224" s="9" t="n">
        <v>-32.25</v>
      </c>
    </row>
    <row r="2225" ht="15" customFormat="1" customHeight="1" s="5">
      <c r="A2225" s="81" t="n">
        <v>45859</v>
      </c>
      <c r="B2225" s="82" t="n">
        <v>0.6784722222222223</v>
      </c>
      <c r="C2225" s="5" t="inlineStr">
        <is>
          <t>Aurora Water</t>
        </is>
      </c>
      <c r="D2225" s="5" t="n">
        <v>1</v>
      </c>
      <c r="F2225" s="6" t="inlineStr">
        <is>
          <t>0003182028_4403609774</t>
        </is>
      </c>
      <c r="G2225" s="10" t="n"/>
      <c r="H2225" s="9" t="inlineStr">
        <is>
          <t>First 5K GAL @$5.63/KGal</t>
        </is>
      </c>
      <c r="I2225" s="9" t="n">
        <v>4</v>
      </c>
      <c r="J2225" s="9" t="inlineStr">
        <is>
          <t>KGal</t>
        </is>
      </c>
      <c r="K2225" s="9" t="n">
        <v>22.52</v>
      </c>
    </row>
    <row r="2226" ht="15" customFormat="1" customHeight="1" s="5">
      <c r="A2226" s="81" t="n">
        <v>45859</v>
      </c>
      <c r="B2226" s="82" t="n">
        <v>0.6784722222222223</v>
      </c>
      <c r="C2226" s="5" t="inlineStr">
        <is>
          <t>Aurora Water</t>
        </is>
      </c>
      <c r="D2226" s="5" t="n">
        <v>1</v>
      </c>
      <c r="F2226" s="6" t="inlineStr">
        <is>
          <t>0003182028_4403609774</t>
        </is>
      </c>
      <c r="G2226" s="10" t="n"/>
      <c r="H2226" s="9" t="inlineStr">
        <is>
          <t>Sewer Usage Chg @$5.06/Kgal</t>
        </is>
      </c>
      <c r="I2226" s="9" t="n">
        <v>3.33</v>
      </c>
      <c r="J2226" s="9" t="inlineStr">
        <is>
          <t>kGal</t>
        </is>
      </c>
      <c r="K2226" s="9" t="n">
        <v>16.85</v>
      </c>
    </row>
    <row r="2227" ht="15" customHeight="1" s="74">
      <c r="A2227" s="81" t="n">
        <v>45859</v>
      </c>
      <c r="B2227" s="82" t="n">
        <v>0.6784722222222223</v>
      </c>
      <c r="C2227" s="5" t="inlineStr">
        <is>
          <t>Aurora Water</t>
        </is>
      </c>
      <c r="D2227" s="5" t="n">
        <v>1</v>
      </c>
      <c r="E2227" s="5" t="n"/>
      <c r="F2227" s="6" t="inlineStr">
        <is>
          <t>0003182028_4403609774</t>
        </is>
      </c>
      <c r="G2227" s="10" t="n"/>
      <c r="H2227" s="9" t="inlineStr">
        <is>
          <t>Water Monthly Svc Chg</t>
        </is>
      </c>
      <c r="I2227" s="9" t="n"/>
      <c r="J2227" s="9" t="n"/>
      <c r="K2227" s="9" t="n">
        <v>14.94</v>
      </c>
    </row>
    <row r="2228" ht="15" customFormat="1" customHeight="1" s="5">
      <c r="A2228" s="81" t="n">
        <v>45859</v>
      </c>
      <c r="B2228" s="82" t="n">
        <v>0.6784722222222223</v>
      </c>
      <c r="C2228" s="5" t="inlineStr">
        <is>
          <t>Aurora Water</t>
        </is>
      </c>
      <c r="D2228" s="5" t="n">
        <v>1</v>
      </c>
      <c r="F2228" s="6" t="inlineStr">
        <is>
          <t>0003182028_4403609774</t>
        </is>
      </c>
      <c r="G2228" s="10" t="n"/>
      <c r="H2228" s="9" t="inlineStr">
        <is>
          <t>Storm Drain Base</t>
        </is>
      </c>
      <c r="I2228" s="9" t="n"/>
      <c r="J2228" s="9" t="n"/>
      <c r="K2228" s="9" t="n">
        <v>11.6</v>
      </c>
    </row>
    <row r="2229" ht="15" customFormat="1" customHeight="1" s="5">
      <c r="A2229" s="81" t="n">
        <v>45859</v>
      </c>
      <c r="B2229" s="82" t="n">
        <v>0.6784722222222223</v>
      </c>
      <c r="C2229" s="5" t="inlineStr">
        <is>
          <t>Aurora Water</t>
        </is>
      </c>
      <c r="D2229" s="5" t="n">
        <v>1</v>
      </c>
      <c r="F2229" s="6" t="inlineStr">
        <is>
          <t>0003182028_4403609774</t>
        </is>
      </c>
      <c r="G2229" s="10" t="n"/>
      <c r="H2229" s="9" t="inlineStr">
        <is>
          <t>Sewer Monthly Svc Chg</t>
        </is>
      </c>
      <c r="I2229" s="9" t="n"/>
      <c r="J2229" s="9" t="n"/>
      <c r="K2229" s="9" t="n">
        <v>5.51</v>
      </c>
    </row>
    <row r="2230" ht="15" customFormat="1" customHeight="1" s="5">
      <c r="A2230" s="81" t="n">
        <v>45858</v>
      </c>
      <c r="B2230" s="82" t="n">
        <v>0.7819444444444444</v>
      </c>
      <c r="C2230" s="5" t="inlineStr">
        <is>
          <t>Safeway</t>
        </is>
      </c>
      <c r="E2230" s="5" t="n">
        <v>1</v>
      </c>
      <c r="F2230" s="6" t="inlineStr">
        <is>
          <t>2612 53 80 8853</t>
        </is>
      </c>
      <c r="G2230" s="10" t="n"/>
      <c r="H2230" s="9" t="inlineStr">
        <is>
          <t>Sig Select Ice Cream Moose Tracks</t>
        </is>
      </c>
      <c r="I2230" s="9" t="n">
        <v>1.5</v>
      </c>
      <c r="J2230" s="9" t="inlineStr">
        <is>
          <t>quart</t>
        </is>
      </c>
      <c r="K2230" s="9" t="n">
        <v>3.33</v>
      </c>
    </row>
    <row r="2231" ht="15" customFormat="1" customHeight="1" s="5">
      <c r="A2231" s="81" t="n">
        <v>45858</v>
      </c>
      <c r="B2231" s="82" t="n">
        <v>0.7819444444444444</v>
      </c>
      <c r="C2231" s="5" t="inlineStr">
        <is>
          <t>Safeway</t>
        </is>
      </c>
      <c r="E2231" s="5" t="n">
        <v>1</v>
      </c>
      <c r="F2231" s="6" t="inlineStr">
        <is>
          <t>2612 53 80 8853</t>
        </is>
      </c>
      <c r="G2231" s="10" t="n"/>
      <c r="H2231" s="9" t="inlineStr">
        <is>
          <t>Sig Select Ice Cream Butter Pecan</t>
        </is>
      </c>
      <c r="I2231" s="9" t="n">
        <v>1.5</v>
      </c>
      <c r="J2231" s="9" t="inlineStr">
        <is>
          <t>quart</t>
        </is>
      </c>
      <c r="K2231" s="9" t="n">
        <v>3.33</v>
      </c>
    </row>
    <row r="2232" ht="15" customFormat="1" customHeight="1" s="5">
      <c r="A2232" s="81" t="n">
        <v>45858</v>
      </c>
      <c r="B2232" s="82" t="n">
        <v>0.7819444444444444</v>
      </c>
      <c r="C2232" s="5" t="inlineStr">
        <is>
          <t>Safeway</t>
        </is>
      </c>
      <c r="E2232" s="5" t="n">
        <v>1</v>
      </c>
      <c r="F2232" s="6" t="inlineStr">
        <is>
          <t>2612 53 80 8853</t>
        </is>
      </c>
      <c r="G2232" s="10" t="n"/>
      <c r="H2232" s="9" t="inlineStr">
        <is>
          <t>Sig Select Ice Cream Mint Chip</t>
        </is>
      </c>
      <c r="I2232" s="9" t="n">
        <v>1.5</v>
      </c>
      <c r="J2232" s="9" t="inlineStr">
        <is>
          <t>quart</t>
        </is>
      </c>
      <c r="K2232" s="9" t="n">
        <v>3.33</v>
      </c>
    </row>
    <row r="2233" ht="15" customFormat="1" customHeight="1" s="5">
      <c r="A2233" s="81" t="n">
        <v>45858</v>
      </c>
      <c r="B2233" s="82" t="n">
        <v>0.7819444444444444</v>
      </c>
      <c r="C2233" s="5" t="inlineStr">
        <is>
          <t>Safeway</t>
        </is>
      </c>
      <c r="E2233" s="5" t="n">
        <v>1</v>
      </c>
      <c r="F2233" s="6" t="inlineStr">
        <is>
          <t>2612 53 80 8853</t>
        </is>
      </c>
      <c r="G2233" s="10" t="n"/>
      <c r="H2233" s="9" t="inlineStr">
        <is>
          <t>Rebel Ice Cream Coffee</t>
        </is>
      </c>
      <c r="I2233" s="9" t="n">
        <v>1</v>
      </c>
      <c r="J2233" s="9" t="inlineStr">
        <is>
          <t>pint</t>
        </is>
      </c>
      <c r="K2233" s="9" t="n">
        <v>5.49</v>
      </c>
    </row>
    <row r="2234" ht="15" customFormat="1" customHeight="1" s="38">
      <c r="A2234" s="81" t="n">
        <v>45858</v>
      </c>
      <c r="B2234" s="82" t="n">
        <v>0.7819444444444444</v>
      </c>
      <c r="C2234" s="5" t="inlineStr">
        <is>
          <t>Safeway</t>
        </is>
      </c>
      <c r="D2234" s="5" t="n"/>
      <c r="E2234" s="5" t="n">
        <v>1</v>
      </c>
      <c r="F2234" s="6" t="inlineStr">
        <is>
          <t>2612 53 80 8853</t>
        </is>
      </c>
      <c r="G2234" s="10" t="n"/>
      <c r="H2234" s="9" t="inlineStr">
        <is>
          <t>Rebel Ice Cream Mint Chocolate</t>
        </is>
      </c>
      <c r="I2234" s="9" t="n">
        <v>1</v>
      </c>
      <c r="J2234" s="9" t="inlineStr">
        <is>
          <t>pint</t>
        </is>
      </c>
      <c r="K2234" s="9" t="n">
        <v>5.49</v>
      </c>
    </row>
    <row r="2235" ht="15" customFormat="1" customHeight="1" s="38">
      <c r="A2235" s="81" t="n">
        <v>45858</v>
      </c>
      <c r="B2235" s="82" t="n">
        <v>0.7819444444444444</v>
      </c>
      <c r="C2235" s="5" t="inlineStr">
        <is>
          <t>Safeway</t>
        </is>
      </c>
      <c r="D2235" s="5" t="n"/>
      <c r="E2235" s="5" t="n">
        <v>1</v>
      </c>
      <c r="F2235" s="6" t="inlineStr">
        <is>
          <t>2612 53 80 8853</t>
        </is>
      </c>
      <c r="G2235" s="10" t="n"/>
      <c r="H2235" s="9" t="inlineStr">
        <is>
          <t>**DISCOUNT** Safeway Rewards and CashOff</t>
        </is>
      </c>
      <c r="I2235" s="9" t="n">
        <v>1</v>
      </c>
      <c r="J2235" s="9" t="inlineStr">
        <is>
          <t>cnt</t>
        </is>
      </c>
      <c r="K2235" s="9" t="n">
        <v>-1</v>
      </c>
    </row>
    <row r="2236" ht="15" customFormat="1" customHeight="1" s="5">
      <c r="A2236" s="81" t="n">
        <v>45858</v>
      </c>
      <c r="B2236" s="82" t="n">
        <v>0.7819444444444444</v>
      </c>
      <c r="C2236" s="5" t="inlineStr">
        <is>
          <t>Safeway</t>
        </is>
      </c>
      <c r="E2236" s="5" t="n">
        <v>1</v>
      </c>
      <c r="F2236" s="6" t="inlineStr">
        <is>
          <t>2612 53 80 8853</t>
        </is>
      </c>
      <c r="G2236" s="10" t="n"/>
      <c r="H2236" s="9" t="inlineStr">
        <is>
          <t>Tax</t>
        </is>
      </c>
      <c r="I2236" s="9" t="n">
        <v>6</v>
      </c>
      <c r="J2236" s="9" t="inlineStr">
        <is>
          <t>cnt</t>
        </is>
      </c>
      <c r="K2236" s="9" t="n">
        <v>0</v>
      </c>
    </row>
    <row r="2237" ht="15" customFormat="1" customHeight="1" s="5">
      <c r="A2237" s="81" t="n">
        <v>45858</v>
      </c>
      <c r="B2237" s="82" t="n">
        <v>0.7726736111111111</v>
      </c>
      <c r="C2237" s="5" t="inlineStr">
        <is>
          <t>Lowe's</t>
        </is>
      </c>
      <c r="E2237" s="5" t="n">
        <v>1</v>
      </c>
      <c r="F2237" s="6" t="inlineStr">
        <is>
          <t>0102 20</t>
        </is>
      </c>
      <c r="G2237" s="15" t="inlineStr">
        <is>
          <t>2576</t>
        </is>
      </c>
      <c r="H2237" s="9" t="inlineStr">
        <is>
          <t>HM 10ct 1-1/4-IN ZNC FEND washer 2 cnt @$0.22/each</t>
        </is>
      </c>
      <c r="I2237" s="9" t="n">
        <v>2</v>
      </c>
      <c r="J2237" s="9" t="inlineStr">
        <is>
          <t>cnt</t>
        </is>
      </c>
      <c r="K2237" s="9" t="n">
        <v>0.44</v>
      </c>
    </row>
    <row r="2238" ht="15" customFormat="1" customHeight="1" s="5">
      <c r="A2238" s="81" t="n">
        <v>45858</v>
      </c>
      <c r="B2238" s="82" t="n">
        <v>0.7726736111111111</v>
      </c>
      <c r="C2238" s="5" t="inlineStr">
        <is>
          <t>Lowe's</t>
        </is>
      </c>
      <c r="E2238" s="5" t="n">
        <v>1</v>
      </c>
      <c r="F2238" s="6" t="inlineStr">
        <is>
          <t>0102 20</t>
        </is>
      </c>
      <c r="G2238" s="10" t="n"/>
      <c r="H2238" s="9" t="inlineStr">
        <is>
          <t>Tax</t>
        </is>
      </c>
      <c r="I2238" s="9" t="n">
        <v>2</v>
      </c>
      <c r="J2238" s="9" t="inlineStr">
        <is>
          <t>cnt</t>
        </is>
      </c>
      <c r="K2238" s="9" t="n">
        <v>0.04</v>
      </c>
    </row>
    <row r="2239" ht="15" customFormat="1" customHeight="1" s="5">
      <c r="A2239" s="81" t="n">
        <v>45858</v>
      </c>
      <c r="B2239" s="82" t="n">
        <v>0.6215277777777778</v>
      </c>
      <c r="C2239" s="5" t="inlineStr">
        <is>
          <t>Mt. Fuji Hibachi and Sushi</t>
        </is>
      </c>
      <c r="F2239" s="6" t="n"/>
      <c r="G2239" s="10" t="n"/>
      <c r="H2239" s="9" t="inlineStr">
        <is>
          <t>Joe Wu</t>
        </is>
      </c>
      <c r="I2239" s="9" t="n"/>
      <c r="J2239" s="9" t="n"/>
      <c r="K2239" s="9" t="n">
        <v>106.23</v>
      </c>
    </row>
    <row r="2240" ht="15" customFormat="1" customHeight="1" s="5">
      <c r="A2240" s="81" t="n">
        <v>45858</v>
      </c>
      <c r="B2240" s="82" t="n">
        <v>0.6215277777777778</v>
      </c>
      <c r="C2240" s="5" t="inlineStr">
        <is>
          <t>Mt. Fuji Hibachi and Sushi</t>
        </is>
      </c>
      <c r="F2240" s="6" t="n"/>
      <c r="G2240" s="10" t="n"/>
      <c r="H2240" s="9" t="inlineStr">
        <is>
          <t>Joseph Wu Treat!</t>
        </is>
      </c>
      <c r="I2240" s="9" t="n"/>
      <c r="J2240" s="9" t="n"/>
      <c r="K2240" s="9" t="n">
        <v>-106.23</v>
      </c>
    </row>
    <row r="2241" ht="15" customFormat="1" customHeight="1" s="5">
      <c r="A2241" s="81" t="n">
        <v>45858</v>
      </c>
      <c r="B2241" s="82" t="n">
        <v>0.3631944444444444</v>
      </c>
      <c r="C2241" s="5" t="inlineStr">
        <is>
          <t>Renegade Burrito</t>
        </is>
      </c>
      <c r="E2241" s="5" t="n">
        <v>1</v>
      </c>
      <c r="F2241" s="6" t="inlineStr">
        <is>
          <t>#xr9pg</t>
        </is>
      </c>
      <c r="G2241" s="10" t="n"/>
      <c r="H2241" s="9" t="inlineStr">
        <is>
          <t>Inferno Breakfast Burrito</t>
        </is>
      </c>
      <c r="I2241" s="9" t="n">
        <v>1</v>
      </c>
      <c r="J2241" s="9" t="inlineStr">
        <is>
          <t>cnt</t>
        </is>
      </c>
      <c r="K2241" s="9" t="n">
        <v>8.59</v>
      </c>
    </row>
    <row r="2242" ht="15" customFormat="1" customHeight="1" s="5">
      <c r="A2242" s="81" t="n">
        <v>45858</v>
      </c>
      <c r="B2242" s="82" t="n">
        <v>0.3631944444444444</v>
      </c>
      <c r="C2242" s="5" t="inlineStr">
        <is>
          <t>Renegade Burrito</t>
        </is>
      </c>
      <c r="E2242" s="5" t="n">
        <v>1</v>
      </c>
      <c r="F2242" s="6" t="inlineStr">
        <is>
          <t>#xr9pg</t>
        </is>
      </c>
      <c r="G2242" s="10" t="n"/>
      <c r="H2242" s="9" t="inlineStr">
        <is>
          <t>Inferno Breakfast Burrito</t>
        </is>
      </c>
      <c r="I2242" s="9" t="n">
        <v>1</v>
      </c>
      <c r="J2242" s="9" t="inlineStr">
        <is>
          <t>cnt</t>
        </is>
      </c>
      <c r="K2242" s="9" t="n">
        <v>8.59</v>
      </c>
    </row>
    <row r="2243" ht="15" customFormat="1" customHeight="1" s="5">
      <c r="A2243" s="81" t="n">
        <v>45858</v>
      </c>
      <c r="B2243" s="82" t="n">
        <v>0.3631944444444444</v>
      </c>
      <c r="C2243" s="5" t="inlineStr">
        <is>
          <t>Renegade Burrito</t>
        </is>
      </c>
      <c r="E2243" s="5" t="n">
        <v>1</v>
      </c>
      <c r="F2243" s="6" t="inlineStr">
        <is>
          <t>#xr9pg</t>
        </is>
      </c>
      <c r="G2243" s="10" t="n"/>
      <c r="H2243" s="9" t="inlineStr">
        <is>
          <t>Lola G's Bandit Burrito</t>
        </is>
      </c>
      <c r="I2243" s="9" t="n">
        <v>1</v>
      </c>
      <c r="J2243" s="9" t="inlineStr">
        <is>
          <t>cnt</t>
        </is>
      </c>
      <c r="K2243" s="9" t="n">
        <v>12.69</v>
      </c>
    </row>
    <row r="2244" ht="15" customFormat="1" customHeight="1" s="5">
      <c r="A2244" s="81" t="n">
        <v>45858</v>
      </c>
      <c r="B2244" s="82" t="n">
        <v>0.3631944444444444</v>
      </c>
      <c r="C2244" s="5" t="inlineStr">
        <is>
          <t>Renegade Burrito</t>
        </is>
      </c>
      <c r="E2244" s="5" t="n">
        <v>1</v>
      </c>
      <c r="F2244" s="6" t="inlineStr">
        <is>
          <t>#xr9pg</t>
        </is>
      </c>
      <c r="G2244" s="10" t="n"/>
      <c r="H2244" s="9" t="inlineStr">
        <is>
          <t>Mile High Breakfast Burrito</t>
        </is>
      </c>
      <c r="I2244" s="9" t="n">
        <v>1</v>
      </c>
      <c r="J2244" s="9" t="inlineStr">
        <is>
          <t>cnt</t>
        </is>
      </c>
      <c r="K2244" s="9" t="n">
        <v>10.49</v>
      </c>
    </row>
    <row r="2245" ht="15" customFormat="1" customHeight="1" s="5">
      <c r="A2245" s="81" t="n">
        <v>45858</v>
      </c>
      <c r="B2245" s="82" t="n">
        <v>0.3631944444444444</v>
      </c>
      <c r="C2245" s="5" t="inlineStr">
        <is>
          <t>Renegade Burrito</t>
        </is>
      </c>
      <c r="E2245" s="5" t="n">
        <v>1</v>
      </c>
      <c r="F2245" s="6" t="inlineStr">
        <is>
          <t>#xr9pg</t>
        </is>
      </c>
      <c r="G2245" s="10" t="n"/>
      <c r="H2245" s="9" t="inlineStr">
        <is>
          <t>Tax</t>
        </is>
      </c>
      <c r="I2245" s="9" t="n">
        <v>4</v>
      </c>
      <c r="J2245" s="9" t="inlineStr">
        <is>
          <t>cnt</t>
        </is>
      </c>
      <c r="K2245" s="9" t="n">
        <v>3.69</v>
      </c>
    </row>
    <row r="2246" ht="15" customFormat="1" customHeight="1" s="5">
      <c r="A2246" s="81" t="n">
        <v>45858</v>
      </c>
      <c r="B2246" s="82" t="n">
        <v>0.3631944444444444</v>
      </c>
      <c r="C2246" s="5" t="inlineStr">
        <is>
          <t>Renegade Burrito</t>
        </is>
      </c>
      <c r="E2246" s="5" t="n">
        <v>1</v>
      </c>
      <c r="F2246" s="6" t="inlineStr">
        <is>
          <t>#xr9pg</t>
        </is>
      </c>
      <c r="G2246" s="10" t="n"/>
      <c r="H2246" s="9" t="inlineStr">
        <is>
          <t>Joseph Wu Treat!</t>
        </is>
      </c>
      <c r="I2246" s="9" t="n">
        <v>4</v>
      </c>
      <c r="J2246" s="9" t="inlineStr">
        <is>
          <t>cnt</t>
        </is>
      </c>
      <c r="K2246" s="9" t="n">
        <v>-44.05</v>
      </c>
    </row>
    <row r="2247" ht="15" customFormat="1" customHeight="1" s="42">
      <c r="A2247" s="81" t="n">
        <v>45857</v>
      </c>
      <c r="B2247" s="82" t="n">
        <v>0.8715046296296296</v>
      </c>
      <c r="C2247" s="5" t="inlineStr">
        <is>
          <t>Gates Tennis Center</t>
        </is>
      </c>
      <c r="D2247" s="5" t="n">
        <v>1</v>
      </c>
      <c r="E2247" s="5" t="n"/>
      <c r="F2247" s="6" t="inlineStr">
        <is>
          <t>854011</t>
        </is>
      </c>
      <c r="G2247" s="10" t="n"/>
      <c r="H2247" s="18" t="inlineStr">
        <is>
          <t>Pickleball court -- Partially re-booked / did not re-book</t>
        </is>
      </c>
      <c r="I2247" s="9" t="n">
        <v>1</v>
      </c>
      <c r="J2247" s="9" t="inlineStr">
        <is>
          <t>cnt</t>
        </is>
      </c>
      <c r="K2247" s="85" t="n">
        <v>3.5</v>
      </c>
    </row>
    <row r="2248" ht="15" customFormat="1" customHeight="1" s="42">
      <c r="A2248" s="81" t="n">
        <v>45857</v>
      </c>
      <c r="B2248" s="82" t="n">
        <v>0.8104166666666667</v>
      </c>
      <c r="C2248" s="5" t="inlineStr">
        <is>
          <t>Chopstix</t>
        </is>
      </c>
      <c r="D2248" s="5" t="n"/>
      <c r="E2248" s="5" t="n"/>
      <c r="F2248" s="6" t="n"/>
      <c r="G2248" s="10" t="n"/>
      <c r="H2248" s="9" t="inlineStr">
        <is>
          <t>Chopstix Joe Wu</t>
        </is>
      </c>
      <c r="I2248" s="9" t="n"/>
      <c r="J2248" s="9" t="n"/>
      <c r="K2248" s="9" t="n">
        <v>63.96</v>
      </c>
    </row>
    <row r="2249" ht="15" customFormat="1" customHeight="1" s="5">
      <c r="A2249" s="81" t="n">
        <v>45857</v>
      </c>
      <c r="B2249" s="82" t="n">
        <v>0.8104166666666667</v>
      </c>
      <c r="C2249" s="5" t="inlineStr">
        <is>
          <t>Chopstix</t>
        </is>
      </c>
      <c r="F2249" s="6" t="n"/>
      <c r="G2249" s="10" t="n"/>
      <c r="H2249" s="9" t="inlineStr">
        <is>
          <t>Joseph Wu Treat!</t>
        </is>
      </c>
      <c r="I2249" s="9" t="n"/>
      <c r="J2249" s="9" t="n"/>
      <c r="K2249" s="9" t="n">
        <v>-63.96</v>
      </c>
    </row>
    <row r="2250" ht="15" customFormat="1" customHeight="1" s="5">
      <c r="A2250" s="81" t="n">
        <v>45857</v>
      </c>
      <c r="B2250" s="82" t="n">
        <v>0.6923611111111111</v>
      </c>
      <c r="C2250" s="5" t="inlineStr">
        <is>
          <t>Costco</t>
        </is>
      </c>
      <c r="F2250" s="6" t="n"/>
      <c r="G2250" s="10" t="n"/>
      <c r="H2250" s="9" t="inlineStr">
        <is>
          <t>Costco again pineapple etc Joe Wu</t>
        </is>
      </c>
      <c r="I2250" s="9" t="n"/>
      <c r="J2250" s="9" t="n"/>
      <c r="K2250" s="9" t="n">
        <v>43.71</v>
      </c>
    </row>
    <row r="2251" ht="15" customFormat="1" customHeight="1" s="5">
      <c r="A2251" s="81" t="n">
        <v>45857</v>
      </c>
      <c r="B2251" s="82" t="n">
        <v>0.6923611111111111</v>
      </c>
      <c r="C2251" s="5" t="inlineStr">
        <is>
          <t>Costco</t>
        </is>
      </c>
      <c r="F2251" s="6" t="n"/>
      <c r="G2251" s="10" t="n"/>
      <c r="H2251" s="9" t="inlineStr">
        <is>
          <t>Joseph Wu Treat!</t>
        </is>
      </c>
      <c r="I2251" s="9" t="n"/>
      <c r="J2251" s="9" t="n"/>
      <c r="K2251" s="9" t="n">
        <v>-43.71</v>
      </c>
    </row>
    <row r="2252" ht="15" customFormat="1" customHeight="1" s="42">
      <c r="A2252" s="81" t="n">
        <v>45857</v>
      </c>
      <c r="B2252" s="82" t="n">
        <v>0.6715277777777777</v>
      </c>
      <c r="C2252" s="5" t="inlineStr">
        <is>
          <t>Venmo</t>
        </is>
      </c>
      <c r="D2252" s="5" t="n">
        <v>1</v>
      </c>
      <c r="E2252" s="5" t="n"/>
      <c r="F2252" s="6" t="inlineStr">
        <is>
          <t>4380487753831784617</t>
        </is>
      </c>
      <c r="G2252" s="10" t="n"/>
      <c r="H2252" s="9" t="inlineStr">
        <is>
          <t>Katiana Bruce (half of cost of baby food)</t>
        </is>
      </c>
      <c r="I2252" s="9" t="n">
        <v>1</v>
      </c>
      <c r="J2252" s="9" t="inlineStr">
        <is>
          <t>cnt</t>
        </is>
      </c>
      <c r="K2252" s="9" t="n">
        <v>45</v>
      </c>
    </row>
    <row r="2253" ht="15" customFormat="1" customHeight="1" s="42">
      <c r="A2253" s="81" t="n">
        <v>45857</v>
      </c>
      <c r="B2253" s="82" t="n">
        <v>0.4347222222222222</v>
      </c>
      <c r="C2253" s="5" t="inlineStr">
        <is>
          <t>Tru Goodness Brands</t>
        </is>
      </c>
      <c r="D2253" s="5" t="n">
        <v>1</v>
      </c>
      <c r="E2253" s="5" t="n"/>
      <c r="F2253" s="6" t="inlineStr">
        <is>
          <t>1SEF3CC1XSZD0</t>
        </is>
      </c>
      <c r="G2253" s="10" t="n"/>
      <c r="H2253" s="9" t="inlineStr">
        <is>
          <t xml:space="preserve">Two kombucha ("Trubucha"): watermelon mint, passion fruit mango </t>
        </is>
      </c>
      <c r="I2253" s="9" t="n">
        <v>24</v>
      </c>
      <c r="J2253" s="9" t="inlineStr">
        <is>
          <t>oz</t>
        </is>
      </c>
      <c r="K2253" s="9" t="n">
        <v>10</v>
      </c>
    </row>
    <row r="2254" ht="15" customFormat="1" customHeight="1" s="5">
      <c r="A2254" s="81" t="n">
        <v>45857</v>
      </c>
      <c r="B2254" s="82" t="n"/>
      <c r="C2254" s="5" t="inlineStr">
        <is>
          <t>La Montagne Des Saveurs</t>
        </is>
      </c>
      <c r="F2254" s="6" t="n"/>
      <c r="G2254" s="10" t="n"/>
      <c r="H2254" s="9" t="inlineStr">
        <is>
          <t>Black truffle Gouda -  La montagne des saveurs; Joe Wu</t>
        </is>
      </c>
      <c r="I2254" s="9" t="n"/>
      <c r="J2254" s="9" t="n"/>
      <c r="K2254" s="9" t="n">
        <v>20</v>
      </c>
    </row>
    <row r="2255" ht="15" customFormat="1" customHeight="1" s="5">
      <c r="A2255" s="81" t="n">
        <v>45857</v>
      </c>
      <c r="B2255" s="82" t="n"/>
      <c r="C2255" s="5" t="inlineStr">
        <is>
          <t>La Montagne Des Saveurs</t>
        </is>
      </c>
      <c r="F2255" s="6" t="n"/>
      <c r="G2255" s="10" t="n"/>
      <c r="H2255" s="9" t="inlineStr">
        <is>
          <t>Joseph Wu Treat!</t>
        </is>
      </c>
      <c r="I2255" s="9" t="n"/>
      <c r="J2255" s="9" t="n"/>
      <c r="K2255" s="9" t="n">
        <v>-20</v>
      </c>
    </row>
    <row r="2256" ht="15" customFormat="1" customHeight="1" s="5">
      <c r="A2256" s="79" t="n">
        <v>45856</v>
      </c>
      <c r="B2256" s="78" t="n">
        <v>0.7326388888888888</v>
      </c>
      <c r="C2256" s="35" t="inlineStr">
        <is>
          <t>Costco</t>
        </is>
      </c>
      <c r="D2256" s="35" t="n"/>
      <c r="E2256" s="35" t="n">
        <v>1</v>
      </c>
      <c r="F2256" s="47" t="inlineStr">
        <is>
          <t>439 121 80 634</t>
        </is>
      </c>
      <c r="G2256" s="48" t="inlineStr">
        <is>
          <t>E 1335089</t>
        </is>
      </c>
      <c r="H2256" s="49" t="inlineStr">
        <is>
          <t>**RETURNED** Everything Bagels x2 pack</t>
        </is>
      </c>
      <c r="I2256" s="49" t="n">
        <v>12</v>
      </c>
      <c r="J2256" s="49" t="inlineStr">
        <is>
          <t>cnt</t>
        </is>
      </c>
      <c r="K2256" s="49" t="n">
        <v>-7.99</v>
      </c>
    </row>
    <row r="2257" ht="15" customFormat="1" customHeight="1" s="5">
      <c r="A2257" s="81" t="n">
        <v>45856</v>
      </c>
      <c r="B2257" s="82" t="n">
        <v>0.7277777777777777</v>
      </c>
      <c r="C2257" s="5" t="inlineStr">
        <is>
          <t>Costco</t>
        </is>
      </c>
      <c r="E2257" s="5" t="n">
        <v>1</v>
      </c>
      <c r="F2257" s="6" t="inlineStr">
        <is>
          <t>439 208 236 708</t>
        </is>
      </c>
      <c r="G2257" s="10" t="inlineStr">
        <is>
          <t>E 1335089</t>
        </is>
      </c>
      <c r="H2257" s="9" t="inlineStr">
        <is>
          <t>Everything Bagels x2 Pack</t>
        </is>
      </c>
      <c r="I2257" s="9" t="n">
        <v>12</v>
      </c>
      <c r="J2257" s="9" t="inlineStr">
        <is>
          <t>cnt</t>
        </is>
      </c>
      <c r="K2257" s="9" t="n">
        <v>7.99</v>
      </c>
    </row>
    <row r="2258" ht="15" customFormat="1" customHeight="1" s="5">
      <c r="A2258" s="81" t="n">
        <v>45856</v>
      </c>
      <c r="B2258" s="82" t="n">
        <v>0.6722222222222223</v>
      </c>
      <c r="C2258" s="5" t="inlineStr">
        <is>
          <t>Snowl</t>
        </is>
      </c>
      <c r="F2258" s="6" t="n"/>
      <c r="G2258" s="10" t="n"/>
      <c r="H2258" s="9" t="inlineStr">
        <is>
          <t>Snowl Joe Wu</t>
        </is>
      </c>
      <c r="I2258" s="9" t="n"/>
      <c r="J2258" s="9" t="n"/>
      <c r="K2258" s="9" t="n">
        <v>17.98</v>
      </c>
    </row>
    <row r="2259" ht="15" customFormat="1" customHeight="1" s="5">
      <c r="A2259" s="81" t="n">
        <v>45856</v>
      </c>
      <c r="B2259" s="82" t="n">
        <v>0.6722222222222223</v>
      </c>
      <c r="C2259" s="5" t="inlineStr">
        <is>
          <t>Snowl</t>
        </is>
      </c>
      <c r="F2259" s="6" t="n"/>
      <c r="G2259" s="10" t="n"/>
      <c r="H2259" s="9" t="inlineStr">
        <is>
          <t>Joseph Wu Treat!</t>
        </is>
      </c>
      <c r="I2259" s="9" t="n"/>
      <c r="J2259" s="9" t="n"/>
      <c r="K2259" s="9" t="n">
        <v>-17.98</v>
      </c>
    </row>
    <row r="2260" ht="15" customFormat="1" customHeight="1" s="42">
      <c r="A2260" s="81" t="n">
        <v>45856</v>
      </c>
      <c r="B2260" s="82" t="n">
        <v>0.6222453703703704</v>
      </c>
      <c r="C2260" s="5" t="inlineStr">
        <is>
          <t>Hong Kong Café Restaurant</t>
        </is>
      </c>
      <c r="D2260" s="5" t="n"/>
      <c r="E2260" s="5" t="n"/>
      <c r="F2260" s="6" t="n"/>
      <c r="G2260" s="10" t="n"/>
      <c r="H2260" s="9" t="inlineStr">
        <is>
          <t>Hong Kong cafe Joe Wu</t>
        </is>
      </c>
      <c r="I2260" s="9" t="n"/>
      <c r="J2260" s="9" t="n"/>
      <c r="K2260" s="9" t="n">
        <v>92.72</v>
      </c>
    </row>
    <row r="2261" ht="15" customFormat="1" customHeight="1" s="42">
      <c r="A2261" s="81" t="n">
        <v>45856</v>
      </c>
      <c r="B2261" s="82" t="n">
        <v>0.6222453703703704</v>
      </c>
      <c r="C2261" s="5" t="inlineStr">
        <is>
          <t>Hong Kong Café Restaurant</t>
        </is>
      </c>
      <c r="D2261" s="5" t="n"/>
      <c r="E2261" s="5" t="n"/>
      <c r="F2261" s="6" t="n"/>
      <c r="G2261" s="10" t="n"/>
      <c r="H2261" s="9" t="inlineStr">
        <is>
          <t>Joseph Wu Treat!</t>
        </is>
      </c>
      <c r="I2261" s="9" t="n"/>
      <c r="J2261" s="9" t="n"/>
      <c r="K2261" s="9" t="n">
        <v>-92.72</v>
      </c>
    </row>
    <row r="2262" ht="15" customFormat="1" customHeight="1" s="42">
      <c r="A2262" s="81" t="n">
        <v>45856</v>
      </c>
      <c r="B2262" s="82" t="n">
        <v>0.5479166666666667</v>
      </c>
      <c r="C2262" s="5" t="inlineStr">
        <is>
          <t>PayPal</t>
        </is>
      </c>
      <c r="D2262" s="5" t="n">
        <v>1</v>
      </c>
      <c r="E2262" s="5" t="n"/>
      <c r="F2262" s="6" t="inlineStr">
        <is>
          <t>0P23298851888914L</t>
        </is>
      </c>
      <c r="G2262" s="10" t="n"/>
      <c r="H2262" s="9" t="inlineStr">
        <is>
          <t>PayPal Transferred Credit</t>
        </is>
      </c>
      <c r="I2262" s="9" t="n">
        <v>1</v>
      </c>
      <c r="J2262" s="9" t="inlineStr">
        <is>
          <t>cnt</t>
        </is>
      </c>
      <c r="K2262" s="9" t="n">
        <v>-16.52</v>
      </c>
    </row>
    <row r="2263" ht="15" customFormat="1" customHeight="1" s="42">
      <c r="A2263" s="81" t="n">
        <v>45856</v>
      </c>
      <c r="B2263" s="82" t="n">
        <v>0.3946412037037037</v>
      </c>
      <c r="C2263" s="5" t="inlineStr">
        <is>
          <t>Lowe's</t>
        </is>
      </c>
      <c r="D2263" s="5" t="n"/>
      <c r="E2263" s="5" t="n">
        <v>1</v>
      </c>
      <c r="F2263" s="6" t="inlineStr">
        <is>
          <t>524961108</t>
        </is>
      </c>
      <c r="G2263" s="10" t="n"/>
      <c r="H2263" s="9" t="inlineStr">
        <is>
          <t>drain snakes</t>
        </is>
      </c>
      <c r="I2263" s="9" t="n"/>
      <c r="J2263" s="9" t="n"/>
      <c r="K2263" s="9" t="n">
        <v>8.380000000000001</v>
      </c>
    </row>
    <row r="2264" ht="15" customFormat="1" customHeight="1" s="5">
      <c r="A2264" s="81" t="n">
        <v>45856</v>
      </c>
      <c r="B2264" s="82" t="n">
        <v>0.3946412037037037</v>
      </c>
      <c r="C2264" s="5" t="inlineStr">
        <is>
          <t>Lowe's</t>
        </is>
      </c>
      <c r="E2264" s="5" t="n">
        <v>1</v>
      </c>
      <c r="F2264" s="6" t="inlineStr">
        <is>
          <t>524961108</t>
        </is>
      </c>
      <c r="G2264" s="10" t="n"/>
      <c r="H2264" s="9" t="inlineStr">
        <is>
          <t>Mary Wu Treat!</t>
        </is>
      </c>
      <c r="I2264" s="9" t="n"/>
      <c r="J2264" s="9" t="n"/>
      <c r="K2264" s="9" t="n">
        <v>-8.380000000000001</v>
      </c>
    </row>
    <row r="2265" ht="15" customFormat="1" customHeight="1" s="5">
      <c r="A2265" s="89" t="n">
        <v>45856</v>
      </c>
      <c r="B2265" s="82" t="n">
        <v>0.2916666666666667</v>
      </c>
      <c r="C2265" s="5" t="inlineStr">
        <is>
          <t>BELLA Health + Wellness</t>
        </is>
      </c>
      <c r="D2265" s="5" t="n">
        <v>1</v>
      </c>
      <c r="F2265" s="47" t="inlineStr">
        <is>
          <t>None_FullyCovered</t>
        </is>
      </c>
      <c r="G2265" s="17" t="inlineStr">
        <is>
          <t>2025202493479</t>
        </is>
      </c>
      <c r="H2265" s="9" t="inlineStr">
        <is>
          <t>7/15 Lydia 24wk prenatal visit ("billed by Alani Casey" instead of Bella Health for some reason)</t>
        </is>
      </c>
      <c r="I2265" s="5" t="n">
        <v>1</v>
      </c>
      <c r="J2265" s="5" t="inlineStr">
        <is>
          <t>cnt</t>
        </is>
      </c>
      <c r="K2265" s="5" t="n">
        <v>0</v>
      </c>
    </row>
    <row r="2266" ht="15" customFormat="1" customHeight="1" s="5">
      <c r="A2266" s="81" t="n">
        <v>45856</v>
      </c>
      <c r="B2266" s="82" t="n"/>
      <c r="C2266" s="5" t="inlineStr">
        <is>
          <t>Costco</t>
        </is>
      </c>
      <c r="F2266" s="6" t="n"/>
      <c r="G2266" s="10" t="n"/>
      <c r="H2266" s="9" t="inlineStr">
        <is>
          <t>Costco Joe Wu (see Bella pictures)</t>
        </is>
      </c>
      <c r="I2266" s="9" t="n"/>
      <c r="J2266" s="9" t="n"/>
      <c r="K2266" s="9">
        <f>16.19+57.85+6.49</f>
        <v/>
      </c>
    </row>
    <row r="2267" ht="15" customFormat="1" customHeight="1" s="5">
      <c r="A2267" s="81" t="n">
        <v>45856</v>
      </c>
      <c r="B2267" s="82" t="n"/>
      <c r="C2267" s="5" t="inlineStr">
        <is>
          <t>Costco</t>
        </is>
      </c>
      <c r="F2267" s="6" t="n"/>
      <c r="G2267" s="10" t="n"/>
      <c r="H2267" s="9" t="inlineStr">
        <is>
          <t>Joseph Wu Treat!</t>
        </is>
      </c>
      <c r="I2267" s="9" t="n"/>
      <c r="J2267" s="9" t="n"/>
      <c r="K2267" s="9" t="n">
        <v>-80.53</v>
      </c>
    </row>
    <row r="2268" ht="15" customFormat="1" customHeight="1" s="5">
      <c r="A2268" s="81" t="n">
        <v>45855</v>
      </c>
      <c r="B2268" s="82" t="n">
        <v>0.7904861111111111</v>
      </c>
      <c r="C2268" s="5" t="inlineStr">
        <is>
          <t>Gates Tennis Center</t>
        </is>
      </c>
      <c r="D2268" s="5" t="n">
        <v>1</v>
      </c>
      <c r="F2268" s="6" t="inlineStr">
        <is>
          <t>852637</t>
        </is>
      </c>
      <c r="G2268" s="10" t="n"/>
      <c r="H2268" s="9" t="inlineStr">
        <is>
          <t>$7 court rental on court 28</t>
        </is>
      </c>
      <c r="I2268" s="9" t="n">
        <v>1</v>
      </c>
      <c r="J2268" s="9" t="inlineStr">
        <is>
          <t>cnt</t>
        </is>
      </c>
      <c r="K2268" s="9" t="n">
        <v>7</v>
      </c>
    </row>
    <row r="2269" ht="15" customFormat="1" customHeight="1" s="5">
      <c r="A2269" s="81" t="n">
        <v>45855</v>
      </c>
      <c r="B2269" s="82" t="n">
        <v>0.7337268518518518</v>
      </c>
      <c r="C2269" s="5" t="inlineStr">
        <is>
          <t>Hasu Sushi &amp; Grill</t>
        </is>
      </c>
      <c r="E2269" s="5" t="n">
        <v>1</v>
      </c>
      <c r="F2269" s="6" t="inlineStr">
        <is>
          <t>#28</t>
        </is>
      </c>
      <c r="G2269" s="10" t="n"/>
      <c r="H2269" s="9" t="inlineStr">
        <is>
          <t>Wonton Sushi Taco</t>
        </is>
      </c>
      <c r="I2269" s="9" t="n">
        <v>1</v>
      </c>
      <c r="J2269" s="9" t="inlineStr">
        <is>
          <t>cnt</t>
        </is>
      </c>
      <c r="K2269" s="9" t="n">
        <v>14.5</v>
      </c>
    </row>
    <row r="2270" ht="15" customFormat="1" customHeight="1" s="5">
      <c r="A2270" s="81" t="n">
        <v>45855</v>
      </c>
      <c r="B2270" s="82" t="n">
        <v>0.7337268518518518</v>
      </c>
      <c r="C2270" s="5" t="inlineStr">
        <is>
          <t>Hasu Sushi &amp; Grill</t>
        </is>
      </c>
      <c r="E2270" s="5" t="n">
        <v>1</v>
      </c>
      <c r="F2270" s="6" t="inlineStr">
        <is>
          <t>#28</t>
        </is>
      </c>
      <c r="G2270" s="10" t="n"/>
      <c r="H2270" s="9" t="inlineStr">
        <is>
          <t>Salmon Lover</t>
        </is>
      </c>
      <c r="I2270" s="9" t="n">
        <v>1</v>
      </c>
      <c r="J2270" s="9" t="inlineStr">
        <is>
          <t>cnt</t>
        </is>
      </c>
      <c r="K2270" s="9" t="n">
        <v>21.95</v>
      </c>
    </row>
    <row r="2271" ht="15" customFormat="1" customHeight="1" s="5">
      <c r="A2271" s="81" t="n">
        <v>45855</v>
      </c>
      <c r="B2271" s="82" t="n">
        <v>0.7337268518518518</v>
      </c>
      <c r="C2271" s="5" t="inlineStr">
        <is>
          <t>Hasu Sushi &amp; Grill</t>
        </is>
      </c>
      <c r="E2271" s="5" t="n">
        <v>1</v>
      </c>
      <c r="F2271" s="6" t="inlineStr">
        <is>
          <t>#28</t>
        </is>
      </c>
      <c r="G2271" s="10" t="n"/>
      <c r="H2271" s="9" t="inlineStr">
        <is>
          <t>Crazy Dargon Roll</t>
        </is>
      </c>
      <c r="I2271" s="9" t="n">
        <v>1</v>
      </c>
      <c r="J2271" s="9" t="inlineStr">
        <is>
          <t>cnt</t>
        </is>
      </c>
      <c r="K2271" s="9" t="n">
        <v>12.5</v>
      </c>
    </row>
    <row r="2272" ht="15" customFormat="1" customHeight="1" s="5">
      <c r="A2272" s="81" t="n">
        <v>45855</v>
      </c>
      <c r="B2272" s="82" t="n">
        <v>0.7337268518518518</v>
      </c>
      <c r="C2272" s="5" t="inlineStr">
        <is>
          <t>Hasu Sushi &amp; Grill</t>
        </is>
      </c>
      <c r="E2272" s="5" t="n">
        <v>1</v>
      </c>
      <c r="F2272" s="6" t="inlineStr">
        <is>
          <t>#28</t>
        </is>
      </c>
      <c r="G2272" s="10" t="n"/>
      <c r="H2272" s="9" t="inlineStr">
        <is>
          <t>Playboy Roll</t>
        </is>
      </c>
      <c r="I2272" s="9" t="n">
        <v>1</v>
      </c>
      <c r="J2272" s="9" t="inlineStr">
        <is>
          <t>cnt</t>
        </is>
      </c>
      <c r="K2272" s="9" t="n">
        <v>12.5</v>
      </c>
    </row>
    <row r="2273" ht="15" customFormat="1" customHeight="1" s="5">
      <c r="A2273" s="81" t="n">
        <v>45855</v>
      </c>
      <c r="B2273" s="82" t="n">
        <v>0.7337268518518518</v>
      </c>
      <c r="C2273" s="5" t="inlineStr">
        <is>
          <t>Hasu Sushi &amp; Grill</t>
        </is>
      </c>
      <c r="E2273" s="5" t="n">
        <v>1</v>
      </c>
      <c r="F2273" s="6" t="inlineStr">
        <is>
          <t>#28</t>
        </is>
      </c>
      <c r="G2273" s="10" t="n"/>
      <c r="H2273" s="9" t="inlineStr">
        <is>
          <t>Tri Crunchy Roll</t>
        </is>
      </c>
      <c r="I2273" s="9" t="n">
        <v>1</v>
      </c>
      <c r="J2273" s="9" t="inlineStr">
        <is>
          <t>cnt</t>
        </is>
      </c>
      <c r="K2273" s="9" t="n">
        <v>11</v>
      </c>
    </row>
    <row r="2274" ht="15" customFormat="1" customHeight="1" s="5">
      <c r="A2274" s="81" t="n">
        <v>45855</v>
      </c>
      <c r="B2274" s="82" t="n">
        <v>0.7337268518518518</v>
      </c>
      <c r="C2274" s="5" t="inlineStr">
        <is>
          <t>Hasu Sushi &amp; Grill</t>
        </is>
      </c>
      <c r="E2274" s="5" t="n">
        <v>1</v>
      </c>
      <c r="F2274" s="6" t="inlineStr">
        <is>
          <t>#28</t>
        </is>
      </c>
      <c r="G2274" s="10" t="n"/>
      <c r="H2274" s="9" t="inlineStr">
        <is>
          <t>Tip</t>
        </is>
      </c>
      <c r="I2274" s="9" t="n">
        <v>5</v>
      </c>
      <c r="J2274" s="9" t="inlineStr">
        <is>
          <t>cnt</t>
        </is>
      </c>
      <c r="K2274" s="9" t="n">
        <v>12.25</v>
      </c>
    </row>
    <row r="2275" ht="15" customFormat="1" customHeight="1" s="5">
      <c r="A2275" s="81" t="n">
        <v>45855</v>
      </c>
      <c r="B2275" s="82" t="n">
        <v>0.7337268518518518</v>
      </c>
      <c r="C2275" s="5" t="inlineStr">
        <is>
          <t>Hasu Sushi &amp; Grill</t>
        </is>
      </c>
      <c r="E2275" s="5" t="n">
        <v>1</v>
      </c>
      <c r="F2275" s="6" t="inlineStr">
        <is>
          <t>#28</t>
        </is>
      </c>
      <c r="G2275" s="10" t="n"/>
      <c r="H2275" s="9" t="inlineStr">
        <is>
          <t>Tax</t>
        </is>
      </c>
      <c r="I2275" s="9" t="n">
        <v>5</v>
      </c>
      <c r="J2275" s="9" t="inlineStr">
        <is>
          <t>cnt</t>
        </is>
      </c>
      <c r="K2275" s="9" t="n">
        <v>5.8</v>
      </c>
    </row>
    <row r="2276" ht="15" customFormat="1" customHeight="1" s="5">
      <c r="A2276" s="81" t="n">
        <v>45855</v>
      </c>
      <c r="B2276" s="82" t="n">
        <v>0.5145833333333333</v>
      </c>
      <c r="C2276" s="5" t="inlineStr">
        <is>
          <t>Amazon</t>
        </is>
      </c>
      <c r="D2276" s="5" t="n">
        <v>1</v>
      </c>
      <c r="F2276" s="6" t="inlineStr">
        <is>
          <t>111-8444360-2899450</t>
        </is>
      </c>
      <c r="G2276" s="10" t="n"/>
      <c r="H2276" s="9" t="inlineStr">
        <is>
          <t>Hinds' Feet on High Places: An Engaging Visual Journey (Visual Journey Series) Sold by: Amazon.com</t>
        </is>
      </c>
      <c r="I2276" s="9" t="n">
        <v>1</v>
      </c>
      <c r="J2276" s="9" t="inlineStr">
        <is>
          <t>pz</t>
        </is>
      </c>
      <c r="K2276" s="9" t="n">
        <v>14.39</v>
      </c>
    </row>
    <row r="2277" ht="15" customFormat="1" customHeight="1" s="5">
      <c r="A2277" s="81" t="n">
        <v>45855</v>
      </c>
      <c r="B2277" s="82" t="n">
        <v>0.5145833333333333</v>
      </c>
      <c r="C2277" s="5" t="inlineStr">
        <is>
          <t>Amazon</t>
        </is>
      </c>
      <c r="D2277" s="5" t="n">
        <v>1</v>
      </c>
      <c r="F2277" s="6" t="inlineStr">
        <is>
          <t>111-8444360-2899450</t>
        </is>
      </c>
      <c r="G2277" s="10" t="n"/>
      <c r="H2277" s="9" t="inlineStr">
        <is>
          <t>Earth Mama Organic Diaper Balm 2-Ounce | Diaper Cream for Baby | EWG Verified, Petroleum &amp; Artificial Fragrance-Free with Calendula for Sensitive Skin (2-Pack) Sold by: Earth Mama®</t>
        </is>
      </c>
      <c r="I2277" s="9" t="n">
        <v>4</v>
      </c>
      <c r="J2277" s="9" t="inlineStr">
        <is>
          <t>oz</t>
        </is>
      </c>
      <c r="K2277" s="9" t="n">
        <v>25.98</v>
      </c>
    </row>
    <row r="2278" ht="15" customFormat="1" customHeight="1" s="5">
      <c r="A2278" s="81" t="n">
        <v>45855</v>
      </c>
      <c r="B2278" s="82" t="n">
        <v>0.5145833333333333</v>
      </c>
      <c r="C2278" s="5" t="inlineStr">
        <is>
          <t>Amazon</t>
        </is>
      </c>
      <c r="D2278" s="5" t="n">
        <v>1</v>
      </c>
      <c r="F2278" s="6" t="inlineStr">
        <is>
          <t>111-8444360-2899450</t>
        </is>
      </c>
      <c r="G2278" s="10" t="n"/>
      <c r="H2278" s="9" t="inlineStr">
        <is>
          <t>Tax</t>
        </is>
      </c>
      <c r="I2278" s="9" t="n">
        <v>2</v>
      </c>
      <c r="J2278" s="9" t="inlineStr">
        <is>
          <t>cnt</t>
        </is>
      </c>
      <c r="K2278" s="9" t="n">
        <v>3.23</v>
      </c>
    </row>
    <row r="2279" ht="15" customFormat="1" customHeight="1" s="5">
      <c r="A2279" s="81" t="n">
        <v>45855</v>
      </c>
      <c r="B2279" s="82" t="n">
        <v>0.5145833333333333</v>
      </c>
      <c r="C2279" s="5" t="inlineStr">
        <is>
          <t>Amazon</t>
        </is>
      </c>
      <c r="D2279" s="5" t="n">
        <v>1</v>
      </c>
      <c r="F2279" s="6" t="inlineStr">
        <is>
          <t>111-8444360-2899450</t>
        </is>
      </c>
      <c r="G2279" s="10" t="n"/>
      <c r="H2279" s="9" t="inlineStr">
        <is>
          <t>CO Retail Delivery Fees</t>
        </is>
      </c>
      <c r="I2279" s="9" t="n">
        <v>1</v>
      </c>
      <c r="J2279" s="9" t="inlineStr">
        <is>
          <t>cnt</t>
        </is>
      </c>
      <c r="K2279" s="9" t="n">
        <v>0.28</v>
      </c>
    </row>
    <row r="2280" ht="15" customFormat="1" customHeight="1" s="5">
      <c r="A2280" s="81" t="n">
        <v>45855</v>
      </c>
      <c r="B2280" s="82" t="n">
        <v>0.5145833333333333</v>
      </c>
      <c r="C2280" s="5" t="inlineStr">
        <is>
          <t>Amazon</t>
        </is>
      </c>
      <c r="D2280" s="5" t="n">
        <v>1</v>
      </c>
      <c r="F2280" s="6" t="inlineStr">
        <is>
          <t>111-8444360-2899450</t>
        </is>
      </c>
      <c r="G2280" s="10" t="n"/>
      <c r="H2280" s="9" t="inlineStr">
        <is>
          <t>**DISCOUNT** Amazon Rewards Points</t>
        </is>
      </c>
      <c r="I2280" s="9" t="n">
        <v>1</v>
      </c>
      <c r="J2280" s="9" t="inlineStr">
        <is>
          <t>cnt</t>
        </is>
      </c>
      <c r="K2280" s="9" t="n">
        <v>-4.91</v>
      </c>
    </row>
    <row r="2281" ht="15" customFormat="1" customHeight="1" s="5">
      <c r="A2281" s="81" t="n">
        <v>45855</v>
      </c>
      <c r="B2281" s="82" t="n">
        <v>0.5145833333333333</v>
      </c>
      <c r="C2281" s="5" t="inlineStr">
        <is>
          <t>Amazon</t>
        </is>
      </c>
      <c r="D2281" s="5" t="n">
        <v>1</v>
      </c>
      <c r="F2281" s="6" t="inlineStr">
        <is>
          <t>111-8444360-2899450</t>
        </is>
      </c>
      <c r="G2281" s="10" t="n"/>
      <c r="H2281" s="9" t="inlineStr">
        <is>
          <t>Mary Wu Treat!</t>
        </is>
      </c>
      <c r="I2281" s="9" t="n">
        <v>2</v>
      </c>
      <c r="J2281" s="9" t="inlineStr">
        <is>
          <t>cnt</t>
        </is>
      </c>
      <c r="K2281" s="9" t="n">
        <v>-38.97</v>
      </c>
    </row>
    <row r="2282" ht="15" customFormat="1" customHeight="1" s="5">
      <c r="A2282" s="81" t="n">
        <v>45855</v>
      </c>
      <c r="B2282" s="82" t="n">
        <v>0.5145833333333333</v>
      </c>
      <c r="C2282" s="5" t="inlineStr">
        <is>
          <t>Amazon</t>
        </is>
      </c>
      <c r="D2282" s="5" t="n">
        <v>1</v>
      </c>
      <c r="F2282" s="6" t="inlineStr">
        <is>
          <t>113-7787018-9584216</t>
        </is>
      </c>
      <c r="G2282" s="10" t="inlineStr">
        <is>
          <t>Kristi</t>
        </is>
      </c>
      <c r="H2282" s="9" t="inlineStr">
        <is>
          <t>BlueWood 2025 8-in-1 Pikler Triangle Climbing Set Toddler Toys Indoor Baby Jungle Gym Climber Playground for Kids - Mauve Pink</t>
        </is>
      </c>
      <c r="I2282" s="9" t="n">
        <v>1</v>
      </c>
      <c r="J2282" s="9" t="inlineStr">
        <is>
          <t>cnt</t>
        </is>
      </c>
      <c r="K2282" s="9" t="n">
        <v>189.99</v>
      </c>
    </row>
    <row r="2283" ht="15" customFormat="1" customHeight="1" s="5">
      <c r="A2283" s="81" t="n">
        <v>45855</v>
      </c>
      <c r="B2283" s="82" t="n">
        <v>0.5145833333333333</v>
      </c>
      <c r="C2283" s="5" t="inlineStr">
        <is>
          <t>Amazon</t>
        </is>
      </c>
      <c r="D2283" s="5" t="n">
        <v>1</v>
      </c>
      <c r="F2283" s="6" t="inlineStr">
        <is>
          <t>113-7787018-9584216</t>
        </is>
      </c>
      <c r="G2283" s="10" t="inlineStr">
        <is>
          <t>Kristi</t>
        </is>
      </c>
      <c r="H2283" s="9" t="inlineStr">
        <is>
          <t>**DISCOUNT** Amazon to comp order because original set was chipped</t>
        </is>
      </c>
      <c r="I2283" s="9" t="n">
        <v>1</v>
      </c>
      <c r="J2283" s="9" t="inlineStr">
        <is>
          <t>cnt</t>
        </is>
      </c>
      <c r="K2283" s="9" t="n">
        <v>-189.99</v>
      </c>
    </row>
    <row r="2284" ht="15" customFormat="1" customHeight="1" s="5">
      <c r="A2284" s="81" t="n">
        <v>45855</v>
      </c>
      <c r="B2284" s="82" t="n">
        <v>0.4930555555555556</v>
      </c>
      <c r="C2284" s="5" t="inlineStr">
        <is>
          <t>Venmo</t>
        </is>
      </c>
      <c r="D2284" s="5" t="n">
        <v>1</v>
      </c>
      <c r="F2284" s="6" t="inlineStr">
        <is>
          <t>4378909018695875082</t>
        </is>
      </c>
      <c r="G2284" s="10" t="inlineStr">
        <is>
          <t>Barton</t>
        </is>
      </c>
      <c r="H2284" s="9" t="inlineStr">
        <is>
          <t>BABY GIFT from Mary and Russell Barton: Baby Bucks for birth costs!</t>
        </is>
      </c>
      <c r="I2284" s="9" t="n">
        <v>1</v>
      </c>
      <c r="J2284" s="9" t="inlineStr">
        <is>
          <t>cnt</t>
        </is>
      </c>
      <c r="K2284" s="85" t="n">
        <v>-100</v>
      </c>
    </row>
    <row r="2285" ht="15" customFormat="1" customHeight="1" s="5">
      <c r="A2285" s="81" t="n">
        <v>45855</v>
      </c>
      <c r="B2285" s="82" t="n">
        <v>0.4930555555555556</v>
      </c>
      <c r="C2285" s="5" t="inlineStr">
        <is>
          <t>Venmo</t>
        </is>
      </c>
      <c r="D2285" s="5" t="n">
        <v>1</v>
      </c>
      <c r="F2285" s="6" t="inlineStr">
        <is>
          <t>4378909018695875082</t>
        </is>
      </c>
      <c r="G2285" s="10" t="n"/>
      <c r="H2285" s="9" t="inlineStr">
        <is>
          <t>Aunt Mary venmo for Baby 2.0 " Baby bucks! Congrats!"</t>
        </is>
      </c>
      <c r="I2285" s="9" t="n">
        <v>1</v>
      </c>
      <c r="J2285" s="9" t="inlineStr">
        <is>
          <t>cnt</t>
        </is>
      </c>
      <c r="K2285" s="85" t="n">
        <v>-100</v>
      </c>
    </row>
    <row r="2286" ht="15" customFormat="1" customHeight="1" s="5">
      <c r="A2286" s="81" t="n">
        <v>45855</v>
      </c>
      <c r="B2286" s="82" t="n">
        <v>0.2916666666666667</v>
      </c>
      <c r="C2286" s="5" t="inlineStr">
        <is>
          <t>Amazon</t>
        </is>
      </c>
      <c r="D2286" s="5" t="n">
        <v>1</v>
      </c>
      <c r="F2286" s="6" t="inlineStr">
        <is>
          <t>111-2562351-8981860</t>
        </is>
      </c>
      <c r="G2286" s="10" t="n"/>
      <c r="H2286" s="18" t="inlineStr">
        <is>
          <t>Bumble Bee Canned Pink Salmon, 14.75 oz Can - Premium Wild Caught Salmon with Skin &amp; Bones - 18g Protein per Serving - MSC Certified Sustainable Seafood, Non-GMO, Gluten Free, Kosher
Sold by: Amazon.com
Supplied by: Other</t>
        </is>
      </c>
      <c r="I2286" s="9" t="n">
        <v>14.75</v>
      </c>
      <c r="J2286" s="9" t="inlineStr">
        <is>
          <t>oz</t>
        </is>
      </c>
      <c r="K2286" s="9" t="n">
        <v>3.86</v>
      </c>
    </row>
    <row r="2287" ht="15" customFormat="1" customHeight="1" s="5">
      <c r="A2287" s="81" t="n">
        <v>45855</v>
      </c>
      <c r="B2287" s="82" t="n">
        <v>0.2916666666666667</v>
      </c>
      <c r="C2287" s="5" t="inlineStr">
        <is>
          <t>Amazon</t>
        </is>
      </c>
      <c r="D2287" s="5" t="n">
        <v>1</v>
      </c>
      <c r="F2287" s="6" t="inlineStr">
        <is>
          <t>111-2562351-8981860</t>
        </is>
      </c>
      <c r="G2287" s="10" t="n"/>
      <c r="H2287" s="18" t="inlineStr">
        <is>
          <t>Bumble Bee Canned Pink Salmon, 14.75 oz Can - Premium Wild Caught Salmon with Skin &amp; Bones - 18g Protein per Serving - MSC Certified Sustainable Seafood, Non-GMO, Gluten Free, Kosher
Sold by: Amazon.com
Supplied by: Other</t>
        </is>
      </c>
      <c r="I2287" s="9" t="n">
        <v>14.75</v>
      </c>
      <c r="J2287" s="9" t="inlineStr">
        <is>
          <t>oz</t>
        </is>
      </c>
      <c r="K2287" s="9" t="n">
        <v>3.86</v>
      </c>
    </row>
    <row r="2288" ht="15" customFormat="1" customHeight="1" s="5">
      <c r="A2288" s="81" t="n">
        <v>45855</v>
      </c>
      <c r="B2288" s="82" t="n">
        <v>0.2916666666666667</v>
      </c>
      <c r="C2288" s="5" t="inlineStr">
        <is>
          <t>Amazon</t>
        </is>
      </c>
      <c r="D2288" s="5" t="n">
        <v>1</v>
      </c>
      <c r="F2288" s="6" t="inlineStr">
        <is>
          <t>111-2562351-8981860</t>
        </is>
      </c>
      <c r="G2288" s="10" t="n"/>
      <c r="H2288" s="18" t="inlineStr">
        <is>
          <t>Bumble Bee Canned Pink Salmon, 14.75 oz Can - Premium Wild Caught Salmon with Skin &amp; Bones - 18g Protein per Serving - MSC Certified Sustainable Seafood, Non-GMO, Gluten Free, Kosher
Sold by: Amazon.com
Supplied by: Other</t>
        </is>
      </c>
      <c r="I2288" s="9" t="n">
        <v>14.75</v>
      </c>
      <c r="J2288" s="9" t="inlineStr">
        <is>
          <t>oz</t>
        </is>
      </c>
      <c r="K2288" s="9" t="n">
        <v>3.86</v>
      </c>
    </row>
    <row r="2289" ht="15" customFormat="1" customHeight="1" s="5">
      <c r="A2289" s="81" t="n">
        <v>45855</v>
      </c>
      <c r="B2289" s="82" t="n">
        <v>0.2916666666666667</v>
      </c>
      <c r="C2289" s="5" t="inlineStr">
        <is>
          <t>Amazon</t>
        </is>
      </c>
      <c r="D2289" s="5" t="n">
        <v>1</v>
      </c>
      <c r="F2289" s="6" t="inlineStr">
        <is>
          <t>111-2562351-8981860</t>
        </is>
      </c>
      <c r="G2289" s="10" t="n"/>
      <c r="H2289" s="18" t="inlineStr">
        <is>
          <t>Bumble Bee Canned Pink Salmon, 14.75 oz Can - Premium Wild Caught Salmon with Skin &amp; Bones - 18g Protein per Serving - MSC Certified Sustainable Seafood, Non-GMO, Gluten Free, Kosher
Sold by: Amazon.com
Supplied by: Other</t>
        </is>
      </c>
      <c r="I2289" s="9" t="n">
        <v>14.75</v>
      </c>
      <c r="J2289" s="9" t="inlineStr">
        <is>
          <t>oz</t>
        </is>
      </c>
      <c r="K2289" s="9" t="n">
        <v>3.86</v>
      </c>
    </row>
    <row r="2290" ht="15" customFormat="1" customHeight="1" s="5">
      <c r="A2290" s="81" t="n">
        <v>45855</v>
      </c>
      <c r="B2290" s="82" t="n">
        <v>0.2916666666666667</v>
      </c>
      <c r="C2290" s="5" t="inlineStr">
        <is>
          <t>Amazon</t>
        </is>
      </c>
      <c r="D2290" s="5" t="n">
        <v>1</v>
      </c>
      <c r="F2290" s="6" t="inlineStr">
        <is>
          <t>111-2562351-8981860</t>
        </is>
      </c>
      <c r="G2290" s="10" t="n"/>
      <c r="H2290" s="18" t="inlineStr">
        <is>
          <t>Bumble Bee Canned Pink Salmon, 14.75 oz Can - Premium Wild Caught Salmon with Skin &amp; Bones - 18g Protein per Serving - MSC Certified Sustainable Seafood, Non-GMO, Gluten Free, Kosher
Sold by: Amazon.com
Supplied by: Other</t>
        </is>
      </c>
      <c r="I2290" s="9" t="n">
        <v>14.75</v>
      </c>
      <c r="J2290" s="9" t="inlineStr">
        <is>
          <t>oz</t>
        </is>
      </c>
      <c r="K2290" s="9" t="n">
        <v>3.86</v>
      </c>
    </row>
    <row r="2291" ht="15" customFormat="1" customHeight="1" s="5">
      <c r="A2291" s="81" t="n">
        <v>45855</v>
      </c>
      <c r="B2291" s="82" t="n">
        <v>0.2916666666666667</v>
      </c>
      <c r="C2291" s="5" t="inlineStr">
        <is>
          <t>Amazon</t>
        </is>
      </c>
      <c r="D2291" s="5" t="n">
        <v>1</v>
      </c>
      <c r="F2291" s="6" t="inlineStr">
        <is>
          <t>111-2562351-8981860</t>
        </is>
      </c>
      <c r="G2291" s="10" t="n"/>
      <c r="H2291" s="18" t="inlineStr">
        <is>
          <t>Sky Organics - Organic Coconut Oil &amp; Vitamin E, 16.9 fl oz - Skin &amp; Hair Ultra-Hydrating Oil - Fatty Acids &amp; Antioxidants - Natural, Vegan &amp; Cruelty Free - Skin Care &amp; Hair Care w Ebook
Sold by: Sky Organics</t>
        </is>
      </c>
      <c r="I2291" s="9" t="n">
        <v>16.8</v>
      </c>
      <c r="J2291" s="9" t="inlineStr">
        <is>
          <t>fl oz</t>
        </is>
      </c>
      <c r="K2291" s="9" t="n">
        <v>17.99</v>
      </c>
    </row>
    <row r="2292" ht="15" customFormat="1" customHeight="1" s="5">
      <c r="A2292" s="81" t="n">
        <v>45855</v>
      </c>
      <c r="B2292" s="82" t="n">
        <v>0.2916666666666667</v>
      </c>
      <c r="C2292" s="5" t="inlineStr">
        <is>
          <t>Amazon</t>
        </is>
      </c>
      <c r="D2292" s="5" t="n">
        <v>1</v>
      </c>
      <c r="F2292" s="6" t="inlineStr">
        <is>
          <t>111-2562351-8981860</t>
        </is>
      </c>
      <c r="G2292" s="10" t="n"/>
      <c r="H2292" s="9" t="inlineStr">
        <is>
          <t>Tax</t>
        </is>
      </c>
      <c r="I2292" s="9" t="n">
        <v>6</v>
      </c>
      <c r="J2292" s="9" t="inlineStr">
        <is>
          <t>cnt</t>
        </is>
      </c>
      <c r="K2292" s="9" t="n">
        <v>1.44</v>
      </c>
    </row>
    <row r="2293" ht="15" customFormat="1" customHeight="1" s="5">
      <c r="A2293" s="81" t="n">
        <v>45855</v>
      </c>
      <c r="B2293" s="82" t="n">
        <v>0.2916666666666667</v>
      </c>
      <c r="C2293" s="5" t="inlineStr">
        <is>
          <t>Amazon</t>
        </is>
      </c>
      <c r="D2293" s="5" t="n">
        <v>1</v>
      </c>
      <c r="F2293" s="6" t="inlineStr">
        <is>
          <t>111-2562351-8981860</t>
        </is>
      </c>
      <c r="G2293" s="10" t="n"/>
      <c r="H2293" s="9" t="inlineStr">
        <is>
          <t>CO Retail Delivery Fees</t>
        </is>
      </c>
      <c r="I2293" s="9" t="n">
        <v>6</v>
      </c>
      <c r="J2293" s="9" t="inlineStr">
        <is>
          <t>cnt</t>
        </is>
      </c>
      <c r="K2293" s="9" t="n">
        <v>0.28</v>
      </c>
    </row>
    <row r="2294" ht="15" customFormat="1" customHeight="1" s="5">
      <c r="A2294" s="81" t="n">
        <v>45855</v>
      </c>
      <c r="B2294" s="82" t="n">
        <v>0.2916666666666667</v>
      </c>
      <c r="C2294" s="5" t="inlineStr">
        <is>
          <t>Amazon</t>
        </is>
      </c>
      <c r="D2294" s="5" t="n">
        <v>1</v>
      </c>
      <c r="F2294" s="6" t="inlineStr">
        <is>
          <t>111-2562351-8981860</t>
        </is>
      </c>
      <c r="G2294" s="10" t="n"/>
      <c r="H2294" s="9" t="inlineStr">
        <is>
          <t>Mary Wu Treat!</t>
        </is>
      </c>
      <c r="I2294" s="9" t="n">
        <v>6</v>
      </c>
      <c r="J2294" s="9" t="inlineStr">
        <is>
          <t>cnt</t>
        </is>
      </c>
      <c r="K2294" s="9" t="n">
        <v>-39.01</v>
      </c>
    </row>
    <row r="2295" ht="15" customFormat="1" customHeight="1" s="5">
      <c r="A2295" s="81" t="n">
        <v>45855</v>
      </c>
      <c r="B2295" s="82" t="n"/>
      <c r="C2295" s="5" t="inlineStr">
        <is>
          <t>Nile Ethiopian Restaurant</t>
        </is>
      </c>
      <c r="F2295" s="6" t="n"/>
      <c r="G2295" s="10" t="n"/>
      <c r="H2295" s="9" t="inlineStr">
        <is>
          <t>Ethiopian Nile Joe Wu</t>
        </is>
      </c>
      <c r="I2295" s="9" t="n"/>
      <c r="J2295" s="9" t="n"/>
      <c r="K2295" s="9" t="n">
        <v>43.18</v>
      </c>
    </row>
    <row r="2296" ht="15" customFormat="1" customHeight="1" s="5">
      <c r="A2296" s="81" t="n">
        <v>45855</v>
      </c>
      <c r="B2296" s="82" t="n"/>
      <c r="C2296" s="5" t="inlineStr">
        <is>
          <t>Nile Ethiopian Restaurant</t>
        </is>
      </c>
      <c r="F2296" s="6" t="n"/>
      <c r="G2296" s="10" t="n"/>
      <c r="H2296" s="9" t="inlineStr">
        <is>
          <t>Joseph Wu Treat!</t>
        </is>
      </c>
      <c r="I2296" s="9" t="n"/>
      <c r="J2296" s="9" t="n"/>
      <c r="K2296" s="9" t="n">
        <v>-43.18</v>
      </c>
    </row>
    <row r="2297" ht="15" customFormat="1" customHeight="1" s="5">
      <c r="A2297" s="81" t="n">
        <v>45854</v>
      </c>
      <c r="B2297" s="82" t="n">
        <v>0.9798611111111111</v>
      </c>
      <c r="C2297" s="5" t="inlineStr">
        <is>
          <t>Goodtimes Burgers</t>
        </is>
      </c>
      <c r="E2297" s="5" t="n">
        <v>1</v>
      </c>
      <c r="F2297" s="6" t="n"/>
      <c r="G2297" s="10" t="n"/>
      <c r="H2297" s="9" t="inlineStr">
        <is>
          <t>Fried ice cream, some sort of nut sundae, with BB and mom and Eli</t>
        </is>
      </c>
      <c r="I2297" s="9" t="n"/>
      <c r="J2297" s="9" t="n"/>
      <c r="K2297" s="9" t="n">
        <v>11.21</v>
      </c>
    </row>
    <row r="2298" ht="15" customFormat="1" customHeight="1" s="5">
      <c r="A2298" s="81" t="n">
        <v>45854</v>
      </c>
      <c r="B2298" s="82" t="n">
        <v>0.4819444444444445</v>
      </c>
      <c r="C2298" s="5" t="inlineStr">
        <is>
          <t>Costco</t>
        </is>
      </c>
      <c r="E2298" s="5" t="n">
        <v>1</v>
      </c>
      <c r="F2298" s="6" t="inlineStr">
        <is>
          <t>90746</t>
        </is>
      </c>
      <c r="G2298" s="15" t="inlineStr">
        <is>
          <t>7</t>
        </is>
      </c>
      <c r="H2298" s="9" t="inlineStr">
        <is>
          <t>Subaru Gas 14.809 gal @$2.499/gal</t>
        </is>
      </c>
      <c r="I2298" s="9" t="n">
        <v>14.809</v>
      </c>
      <c r="J2298" s="9" t="inlineStr">
        <is>
          <t>gal</t>
        </is>
      </c>
      <c r="K2298" s="9" t="n">
        <v>37.01</v>
      </c>
    </row>
    <row r="2299" ht="15" customFormat="1" customHeight="1" s="5">
      <c r="A2299" s="81" t="n">
        <v>45854</v>
      </c>
      <c r="B2299" s="82" t="n">
        <v>0.4819444444444445</v>
      </c>
      <c r="C2299" s="5" t="inlineStr">
        <is>
          <t>Costco</t>
        </is>
      </c>
      <c r="E2299" s="5" t="n">
        <v>1</v>
      </c>
      <c r="F2299" s="6" t="inlineStr">
        <is>
          <t>90746</t>
        </is>
      </c>
      <c r="G2299" s="10" t="n"/>
      <c r="H2299" s="9" t="inlineStr">
        <is>
          <t>Mary Wu Treat!</t>
        </is>
      </c>
      <c r="I2299" s="9" t="n">
        <v>1</v>
      </c>
      <c r="J2299" s="9" t="inlineStr">
        <is>
          <t>cnt</t>
        </is>
      </c>
      <c r="K2299" s="9" t="n">
        <v>-37.01</v>
      </c>
    </row>
    <row r="2300" ht="15" customFormat="1" customHeight="1" s="5">
      <c r="A2300" s="81" t="n">
        <v>45854</v>
      </c>
      <c r="B2300" s="82" t="n"/>
      <c r="C2300" s="5" t="inlineStr">
        <is>
          <t>Costco</t>
        </is>
      </c>
      <c r="E2300" s="5" t="n">
        <v>1</v>
      </c>
      <c r="F2300" s="6" t="n"/>
      <c r="G2300" s="10" t="n"/>
      <c r="H2300" s="9" t="inlineStr">
        <is>
          <t>Joe Wu Costco run</t>
        </is>
      </c>
      <c r="I2300" s="9" t="n"/>
      <c r="J2300" s="9" t="n"/>
      <c r="K2300" s="9" t="n">
        <v>203.47</v>
      </c>
    </row>
    <row r="2301" ht="15" customFormat="1" customHeight="1" s="5">
      <c r="A2301" s="81" t="n">
        <v>45854</v>
      </c>
      <c r="B2301" s="82" t="n"/>
      <c r="C2301" s="5" t="inlineStr">
        <is>
          <t>Costco</t>
        </is>
      </c>
      <c r="E2301" s="5" t="n">
        <v>1</v>
      </c>
      <c r="F2301" s="6" t="n"/>
      <c r="G2301" s="10" t="n"/>
      <c r="H2301" s="9" t="inlineStr">
        <is>
          <t>Joseph Wu Treat!</t>
        </is>
      </c>
      <c r="I2301" s="9" t="n"/>
      <c r="J2301" s="9" t="n"/>
      <c r="K2301" s="9" t="n">
        <v>-203.47</v>
      </c>
    </row>
    <row r="2302" ht="15" customFormat="1" customHeight="1" s="5">
      <c r="A2302" s="81" t="n">
        <v>45853</v>
      </c>
      <c r="B2302" s="82" t="n">
        <v>0.5520833333333334</v>
      </c>
      <c r="C2302" s="5" t="inlineStr">
        <is>
          <t>Amazon</t>
        </is>
      </c>
      <c r="D2302" s="5" t="n">
        <v>1</v>
      </c>
      <c r="F2302" s="6" t="inlineStr">
        <is>
          <t>111-4406130-2676242</t>
        </is>
      </c>
      <c r="G2302" s="10" t="n"/>
      <c r="H2302" s="9" t="inlineStr">
        <is>
          <t>**RETURNED** Bcnyihe Set of 4 Water Absorbent Diatomite Drink Coasters, Diatomaceous Earth Soap Holder Water Drying Soap Saver Dish Toothbrush Holder Set for Bathroom and Kitchen (Light Grey)</t>
        </is>
      </c>
      <c r="I2302" s="9" t="n">
        <v>4</v>
      </c>
      <c r="J2302" s="9" t="inlineStr">
        <is>
          <t>cnt</t>
        </is>
      </c>
      <c r="K2302" s="9" t="n">
        <v>-10.79</v>
      </c>
    </row>
    <row r="2303" ht="15" customFormat="1" customHeight="1" s="5">
      <c r="A2303" s="81" t="n">
        <v>45853</v>
      </c>
      <c r="B2303" s="82" t="n">
        <v>0.3583333333333333</v>
      </c>
      <c r="C2303" s="5" t="inlineStr">
        <is>
          <t>Costco</t>
        </is>
      </c>
      <c r="E2303" s="5" t="n">
        <v>1</v>
      </c>
      <c r="F2303" s="6" t="n"/>
      <c r="G2303" s="10" t="n"/>
      <c r="H2303" s="9" t="inlineStr">
        <is>
          <t>No receipt… but it was gas</t>
        </is>
      </c>
      <c r="I2303" s="9" t="n"/>
      <c r="J2303" s="9" t="n"/>
      <c r="K2303" s="9" t="n">
        <v>26.57</v>
      </c>
    </row>
    <row r="2304" ht="15" customFormat="1" customHeight="1" s="5">
      <c r="A2304" s="81" t="n">
        <v>45853</v>
      </c>
      <c r="B2304" s="82" t="n">
        <v>0.2916666666666667</v>
      </c>
      <c r="C2304" s="5" t="inlineStr">
        <is>
          <t>USAA</t>
        </is>
      </c>
      <c r="D2304" s="5" t="n">
        <v>1</v>
      </c>
      <c r="F2304" s="6" t="inlineStr">
        <is>
          <t>24492165196100017049907</t>
        </is>
      </c>
      <c r="G2304" s="10" t="n"/>
      <c r="H2304" s="9" t="inlineStr">
        <is>
          <t>Ring insurance</t>
        </is>
      </c>
      <c r="I2304" s="9" t="n">
        <v>1</v>
      </c>
      <c r="J2304" s="9" t="inlineStr">
        <is>
          <t>cnt</t>
        </is>
      </c>
      <c r="K2304" s="9" t="n">
        <v>14</v>
      </c>
    </row>
    <row r="2305" ht="15" customFormat="1" customHeight="1" s="5">
      <c r="A2305" s="81" t="n">
        <v>45853</v>
      </c>
      <c r="B2305" s="82" t="n"/>
      <c r="C2305" s="5" t="inlineStr">
        <is>
          <t>Safeway</t>
        </is>
      </c>
      <c r="F2305" s="6" t="n"/>
      <c r="G2305" s="10" t="n"/>
      <c r="H2305" s="9" t="inlineStr">
        <is>
          <t>Mom and Bella for dinner tonight</t>
        </is>
      </c>
      <c r="I2305" s="9" t="n"/>
      <c r="J2305" s="9" t="n"/>
      <c r="K2305" s="9" t="n">
        <v>37.92</v>
      </c>
    </row>
    <row r="2306" ht="15" customFormat="1" customHeight="1" s="5">
      <c r="A2306" s="81" t="n">
        <v>45853</v>
      </c>
      <c r="B2306" s="82" t="n"/>
      <c r="C2306" s="5" t="inlineStr">
        <is>
          <t>Safeway</t>
        </is>
      </c>
      <c r="F2306" s="6" t="n"/>
      <c r="G2306" s="10" t="n"/>
      <c r="H2306" s="9" t="inlineStr">
        <is>
          <t>Mary Wu Treat!</t>
        </is>
      </c>
      <c r="I2306" s="9" t="n"/>
      <c r="J2306" s="9" t="n"/>
      <c r="K2306" s="9" t="n">
        <v>-37.92</v>
      </c>
    </row>
    <row r="2307" ht="15" customFormat="1" customHeight="1" s="5">
      <c r="A2307" s="81" t="n">
        <v>45852</v>
      </c>
      <c r="B2307" s="82" t="n"/>
      <c r="C2307" s="5" t="inlineStr">
        <is>
          <t>Panera Bread</t>
        </is>
      </c>
      <c r="F2307" s="6" t="n"/>
      <c r="G2307" s="10" t="n"/>
      <c r="H2307" s="9" t="inlineStr">
        <is>
          <t>Mary Wu</t>
        </is>
      </c>
      <c r="I2307" s="9" t="n"/>
      <c r="J2307" s="9" t="n"/>
      <c r="K2307" s="9" t="n">
        <v>32.05</v>
      </c>
    </row>
    <row r="2308" ht="15" customFormat="1" customHeight="1" s="5">
      <c r="A2308" s="81" t="n">
        <v>45852</v>
      </c>
      <c r="B2308" s="82" t="n"/>
      <c r="C2308" s="5" t="inlineStr">
        <is>
          <t>Panera Bread</t>
        </is>
      </c>
      <c r="F2308" s="6" t="n"/>
      <c r="G2308" s="10" t="n"/>
      <c r="H2308" s="9" t="inlineStr">
        <is>
          <t>Mary Wu Treat!</t>
        </is>
      </c>
      <c r="I2308" s="9" t="n"/>
      <c r="J2308" s="9" t="n"/>
      <c r="K2308" s="9" t="n">
        <v>-32.05</v>
      </c>
    </row>
    <row r="2309" ht="15" customFormat="1" customHeight="1" s="5">
      <c r="A2309" s="81" t="n">
        <v>45852</v>
      </c>
      <c r="B2309" s="82" t="n"/>
      <c r="C2309" s="5" t="inlineStr">
        <is>
          <t>H-Mart</t>
        </is>
      </c>
      <c r="F2309" s="6" t="n"/>
      <c r="G2309" s="10" t="n"/>
      <c r="H2309" s="9" t="inlineStr">
        <is>
          <t>Joe Wu</t>
        </is>
      </c>
      <c r="I2309" s="9" t="n"/>
      <c r="J2309" s="9" t="n"/>
      <c r="K2309" s="9" t="n">
        <v>26.98</v>
      </c>
    </row>
    <row r="2310" ht="15" customFormat="1" customHeight="1" s="5">
      <c r="A2310" s="81" t="n">
        <v>45852</v>
      </c>
      <c r="B2310" s="82" t="n"/>
      <c r="C2310" s="5" t="inlineStr">
        <is>
          <t>H-Mart</t>
        </is>
      </c>
      <c r="F2310" s="6" t="n"/>
      <c r="G2310" s="10" t="n"/>
      <c r="H2310" s="9" t="inlineStr">
        <is>
          <t>Joe Wu</t>
        </is>
      </c>
      <c r="I2310" s="9" t="n"/>
      <c r="J2310" s="9" t="n"/>
      <c r="K2310" s="9" t="n">
        <v>50.31</v>
      </c>
    </row>
    <row r="2311" ht="15" customFormat="1" customHeight="1" s="5">
      <c r="A2311" s="81" t="n">
        <v>45852</v>
      </c>
      <c r="B2311" s="82" t="n"/>
      <c r="C2311" s="5" t="inlineStr">
        <is>
          <t>H-Mart</t>
        </is>
      </c>
      <c r="F2311" s="6" t="n"/>
      <c r="G2311" s="10" t="n"/>
      <c r="H2311" s="9" t="inlineStr">
        <is>
          <t>Joseph Wu Treat!</t>
        </is>
      </c>
      <c r="I2311" s="9" t="n"/>
      <c r="J2311" s="9" t="n"/>
      <c r="K2311" s="9" t="n">
        <v>-26.98</v>
      </c>
    </row>
    <row r="2312" ht="15" customFormat="1" customHeight="1" s="5">
      <c r="A2312" s="81" t="n">
        <v>45852</v>
      </c>
      <c r="B2312" s="82" t="n"/>
      <c r="C2312" s="5" t="inlineStr">
        <is>
          <t>H-Mart</t>
        </is>
      </c>
      <c r="F2312" s="6" t="n"/>
      <c r="G2312" s="10" t="n"/>
      <c r="H2312" s="9" t="inlineStr">
        <is>
          <t>Joseph Wu Treat!</t>
        </is>
      </c>
      <c r="I2312" s="9" t="n"/>
      <c r="J2312" s="9" t="n"/>
      <c r="K2312" s="9" t="n">
        <v>-50.31</v>
      </c>
    </row>
    <row r="2313" ht="15" customFormat="1" customHeight="1" s="5">
      <c r="A2313" s="79" t="n">
        <v>45851</v>
      </c>
      <c r="B2313" s="78" t="n">
        <v>0.5847222222222223</v>
      </c>
      <c r="C2313" s="35" t="inlineStr">
        <is>
          <t>BELLA Health + Wellness</t>
        </is>
      </c>
      <c r="D2313" s="35" t="n"/>
      <c r="E2313" s="35" t="n"/>
      <c r="F2313" s="47" t="inlineStr">
        <is>
          <t>713200206</t>
        </is>
      </c>
      <c r="G2313" s="48" t="n"/>
      <c r="H2313" s="49" t="inlineStr">
        <is>
          <t>6/27 Lydia Cannot recall what this is for, but it went through insurance already; I think it is related to ultrasound?</t>
        </is>
      </c>
      <c r="I2313" s="49" t="n">
        <v>1</v>
      </c>
      <c r="J2313" s="49" t="inlineStr">
        <is>
          <t>cnt</t>
        </is>
      </c>
      <c r="K2313" s="49" t="n">
        <v>185.93</v>
      </c>
    </row>
    <row r="2314" ht="15" customFormat="1" customHeight="1" s="5">
      <c r="A2314" s="81" t="n">
        <v>45851</v>
      </c>
      <c r="B2314" s="82" t="n">
        <v>0.2916666666666667</v>
      </c>
      <c r="C2314" s="5" t="inlineStr">
        <is>
          <t>Amazon</t>
        </is>
      </c>
      <c r="D2314" s="5" t="n">
        <v>1</v>
      </c>
      <c r="F2314" s="6" t="inlineStr">
        <is>
          <t>112-1228210-9433853</t>
        </is>
      </c>
      <c r="G2314" s="10" t="n"/>
      <c r="H2314" s="9" t="inlineStr">
        <is>
          <t>Palm Pot Brush- Bamboo Round 3 Packs Mini Dish Brush Natural Scrub Brush Durable Scrubber Cleaning Kit with Union Fiber and Tampico Fiber for Cleaning Pots, Pans and Vegetables
Sold by: Greenth Pro</t>
        </is>
      </c>
      <c r="I2314" s="9" t="n"/>
      <c r="J2314" s="9" t="n"/>
      <c r="K2314" s="9" t="n">
        <v>9.99</v>
      </c>
    </row>
    <row r="2315" ht="15" customFormat="1" customHeight="1" s="5">
      <c r="A2315" s="81" t="n">
        <v>45851</v>
      </c>
      <c r="B2315" s="82" t="n">
        <v>0.2916666666666667</v>
      </c>
      <c r="C2315" s="5" t="inlineStr">
        <is>
          <t>Amazon</t>
        </is>
      </c>
      <c r="D2315" s="5" t="n">
        <v>1</v>
      </c>
      <c r="F2315" s="6" t="inlineStr">
        <is>
          <t>112-1228210-9433853</t>
        </is>
      </c>
      <c r="G2315" s="10" t="n"/>
      <c r="H2315" s="9" t="inlineStr">
        <is>
          <t>i play. Baby Flap Sun Protection Swim Hat, Gray, 9-18 Months
Sold by: Amazon.com</t>
        </is>
      </c>
      <c r="I2315" s="9" t="n"/>
      <c r="J2315" s="9" t="n"/>
      <c r="K2315" s="9" t="n">
        <v>14.99</v>
      </c>
    </row>
    <row r="2316" ht="15" customFormat="1" customHeight="1" s="5">
      <c r="A2316" s="81" t="n">
        <v>45851</v>
      </c>
      <c r="B2316" s="82" t="n">
        <v>0.2916666666666667</v>
      </c>
      <c r="C2316" s="5" t="inlineStr">
        <is>
          <t>Amazon</t>
        </is>
      </c>
      <c r="D2316" s="5" t="n">
        <v>1</v>
      </c>
      <c r="F2316" s="6" t="inlineStr">
        <is>
          <t>112-1228210-9433853</t>
        </is>
      </c>
      <c r="G2316" s="10" t="n"/>
      <c r="H2316" s="9" t="inlineStr">
        <is>
          <t>Duyasurs 3 Pack Upgraded USB C to USB Adapter, High-speed data Transfer, USB C Male to USB 3.0 Female OTG Adapter for iPhone 16 15, Mac, iPad, Samsung Galaxy S24-S25, Notebook, and More Type C Devices
Sold by: Duyasurs Direct</t>
        </is>
      </c>
      <c r="I2316" s="9" t="n"/>
      <c r="J2316" s="9" t="n"/>
      <c r="K2316" s="9" t="n">
        <v>3.49</v>
      </c>
    </row>
    <row r="2317" ht="15" customFormat="1" customHeight="1" s="5">
      <c r="A2317" s="81" t="n">
        <v>45851</v>
      </c>
      <c r="B2317" s="82" t="n">
        <v>0.2916666666666667</v>
      </c>
      <c r="C2317" s="5" t="inlineStr">
        <is>
          <t>Amazon</t>
        </is>
      </c>
      <c r="D2317" s="5" t="n">
        <v>1</v>
      </c>
      <c r="F2317" s="6" t="inlineStr">
        <is>
          <t>112-1228210-9433853</t>
        </is>
      </c>
      <c r="G2317" s="10" t="n"/>
      <c r="H2317" s="9" t="inlineStr">
        <is>
          <t>Cleancult Dish Soap Liquid Refill (32oz, 3 Pack) - Plant Based Cleaning Power - Dish Soap that Cuts Grease &amp; Grime - Free of Harsh Chemicals - Uses 90% Less Plastic - Fresh Rain
Sold by: Amazon.com</t>
        </is>
      </c>
      <c r="I2317" s="9" t="n"/>
      <c r="J2317" s="9" t="n"/>
      <c r="K2317" s="9" t="n">
        <v>19.27</v>
      </c>
    </row>
    <row r="2318" ht="15" customFormat="1" customHeight="1" s="5">
      <c r="A2318" s="81" t="n">
        <v>45851</v>
      </c>
      <c r="B2318" s="82" t="n">
        <v>0.2916666666666667</v>
      </c>
      <c r="C2318" s="5" t="inlineStr">
        <is>
          <t>Amazon</t>
        </is>
      </c>
      <c r="D2318" s="5" t="n">
        <v>1</v>
      </c>
      <c r="F2318" s="6" t="inlineStr">
        <is>
          <t>112-1228210-9433853</t>
        </is>
      </c>
      <c r="G2318" s="10" t="n"/>
      <c r="H2318" s="9" t="inlineStr">
        <is>
          <t>Tax</t>
        </is>
      </c>
      <c r="I2318" s="9" t="n"/>
      <c r="J2318" s="9" t="n"/>
      <c r="K2318" s="9" t="n">
        <v>3.82</v>
      </c>
    </row>
    <row r="2319" ht="15" customFormat="1" customHeight="1" s="5">
      <c r="A2319" s="81" t="n">
        <v>45851</v>
      </c>
      <c r="B2319" s="82" t="n">
        <v>0.2916666666666667</v>
      </c>
      <c r="C2319" s="5" t="inlineStr">
        <is>
          <t>Amazon</t>
        </is>
      </c>
      <c r="D2319" s="5" t="n">
        <v>1</v>
      </c>
      <c r="F2319" s="6" t="inlineStr">
        <is>
          <t>112-1228210-9433853</t>
        </is>
      </c>
      <c r="G2319" s="10" t="n"/>
      <c r="H2319" s="9" t="inlineStr">
        <is>
          <t>Joseph Wu Treat!</t>
        </is>
      </c>
      <c r="I2319" s="9" t="n"/>
      <c r="J2319" s="9" t="n"/>
      <c r="K2319" s="9" t="n">
        <v>-51.56</v>
      </c>
    </row>
    <row r="2320" ht="15" customFormat="1" customHeight="1" s="5">
      <c r="A2320" s="81" t="n">
        <v>45851</v>
      </c>
      <c r="B2320" s="82" t="n">
        <v>0.2916666666666667</v>
      </c>
      <c r="C2320" s="5" t="inlineStr">
        <is>
          <t>Amazon</t>
        </is>
      </c>
      <c r="D2320" s="5" t="n">
        <v>1</v>
      </c>
      <c r="F2320" s="6" t="inlineStr">
        <is>
          <t>112-4056405-1239433</t>
        </is>
      </c>
      <c r="G2320" s="10" t="n"/>
      <c r="H2320" s="18" t="inlineStr">
        <is>
          <t>Bcnyihe Set of 4 Water Absorbent Diatomite Drink Coasters, Diatomaceous Earth Soap Holder Water Drying Soap Saver Dish Toothbrush Holder Set for Bathroom and Kitchen (Light Grey)
Sold by: Manyihe Store</t>
        </is>
      </c>
      <c r="I2320" s="9" t="n">
        <v>4</v>
      </c>
      <c r="J2320" s="9" t="inlineStr">
        <is>
          <t>cnt</t>
        </is>
      </c>
      <c r="K2320" s="9" t="n">
        <v>9.99</v>
      </c>
    </row>
    <row r="2321" ht="15" customFormat="1" customHeight="1" s="5">
      <c r="A2321" s="81" t="n">
        <v>45851</v>
      </c>
      <c r="B2321" s="82" t="n">
        <v>0.2916666666666667</v>
      </c>
      <c r="C2321" s="5" t="inlineStr">
        <is>
          <t>Amazon</t>
        </is>
      </c>
      <c r="D2321" s="5" t="n">
        <v>1</v>
      </c>
      <c r="F2321" s="6" t="inlineStr">
        <is>
          <t>112-4056405-1239433</t>
        </is>
      </c>
      <c r="G2321" s="10" t="n"/>
      <c r="H2321" s="9" t="inlineStr">
        <is>
          <t>Tax</t>
        </is>
      </c>
      <c r="I2321" s="9" t="n">
        <v>1</v>
      </c>
      <c r="J2321" s="9" t="inlineStr">
        <is>
          <t>cnt</t>
        </is>
      </c>
      <c r="K2321" s="9" t="n">
        <v>0.8</v>
      </c>
    </row>
    <row r="2322" ht="15" customFormat="1" customHeight="1" s="5">
      <c r="A2322" s="81" t="n">
        <v>45851</v>
      </c>
      <c r="B2322" s="82" t="n">
        <v>0.2916666666666667</v>
      </c>
      <c r="C2322" s="5" t="inlineStr">
        <is>
          <t>Amazon</t>
        </is>
      </c>
      <c r="D2322" s="5" t="n">
        <v>1</v>
      </c>
      <c r="F2322" s="6" t="inlineStr">
        <is>
          <t>112-4056405-1239433</t>
        </is>
      </c>
      <c r="G2322" s="10" t="n"/>
      <c r="H2322" s="9" t="inlineStr">
        <is>
          <t>CO Retail Delivery Fees</t>
        </is>
      </c>
      <c r="I2322" s="9" t="n">
        <v>1</v>
      </c>
      <c r="J2322" s="9" t="inlineStr">
        <is>
          <t>cnt</t>
        </is>
      </c>
      <c r="K2322" s="9" t="n">
        <v>0.28</v>
      </c>
    </row>
    <row r="2323" ht="15" customFormat="1" customHeight="1" s="5">
      <c r="A2323" s="81" t="n">
        <v>45851</v>
      </c>
      <c r="B2323" s="82" t="n">
        <v>0.2916666666666667</v>
      </c>
      <c r="C2323" s="5" t="inlineStr">
        <is>
          <t>Amazon</t>
        </is>
      </c>
      <c r="D2323" s="5" t="n">
        <v>1</v>
      </c>
      <c r="F2323" s="6" t="inlineStr">
        <is>
          <t>112-4056405-1239433</t>
        </is>
      </c>
      <c r="G2323" s="10" t="n"/>
      <c r="H2323" s="9" t="inlineStr">
        <is>
          <t>Joseph Wu Treat!</t>
        </is>
      </c>
      <c r="I2323" s="9" t="n">
        <v>1</v>
      </c>
      <c r="J2323" s="9" t="inlineStr">
        <is>
          <t>cnt</t>
        </is>
      </c>
      <c r="K2323" s="9" t="n">
        <v>-11.07</v>
      </c>
    </row>
    <row r="2324" ht="15" customFormat="1" customHeight="1" s="5">
      <c r="A2324" s="81" t="n">
        <v>45851</v>
      </c>
      <c r="B2324" s="82" t="n">
        <v>0.2916666666666667</v>
      </c>
      <c r="C2324" s="5" t="inlineStr">
        <is>
          <t>Amazon</t>
        </is>
      </c>
      <c r="D2324" s="5" t="n">
        <v>1</v>
      </c>
      <c r="F2324" s="6" t="inlineStr">
        <is>
          <t>114-1011888-4309866</t>
        </is>
      </c>
      <c r="G2324" s="10" t="inlineStr">
        <is>
          <t>Calum</t>
        </is>
      </c>
      <c r="H2324" s="9" t="inlineStr">
        <is>
          <t>Calculus for Babies (Baby University) Board book – July 2, 2024</t>
        </is>
      </c>
      <c r="I2324" s="9" t="n">
        <v>1</v>
      </c>
      <c r="J2324" s="9" t="inlineStr">
        <is>
          <t>cnt</t>
        </is>
      </c>
      <c r="K2324" s="85" t="n">
        <v>9.289999999999999</v>
      </c>
    </row>
    <row r="2325" ht="15" customFormat="1" customHeight="1" s="5">
      <c r="A2325" s="81" t="n">
        <v>45851</v>
      </c>
      <c r="B2325" s="82" t="n">
        <v>0.2916666666666667</v>
      </c>
      <c r="C2325" s="5" t="inlineStr">
        <is>
          <t>Amazon</t>
        </is>
      </c>
      <c r="D2325" s="5" t="n">
        <v>1</v>
      </c>
      <c r="F2325" s="6" t="inlineStr">
        <is>
          <t>114-1011888-4309866</t>
        </is>
      </c>
      <c r="G2325" s="10" t="inlineStr">
        <is>
          <t>Calum</t>
        </is>
      </c>
      <c r="H2325" s="9" t="inlineStr">
        <is>
          <t>Mini Glass Food Storage Containers - 12 Pack 5 oz Small Glass Jars with Locking Lids - Airtight Food Containers - Freezer, Microwave, Dishwasher Safe</t>
        </is>
      </c>
      <c r="I2325" s="9" t="n">
        <v>12</v>
      </c>
      <c r="J2325" s="9" t="inlineStr">
        <is>
          <t>cnt</t>
        </is>
      </c>
      <c r="K2325" s="85" t="n">
        <v>29.99</v>
      </c>
    </row>
    <row r="2326" ht="15" customFormat="1" customHeight="1" s="5">
      <c r="A2326" s="81" t="n">
        <v>45851</v>
      </c>
      <c r="B2326" s="82" t="n">
        <v>0.2916666666666667</v>
      </c>
      <c r="C2326" s="5" t="inlineStr">
        <is>
          <t>Amazon</t>
        </is>
      </c>
      <c r="D2326" s="5" t="n">
        <v>1</v>
      </c>
      <c r="F2326" s="6" t="inlineStr">
        <is>
          <t>114-1011888-4309866</t>
        </is>
      </c>
      <c r="G2326" s="10" t="inlineStr">
        <is>
          <t>Calum</t>
        </is>
      </c>
      <c r="H2326" s="9" t="inlineStr">
        <is>
          <t>I Can Code: If/Then: A Simple STEM Introduction to Coding for Kids and Toddlers Board book – Illustrated, October 6, 2020</t>
        </is>
      </c>
      <c r="I2326" s="9" t="n">
        <v>1</v>
      </c>
      <c r="J2326" s="9" t="inlineStr">
        <is>
          <t>cnt</t>
        </is>
      </c>
      <c r="K2326" s="85" t="n">
        <v>6.99</v>
      </c>
    </row>
    <row r="2327" ht="15" customFormat="1" customHeight="1" s="5">
      <c r="A2327" s="81" t="n">
        <v>45851</v>
      </c>
      <c r="B2327" s="82" t="n">
        <v>0.2916666666666667</v>
      </c>
      <c r="C2327" s="5" t="inlineStr">
        <is>
          <t>Amazon</t>
        </is>
      </c>
      <c r="D2327" s="5" t="n">
        <v>1</v>
      </c>
      <c r="F2327" s="6" t="inlineStr">
        <is>
          <t>114-1011888-4309866</t>
        </is>
      </c>
      <c r="G2327" s="10" t="inlineStr">
        <is>
          <t>Calum</t>
        </is>
      </c>
      <c r="H2327" s="9" t="inlineStr">
        <is>
          <t>BABY GIFT from Calum Best</t>
        </is>
      </c>
      <c r="I2327" s="9" t="n">
        <v>3</v>
      </c>
      <c r="J2327" s="9" t="inlineStr">
        <is>
          <t>cnt</t>
        </is>
      </c>
      <c r="K2327" s="85" t="n">
        <v>-46.27</v>
      </c>
    </row>
    <row r="2328" ht="15" customFormat="1" customHeight="1" s="5">
      <c r="A2328" s="81" t="n">
        <v>45851</v>
      </c>
      <c r="B2328" s="82" t="n"/>
      <c r="C2328" s="5" t="inlineStr">
        <is>
          <t>Sawa Mediterranean Food</t>
        </is>
      </c>
      <c r="F2328" s="6" t="n"/>
      <c r="G2328" s="10" t="n"/>
      <c r="H2328" s="9" t="inlineStr">
        <is>
          <t>Sawa med food</t>
        </is>
      </c>
      <c r="I2328" s="9" t="n"/>
      <c r="J2328" s="9" t="n"/>
      <c r="K2328" s="9" t="n">
        <v>82.92</v>
      </c>
    </row>
    <row r="2329" ht="15" customFormat="1" customHeight="1" s="5">
      <c r="A2329" s="81" t="n">
        <v>45851</v>
      </c>
      <c r="B2329" s="82" t="n"/>
      <c r="C2329" s="5" t="inlineStr">
        <is>
          <t>Sawa Mediterranean Food</t>
        </is>
      </c>
      <c r="F2329" s="6" t="n"/>
      <c r="G2329" s="10" t="n"/>
      <c r="H2329" s="9" t="inlineStr">
        <is>
          <t>Joseph Wu Treat!</t>
        </is>
      </c>
      <c r="I2329" s="9" t="n"/>
      <c r="J2329" s="9" t="n"/>
      <c r="K2329" s="9" t="n">
        <v>-82.92</v>
      </c>
    </row>
    <row r="2330" ht="15" customFormat="1" customHeight="1" s="5">
      <c r="A2330" s="81" t="n">
        <v>45850</v>
      </c>
      <c r="B2330" s="82" t="n">
        <v>0.75</v>
      </c>
      <c r="C2330" s="5" t="inlineStr">
        <is>
          <t>Taco Bell</t>
        </is>
      </c>
      <c r="F2330" s="6" t="inlineStr">
        <is>
          <t>OopsNoReceipt</t>
        </is>
      </c>
      <c r="G2330" s="10" t="n"/>
      <c r="H2330" s="9" t="inlineStr">
        <is>
          <t>No receipt, but it was 3 crunchwraps, some tacos, and a box for Eli; oops. Dad and Bella and Lydia and Eli</t>
        </is>
      </c>
      <c r="I2330" s="9" t="n"/>
      <c r="J2330" s="9" t="n"/>
      <c r="K2330" s="9" t="n">
        <v>36.44</v>
      </c>
    </row>
    <row r="2331" ht="15" customFormat="1" customHeight="1" s="5">
      <c r="A2331" s="81" t="n">
        <v>45850</v>
      </c>
      <c r="B2331" s="82" t="n">
        <v>0.4992708333333333</v>
      </c>
      <c r="C2331" s="5" t="inlineStr">
        <is>
          <t>AMC</t>
        </is>
      </c>
      <c r="E2331" s="5" t="n">
        <v>1</v>
      </c>
      <c r="F2331" s="6" t="inlineStr">
        <is>
          <t>NoReceiptOops</t>
        </is>
      </c>
      <c r="G2331" s="10" t="n"/>
      <c r="H2331" s="9" t="inlineStr">
        <is>
          <t>Adult ticket x3</t>
        </is>
      </c>
      <c r="I2331" s="9" t="n">
        <v>3</v>
      </c>
      <c r="J2331" s="9" t="inlineStr">
        <is>
          <t>cnt</t>
        </is>
      </c>
      <c r="K2331" s="9" t="n">
        <v>39.57</v>
      </c>
    </row>
    <row r="2332" ht="15" customFormat="1" customHeight="1" s="5">
      <c r="A2332" s="81" t="n">
        <v>45850</v>
      </c>
      <c r="B2332" s="82" t="n">
        <v>0.4992708333333333</v>
      </c>
      <c r="C2332" s="5" t="inlineStr">
        <is>
          <t>AMC</t>
        </is>
      </c>
      <c r="E2332" s="5" t="n">
        <v>1</v>
      </c>
      <c r="F2332" s="6" t="inlineStr">
        <is>
          <t>NoReceiptOops</t>
        </is>
      </c>
      <c r="G2332" s="10" t="n"/>
      <c r="H2332" s="9" t="inlineStr">
        <is>
          <t>Student ticket x1</t>
        </is>
      </c>
      <c r="I2332" s="9" t="n">
        <v>1</v>
      </c>
      <c r="J2332" s="9" t="inlineStr">
        <is>
          <t>cnt</t>
        </is>
      </c>
      <c r="K2332" s="9" t="n">
        <v>11.99</v>
      </c>
    </row>
    <row r="2333" ht="15" customFormat="1" customHeight="1" s="5">
      <c r="A2333" s="81" t="n">
        <v>45850</v>
      </c>
      <c r="B2333" s="82" t="n">
        <v>0.4992708333333333</v>
      </c>
      <c r="C2333" s="5" t="inlineStr">
        <is>
          <t>AMC</t>
        </is>
      </c>
      <c r="E2333" s="5" t="n">
        <v>1</v>
      </c>
      <c r="F2333" s="6" t="inlineStr">
        <is>
          <t>NoReceiptOops</t>
        </is>
      </c>
      <c r="G2333" s="10" t="n"/>
      <c r="H2333" s="9" t="inlineStr">
        <is>
          <t>Tax</t>
        </is>
      </c>
      <c r="I2333" s="9" t="n">
        <v>4</v>
      </c>
      <c r="J2333" s="9" t="inlineStr">
        <is>
          <t>cnt</t>
        </is>
      </c>
      <c r="K2333" s="9" t="n">
        <v>1.92</v>
      </c>
    </row>
    <row r="2334" ht="15" customFormat="1" customHeight="1" s="5">
      <c r="A2334" s="81" t="n">
        <v>45850</v>
      </c>
      <c r="B2334" s="82" t="n">
        <v>0.4992708333333333</v>
      </c>
      <c r="C2334" s="5" t="inlineStr">
        <is>
          <t>AMC</t>
        </is>
      </c>
      <c r="E2334" s="5" t="n">
        <v>1</v>
      </c>
      <c r="F2334" s="6" t="inlineStr">
        <is>
          <t>NoReceiptOops</t>
        </is>
      </c>
      <c r="G2334" s="10" t="n"/>
      <c r="H2334" s="9" t="inlineStr">
        <is>
          <t>Joseph Wu Treat!</t>
        </is>
      </c>
      <c r="I2334" s="9" t="n">
        <v>4</v>
      </c>
      <c r="J2334" s="9" t="inlineStr">
        <is>
          <t>cnt</t>
        </is>
      </c>
      <c r="K2334" s="9" t="n">
        <v>-53.48</v>
      </c>
    </row>
    <row r="2335" ht="15" customFormat="1" customHeight="1" s="5">
      <c r="A2335" s="81" t="n">
        <v>45850</v>
      </c>
      <c r="B2335" s="82" t="n">
        <v>0.43125</v>
      </c>
      <c r="C2335" s="5" t="inlineStr">
        <is>
          <t>Safeway</t>
        </is>
      </c>
      <c r="E2335" s="5" t="n">
        <v>1</v>
      </c>
      <c r="F2335" s="6" t="inlineStr">
        <is>
          <t>2612 124 48 6060</t>
        </is>
      </c>
      <c r="G2335" s="10" t="n"/>
      <c r="H2335" s="9" t="inlineStr">
        <is>
          <t>salmon and toothpaste</t>
        </is>
      </c>
      <c r="I2335" s="9" t="n"/>
      <c r="J2335" s="9" t="n"/>
      <c r="K2335" s="9" t="n">
        <v>17.5</v>
      </c>
    </row>
    <row r="2336" ht="15" customFormat="1" customHeight="1" s="5">
      <c r="A2336" s="81" t="n">
        <v>45850</v>
      </c>
      <c r="B2336" s="82" t="n">
        <v>0.43125</v>
      </c>
      <c r="C2336" s="5" t="inlineStr">
        <is>
          <t>Safeway</t>
        </is>
      </c>
      <c r="E2336" s="5" t="n">
        <v>1</v>
      </c>
      <c r="F2336" s="6" t="inlineStr">
        <is>
          <t>2612 124 48 6060</t>
        </is>
      </c>
      <c r="G2336" s="10" t="n"/>
      <c r="H2336" s="9" t="inlineStr">
        <is>
          <t>Mary Wu Treat!</t>
        </is>
      </c>
      <c r="I2336" s="9" t="n"/>
      <c r="J2336" s="9" t="n"/>
      <c r="K2336" s="9" t="n">
        <v>-17.5</v>
      </c>
    </row>
    <row r="2337" ht="15" customFormat="1" customHeight="1" s="5">
      <c r="A2337" s="81" t="n">
        <v>45850</v>
      </c>
      <c r="B2337" s="82" t="n">
        <v>0.01319444444444444</v>
      </c>
      <c r="C2337" s="5" t="inlineStr">
        <is>
          <t>Amazon</t>
        </is>
      </c>
      <c r="D2337" s="5" t="n">
        <v>1</v>
      </c>
      <c r="F2337" s="6" t="inlineStr">
        <is>
          <t>111-4406130-2676242</t>
        </is>
      </c>
      <c r="G2337" s="10" t="n"/>
      <c r="H2337" s="9" t="inlineStr">
        <is>
          <t>Bcnyihe Set of 4 Water Absorbent Diatomite Drink Coasters, Diatomaceous Earth Soap Holder Water Drying Soap Saver Dish Toothbrush Holder Set for Bathroom and Kitchen (Light Grey)</t>
        </is>
      </c>
      <c r="I2337" s="9" t="n">
        <v>4</v>
      </c>
      <c r="J2337" s="9" t="inlineStr">
        <is>
          <t>cnt</t>
        </is>
      </c>
      <c r="K2337" s="9" t="n">
        <v>9.99</v>
      </c>
    </row>
    <row r="2338" ht="15" customFormat="1" customHeight="1" s="5">
      <c r="A2338" s="90" t="n">
        <v>45850</v>
      </c>
      <c r="B2338" s="82" t="n">
        <v>0.01319444444444444</v>
      </c>
      <c r="C2338" s="38" t="inlineStr">
        <is>
          <t>Amazon</t>
        </is>
      </c>
      <c r="D2338" s="5" t="n">
        <v>1</v>
      </c>
      <c r="F2338" s="6" t="inlineStr">
        <is>
          <t>111-4406130-2676242</t>
        </is>
      </c>
      <c r="G2338" s="10" t="n"/>
      <c r="H2338" s="9" t="inlineStr">
        <is>
          <t>Tax</t>
        </is>
      </c>
      <c r="I2338" s="9" t="n">
        <v>4</v>
      </c>
      <c r="J2338" s="9" t="inlineStr">
        <is>
          <t>cnt</t>
        </is>
      </c>
      <c r="K2338" s="9" t="n">
        <v>0.8</v>
      </c>
    </row>
    <row r="2339" ht="15" customFormat="1" customHeight="1" s="5">
      <c r="A2339" s="81" t="n">
        <v>45850</v>
      </c>
      <c r="B2339" s="82" t="n">
        <v>0.01319444444444444</v>
      </c>
      <c r="C2339" s="5" t="inlineStr">
        <is>
          <t>Amazon</t>
        </is>
      </c>
      <c r="D2339" s="5" t="n">
        <v>1</v>
      </c>
      <c r="F2339" s="6" t="inlineStr">
        <is>
          <t>111-8043740-1041052</t>
        </is>
      </c>
      <c r="G2339" s="10" t="n"/>
      <c r="H2339" s="9" t="inlineStr">
        <is>
          <t>i play. Baby Flap Sun Protection Swim Hat, Gray, 9-18 Months</t>
        </is>
      </c>
      <c r="I2339" s="9" t="n">
        <v>1</v>
      </c>
      <c r="J2339" s="9" t="inlineStr">
        <is>
          <t>cnt</t>
        </is>
      </c>
      <c r="K2339" s="9" t="n">
        <v>14.99</v>
      </c>
    </row>
    <row r="2340" ht="15" customFormat="1" customHeight="1" s="5">
      <c r="A2340" s="81" t="n">
        <v>45850</v>
      </c>
      <c r="B2340" s="82" t="n">
        <v>0.01319444444444444</v>
      </c>
      <c r="C2340" s="5" t="inlineStr">
        <is>
          <t>Amazon</t>
        </is>
      </c>
      <c r="D2340" s="5" t="n">
        <v>1</v>
      </c>
      <c r="F2340" s="6" t="inlineStr">
        <is>
          <t>111-8043740-1041052</t>
        </is>
      </c>
      <c r="G2340" s="10" t="n"/>
      <c r="H2340" s="9" t="inlineStr">
        <is>
          <t>Cleancult Dish Soap Liquid Refill (32oz, 3 Pack) - Plant Based Cleaning Power - Dish Soap that Cuts Grease &amp; Grime - Free of Harsh Chemicals - Uses 90% Less Plastic - Fresh Rain</t>
        </is>
      </c>
      <c r="I2340" s="9" t="n">
        <v>96</v>
      </c>
      <c r="J2340" s="9" t="inlineStr">
        <is>
          <t>oz</t>
        </is>
      </c>
      <c r="K2340" s="9" t="n">
        <v>14.96</v>
      </c>
    </row>
    <row r="2341" ht="15" customFormat="1" customHeight="1" s="5">
      <c r="A2341" s="81" t="n">
        <v>45850</v>
      </c>
      <c r="B2341" s="82" t="n">
        <v>0.01319444444444444</v>
      </c>
      <c r="C2341" s="5" t="inlineStr">
        <is>
          <t>Amazon</t>
        </is>
      </c>
      <c r="D2341" s="5" t="n">
        <v>1</v>
      </c>
      <c r="F2341" s="6" t="inlineStr">
        <is>
          <t>111-8043740-1041052</t>
        </is>
      </c>
      <c r="G2341" s="10" t="n"/>
      <c r="H2341" s="9" t="inlineStr">
        <is>
          <t>Palm Pot Brush- Bamboo Round 3 Packs Mini Dish Brush Natural Scrub Brush Durable Scrubber Cleaning Kit with Union Fiber and Tampico Fiber for Cleaning Pots, Pans and Vegetables
Sold by: Greenth Pro</t>
        </is>
      </c>
      <c r="I2341" s="9" t="n">
        <v>3</v>
      </c>
      <c r="J2341" s="9" t="inlineStr">
        <is>
          <t>cnt</t>
        </is>
      </c>
      <c r="K2341" s="9" t="n">
        <v>9.99</v>
      </c>
    </row>
    <row r="2342" ht="15" customFormat="1" customHeight="1" s="5">
      <c r="A2342" s="81" t="n">
        <v>45850</v>
      </c>
      <c r="B2342" s="82" t="n">
        <v>0.01319444444444444</v>
      </c>
      <c r="C2342" s="5" t="inlineStr">
        <is>
          <t>Amazon</t>
        </is>
      </c>
      <c r="D2342" s="5" t="n">
        <v>1</v>
      </c>
      <c r="F2342" s="6" t="inlineStr">
        <is>
          <t>111-8043740-1041052</t>
        </is>
      </c>
      <c r="G2342" s="10" t="n"/>
      <c r="H2342" s="9" t="inlineStr">
        <is>
          <t>Tax</t>
        </is>
      </c>
      <c r="I2342" s="9" t="n">
        <v>3</v>
      </c>
      <c r="J2342" s="9" t="inlineStr">
        <is>
          <t>cnt</t>
        </is>
      </c>
      <c r="K2342" s="9" t="n">
        <v>3.2</v>
      </c>
    </row>
    <row r="2343" ht="15" customFormat="1" customHeight="1" s="5">
      <c r="A2343" s="81" t="n">
        <v>45850</v>
      </c>
      <c r="B2343" s="82" t="n">
        <v>0.01319444444444444</v>
      </c>
      <c r="C2343" s="5" t="inlineStr">
        <is>
          <t>Amazon</t>
        </is>
      </c>
      <c r="D2343" s="5" t="n">
        <v>1</v>
      </c>
      <c r="F2343" s="6" t="inlineStr">
        <is>
          <t>111-8043740-1041052</t>
        </is>
      </c>
      <c r="G2343" s="10" t="n"/>
      <c r="H2343" s="9" t="inlineStr">
        <is>
          <t>CO Retail Delivery Fees</t>
        </is>
      </c>
      <c r="I2343" s="9" t="n">
        <v>3</v>
      </c>
      <c r="J2343" s="9" t="inlineStr">
        <is>
          <t>cnt</t>
        </is>
      </c>
      <c r="K2343" s="9" t="n">
        <v>0.28</v>
      </c>
    </row>
    <row r="2344" ht="15" customFormat="1" customHeight="1" s="5">
      <c r="A2344" s="81" t="n">
        <v>45850</v>
      </c>
      <c r="B2344" s="82" t="n">
        <v>0.01319444444444444</v>
      </c>
      <c r="C2344" s="5" t="inlineStr">
        <is>
          <t>Amazon</t>
        </is>
      </c>
      <c r="D2344" s="5" t="n">
        <v>1</v>
      </c>
      <c r="F2344" s="6" t="inlineStr">
        <is>
          <t>111-8043740-1041052</t>
        </is>
      </c>
      <c r="G2344" s="10" t="n"/>
      <c r="H2344" s="9" t="inlineStr">
        <is>
          <t>AMAZON REWARDS CREDIT CARD POINTS REDEMPTION</t>
        </is>
      </c>
      <c r="I2344" s="9" t="n">
        <v>1</v>
      </c>
      <c r="J2344" s="9" t="inlineStr">
        <is>
          <t>cnt</t>
        </is>
      </c>
      <c r="K2344" s="9" t="n">
        <v>-17.78</v>
      </c>
    </row>
    <row r="2345" ht="15" customFormat="1" customHeight="1" s="5">
      <c r="A2345" s="81" t="n">
        <v>45849</v>
      </c>
      <c r="B2345" s="82" t="n">
        <v>0.8125</v>
      </c>
      <c r="C2345" s="5" t="inlineStr">
        <is>
          <t>Dae Gee</t>
        </is>
      </c>
      <c r="F2345" s="6" t="n"/>
      <c r="G2345" s="10" t="n"/>
      <c r="H2345" s="9" t="inlineStr">
        <is>
          <t>Joe Wu</t>
        </is>
      </c>
      <c r="I2345" s="9" t="n"/>
      <c r="J2345" s="9" t="n"/>
      <c r="K2345" s="9" t="n">
        <v>124.74</v>
      </c>
    </row>
    <row r="2346" ht="15" customFormat="1" customHeight="1" s="5">
      <c r="A2346" s="81" t="n">
        <v>45849</v>
      </c>
      <c r="B2346" s="82" t="n">
        <v>0.8125</v>
      </c>
      <c r="C2346" s="5" t="inlineStr">
        <is>
          <t>Dae Gee</t>
        </is>
      </c>
      <c r="F2346" s="6" t="n"/>
      <c r="G2346" s="10" t="n"/>
      <c r="H2346" s="9" t="inlineStr">
        <is>
          <t>Joseph Wu Treat!</t>
        </is>
      </c>
      <c r="I2346" s="9" t="n"/>
      <c r="J2346" s="9" t="n"/>
      <c r="K2346" s="9" t="n">
        <v>-124.74</v>
      </c>
    </row>
    <row r="2347" ht="15" customFormat="1" customHeight="1" s="5">
      <c r="A2347" s="81" t="n">
        <v>45849</v>
      </c>
      <c r="B2347" s="82" t="n">
        <v>0.3621759259259259</v>
      </c>
      <c r="C2347" s="5" t="inlineStr">
        <is>
          <t>Daniel's of Paris</t>
        </is>
      </c>
      <c r="F2347" s="6" t="n"/>
      <c r="G2347" s="10" t="n"/>
      <c r="H2347" s="9" t="inlineStr">
        <is>
          <t>Daniel of paris  Joe wu</t>
        </is>
      </c>
      <c r="I2347" s="9" t="n"/>
      <c r="J2347" s="9" t="n"/>
      <c r="K2347" s="9" t="n">
        <v>16.61</v>
      </c>
    </row>
    <row r="2348" ht="15" customFormat="1" customHeight="1" s="5">
      <c r="A2348" s="81" t="n">
        <v>45849</v>
      </c>
      <c r="B2348" s="82" t="n">
        <v>0.3621759259259259</v>
      </c>
      <c r="C2348" s="5" t="inlineStr">
        <is>
          <t>Daniel's of Paris</t>
        </is>
      </c>
      <c r="F2348" s="6" t="n"/>
      <c r="G2348" s="10" t="n"/>
      <c r="H2348" s="9" t="inlineStr">
        <is>
          <t>Joseph Wu Treat!</t>
        </is>
      </c>
      <c r="I2348" s="9" t="n"/>
      <c r="J2348" s="9" t="n"/>
      <c r="K2348" s="9" t="n">
        <v>-16.61</v>
      </c>
    </row>
    <row r="2349" ht="15" customFormat="1" customHeight="1" s="5">
      <c r="A2349" s="91" t="n">
        <v>45849</v>
      </c>
      <c r="B2349" s="82" t="n">
        <v>0.2916666666666667</v>
      </c>
      <c r="C2349" s="5" t="inlineStr">
        <is>
          <t>Amazon</t>
        </is>
      </c>
      <c r="F2349" s="6" t="inlineStr">
        <is>
          <t>111-0095614-4085011</t>
        </is>
      </c>
      <c r="G2349" s="43" t="n"/>
      <c r="H2349" s="44" t="inlineStr">
        <is>
          <t>Joseph Wu Treat!</t>
        </is>
      </c>
      <c r="I2349" s="44" t="n">
        <v>2</v>
      </c>
      <c r="J2349" s="44" t="inlineStr">
        <is>
          <t>cnt</t>
        </is>
      </c>
      <c r="K2349" s="44" t="n">
        <v>-30.51</v>
      </c>
    </row>
    <row r="2350" ht="15" customFormat="1" customHeight="1" s="5">
      <c r="A2350" s="81" t="n">
        <v>45849</v>
      </c>
      <c r="B2350" s="82" t="n">
        <v>0.2916666666666667</v>
      </c>
      <c r="C2350" s="5" t="inlineStr">
        <is>
          <t>Amazon</t>
        </is>
      </c>
      <c r="F2350" s="6" t="inlineStr">
        <is>
          <t>111-0095614-4085011</t>
        </is>
      </c>
      <c r="G2350" s="10" t="n"/>
      <c r="H2350" s="18" t="inlineStr">
        <is>
          <t>Magnetic Blocks, 1.41 inch Large Magnetic Building Blocks for Toddlers 3 4 5 6 7 8 Years Old Boys Girls Magnet Cubes for Kids 1-3 Montessori Toys STEM Preschool Educational Building Cube 30 Pcs
Sold by: dingshanmaoyi</t>
        </is>
      </c>
      <c r="I2350" s="9" t="n">
        <v>30</v>
      </c>
      <c r="J2350" s="9" t="inlineStr">
        <is>
          <t>cnt</t>
        </is>
      </c>
      <c r="K2350" s="9" t="n">
        <v>19.99</v>
      </c>
    </row>
    <row r="2351" ht="15" customFormat="1" customHeight="1" s="5">
      <c r="A2351" s="81" t="n">
        <v>45849</v>
      </c>
      <c r="B2351" s="82" t="n">
        <v>0.2916666666666667</v>
      </c>
      <c r="C2351" s="5" t="inlineStr">
        <is>
          <t>Amazon</t>
        </is>
      </c>
      <c r="F2351" s="6" t="inlineStr">
        <is>
          <t>111-0095614-4085011</t>
        </is>
      </c>
      <c r="G2351" s="10" t="n"/>
      <c r="H2351" s="18" t="inlineStr">
        <is>
          <t>Magnetic Blocks, 1.41 inch Large Magnetic Building Blocks for Toddlers 3 4 5 6 7 8 Years Old Boys Girls Magnet Cubes for Kids 1-3 Montessori Toys STEM Preschool Educational Building Cube 30 Pcs
Sold by: dingshanmaoyi</t>
        </is>
      </c>
      <c r="I2351" s="9" t="n">
        <v>30</v>
      </c>
      <c r="J2351" s="9" t="inlineStr">
        <is>
          <t>cnt</t>
        </is>
      </c>
      <c r="K2351" s="9" t="n">
        <v>19.99</v>
      </c>
    </row>
    <row r="2352" ht="15" customFormat="1" customHeight="1" s="5">
      <c r="A2352" s="81" t="n">
        <v>45849</v>
      </c>
      <c r="B2352" s="82" t="n">
        <v>0.2916666666666667</v>
      </c>
      <c r="C2352" s="5" t="inlineStr">
        <is>
          <t>Amazon</t>
        </is>
      </c>
      <c r="F2352" s="6" t="inlineStr">
        <is>
          <t>111-0095614-4085011</t>
        </is>
      </c>
      <c r="G2352" s="10" t="n"/>
      <c r="H2352" s="9" t="inlineStr">
        <is>
          <t>**DISCOUNT** Amazon Promotion</t>
        </is>
      </c>
      <c r="I2352" s="9" t="n">
        <v>60</v>
      </c>
      <c r="J2352" s="9" t="inlineStr">
        <is>
          <t>cnt</t>
        </is>
      </c>
      <c r="K2352" s="9" t="n">
        <v>-11.99</v>
      </c>
    </row>
    <row r="2353" ht="15" customFormat="1" customHeight="1" s="5">
      <c r="A2353" s="81" t="n">
        <v>45849</v>
      </c>
      <c r="B2353" s="82" t="n">
        <v>0.2916666666666667</v>
      </c>
      <c r="C2353" s="5" t="inlineStr">
        <is>
          <t>Amazon</t>
        </is>
      </c>
      <c r="F2353" s="6" t="inlineStr">
        <is>
          <t>111-0095614-4085011</t>
        </is>
      </c>
      <c r="G2353" s="10" t="n"/>
      <c r="H2353" s="9" t="inlineStr">
        <is>
          <t>Tax</t>
        </is>
      </c>
      <c r="I2353" s="9" t="n">
        <v>2</v>
      </c>
      <c r="J2353" s="9" t="inlineStr">
        <is>
          <t>cnt</t>
        </is>
      </c>
      <c r="K2353" s="9" t="n">
        <v>2.24</v>
      </c>
    </row>
    <row r="2354" ht="15" customFormat="1" customHeight="1" s="5">
      <c r="A2354" s="81" t="n">
        <v>45849</v>
      </c>
      <c r="B2354" s="82" t="n">
        <v>0.2916666666666667</v>
      </c>
      <c r="C2354" s="5" t="inlineStr">
        <is>
          <t>Amazon</t>
        </is>
      </c>
      <c r="F2354" s="6" t="inlineStr">
        <is>
          <t>111-0095614-4085011</t>
        </is>
      </c>
      <c r="G2354" s="10" t="n"/>
      <c r="H2354" s="9" t="inlineStr">
        <is>
          <t>CO Retail Delivery Fees</t>
        </is>
      </c>
      <c r="I2354" s="9" t="n">
        <v>2</v>
      </c>
      <c r="J2354" s="9" t="inlineStr">
        <is>
          <t>cnt</t>
        </is>
      </c>
      <c r="K2354" s="9" t="n">
        <v>0.28</v>
      </c>
    </row>
    <row r="2355" ht="15" customFormat="1" customHeight="1" s="5">
      <c r="A2355" s="81" t="n">
        <v>45849</v>
      </c>
      <c r="B2355" s="82" t="n">
        <v>0.2916666666666667</v>
      </c>
      <c r="C2355" s="5" t="inlineStr">
        <is>
          <t>Amazon</t>
        </is>
      </c>
      <c r="D2355" s="5" t="n">
        <v>1</v>
      </c>
      <c r="F2355" s="6" t="inlineStr">
        <is>
          <t>111-4199892-5930636</t>
        </is>
      </c>
      <c r="G2355" s="10" t="n"/>
      <c r="H2355" s="18" t="inlineStr">
        <is>
          <t>Pipeline Dredging Agent, 2025 New Powerful Powerful Pipe Dredging Agent for Bathroom Kitchen Sink And Drain Cleaner (1PC) Sold by: Pipiman 跟卖必投诉 下测试单 Supplied by: Other</t>
        </is>
      </c>
      <c r="I2355" s="9" t="n">
        <v>350</v>
      </c>
      <c r="J2355" s="9" t="inlineStr">
        <is>
          <t>mL</t>
        </is>
      </c>
      <c r="K2355" s="9" t="n">
        <v>8.98</v>
      </c>
    </row>
    <row r="2356" ht="15" customFormat="1" customHeight="1" s="5">
      <c r="A2356" s="81" t="n">
        <v>45849</v>
      </c>
      <c r="B2356" s="82" t="n">
        <v>0.2916666666666667</v>
      </c>
      <c r="C2356" s="5" t="inlineStr">
        <is>
          <t>Amazon</t>
        </is>
      </c>
      <c r="D2356" s="5" t="n">
        <v>1</v>
      </c>
      <c r="F2356" s="6" t="inlineStr">
        <is>
          <t>111-4199892-5930636</t>
        </is>
      </c>
      <c r="G2356" s="10" t="n"/>
      <c r="H2356" s="18" t="inlineStr">
        <is>
          <t>Shipping and Handling</t>
        </is>
      </c>
      <c r="I2356" s="9" t="n">
        <v>350</v>
      </c>
      <c r="J2356" s="9" t="inlineStr">
        <is>
          <t>mL</t>
        </is>
      </c>
      <c r="K2356" s="9" t="n">
        <v>16.99</v>
      </c>
    </row>
    <row r="2357" ht="15" customFormat="1" customHeight="1" s="5">
      <c r="A2357" s="81" t="n">
        <v>45849</v>
      </c>
      <c r="B2357" s="82" t="n">
        <v>0.2916666666666667</v>
      </c>
      <c r="C2357" s="5" t="inlineStr">
        <is>
          <t>Amazon</t>
        </is>
      </c>
      <c r="D2357" s="5" t="n">
        <v>1</v>
      </c>
      <c r="F2357" s="6" t="inlineStr">
        <is>
          <t>111-4199892-5930636</t>
        </is>
      </c>
      <c r="G2357" s="10" t="n"/>
      <c r="H2357" s="18" t="inlineStr">
        <is>
          <t>**DISCOUNT** Amazon</t>
        </is>
      </c>
      <c r="I2357" s="9" t="n">
        <v>350</v>
      </c>
      <c r="J2357" s="9" t="inlineStr">
        <is>
          <t>mL</t>
        </is>
      </c>
      <c r="K2357" s="9" t="n">
        <v>-0.72</v>
      </c>
    </row>
    <row r="2358" ht="15" customFormat="1" customHeight="1" s="5">
      <c r="A2358" s="81" t="n">
        <v>45849</v>
      </c>
      <c r="B2358" s="82" t="n">
        <v>0.2916666666666667</v>
      </c>
      <c r="C2358" s="5" t="inlineStr">
        <is>
          <t>Amazon</t>
        </is>
      </c>
      <c r="D2358" s="5" t="n">
        <v>1</v>
      </c>
      <c r="F2358" s="6" t="inlineStr">
        <is>
          <t>111-4199892-5930636</t>
        </is>
      </c>
      <c r="G2358" s="10" t="n"/>
      <c r="H2358" s="18" t="inlineStr">
        <is>
          <t>Tax</t>
        </is>
      </c>
      <c r="I2358" s="9" t="n">
        <v>350</v>
      </c>
      <c r="J2358" s="9" t="inlineStr">
        <is>
          <t>mL</t>
        </is>
      </c>
      <c r="K2358" s="9" t="n">
        <v>2.02</v>
      </c>
    </row>
    <row r="2359" ht="15" customFormat="1" customHeight="1" s="5">
      <c r="A2359" s="81" t="n">
        <v>45849</v>
      </c>
      <c r="B2359" s="82" t="n">
        <v>0.2916666666666667</v>
      </c>
      <c r="C2359" s="5" t="inlineStr">
        <is>
          <t>Amazon</t>
        </is>
      </c>
      <c r="D2359" s="5" t="n">
        <v>1</v>
      </c>
      <c r="F2359" s="6" t="inlineStr">
        <is>
          <t>111-4199892-5930636</t>
        </is>
      </c>
      <c r="G2359" s="10" t="n"/>
      <c r="H2359" s="9" t="inlineStr">
        <is>
          <t>Joseph Wu Treat!</t>
        </is>
      </c>
      <c r="I2359" s="9" t="n">
        <v>350</v>
      </c>
      <c r="J2359" s="9" t="inlineStr">
        <is>
          <t>mL</t>
        </is>
      </c>
      <c r="K2359" s="9" t="n">
        <v>-27.27</v>
      </c>
    </row>
    <row r="2360" ht="15" customFormat="1" customHeight="1" s="5">
      <c r="A2360" s="90" t="n">
        <v>45849</v>
      </c>
      <c r="B2360" s="92" t="n">
        <v>0.2916666666666667</v>
      </c>
      <c r="C2360" s="38" t="inlineStr">
        <is>
          <t>Letter</t>
        </is>
      </c>
      <c r="D2360" s="38" t="n"/>
      <c r="E2360" s="38" t="n"/>
      <c r="F2360" s="39" t="n"/>
      <c r="G2360" s="40" t="n"/>
      <c r="H2360" s="36" t="inlineStr">
        <is>
          <t>Check from parents for Eli</t>
        </is>
      </c>
      <c r="I2360" s="36" t="n"/>
      <c r="J2360" s="36" t="n"/>
      <c r="K2360" s="36" t="n">
        <v>-50</v>
      </c>
    </row>
    <row r="2361" ht="15" customFormat="1" customHeight="1" s="5">
      <c r="A2361" s="81" t="n">
        <v>45849</v>
      </c>
      <c r="B2361" s="82" t="n">
        <v>0.1319444444444444</v>
      </c>
      <c r="C2361" s="5" t="inlineStr">
        <is>
          <t>Overland Missions</t>
        </is>
      </c>
      <c r="D2361" s="5" t="n">
        <v>1</v>
      </c>
      <c r="F2361" s="6" t="inlineStr">
        <is>
          <t>3538</t>
        </is>
      </c>
      <c r="G2361" s="10" t="n"/>
      <c r="H2361" s="9" t="inlineStr">
        <is>
          <t>Pelletier - Monthly missions donation</t>
        </is>
      </c>
      <c r="I2361" s="9" t="n">
        <v>1</v>
      </c>
      <c r="J2361" s="9" t="inlineStr">
        <is>
          <t>cnt</t>
        </is>
      </c>
      <c r="K2361" s="9" t="n">
        <v>250</v>
      </c>
    </row>
    <row r="2362" ht="15" customFormat="1" customHeight="1" s="5">
      <c r="A2362" s="81" t="n">
        <v>45849</v>
      </c>
      <c r="B2362" s="82" t="n"/>
      <c r="C2362" s="5" t="inlineStr">
        <is>
          <t>Panera Bread</t>
        </is>
      </c>
      <c r="F2362" s="6" t="n"/>
      <c r="G2362" s="10" t="n"/>
      <c r="H2362" s="9" t="inlineStr">
        <is>
          <t xml:space="preserve">Mary Wu </t>
        </is>
      </c>
      <c r="I2362" s="9" t="n"/>
      <c r="J2362" s="9" t="n"/>
      <c r="K2362" s="9" t="n"/>
    </row>
    <row r="2363" ht="15" customFormat="1" customHeight="1" s="5">
      <c r="A2363" s="81" t="n">
        <v>45849</v>
      </c>
      <c r="B2363" s="82" t="n"/>
      <c r="C2363" s="5" t="inlineStr">
        <is>
          <t>Panera Bread</t>
        </is>
      </c>
      <c r="F2363" s="6" t="n"/>
      <c r="G2363" s="10" t="n"/>
      <c r="H2363" s="9" t="inlineStr">
        <is>
          <t>Mary Wu Treat!</t>
        </is>
      </c>
      <c r="I2363" s="9" t="n"/>
      <c r="J2363" s="9" t="n"/>
      <c r="K2363" s="9" t="n"/>
    </row>
    <row r="2364" ht="15" customFormat="1" customHeight="1" s="5">
      <c r="A2364" s="81" t="n">
        <v>45849</v>
      </c>
      <c r="B2364" s="82" t="n"/>
      <c r="C2364" s="5" t="inlineStr">
        <is>
          <t>Goodtimes Burgers</t>
        </is>
      </c>
      <c r="F2364" s="6" t="n"/>
      <c r="G2364" s="10" t="n"/>
      <c r="H2364" s="9" t="inlineStr">
        <is>
          <t>Joe Wu</t>
        </is>
      </c>
      <c r="I2364" s="9" t="n"/>
      <c r="J2364" s="9" t="n"/>
      <c r="K2364" s="9" t="n"/>
    </row>
    <row r="2365" ht="15" customFormat="1" customHeight="1" s="5">
      <c r="A2365" s="81" t="n">
        <v>45849</v>
      </c>
      <c r="B2365" s="82" t="n"/>
      <c r="C2365" s="5" t="inlineStr">
        <is>
          <t>Goodtimes Burgers</t>
        </is>
      </c>
      <c r="F2365" s="6" t="n"/>
      <c r="G2365" s="10" t="n"/>
      <c r="H2365" s="9" t="inlineStr">
        <is>
          <t>Joseph Wu Treat!</t>
        </is>
      </c>
      <c r="I2365" s="9" t="n"/>
      <c r="J2365" s="9" t="n"/>
      <c r="K2365" s="9" t="n"/>
    </row>
    <row r="2366" ht="15" customFormat="1" customHeight="1" s="5">
      <c r="A2366" s="81" t="n">
        <v>45848</v>
      </c>
      <c r="B2366" s="82" t="n">
        <v>0.4145833333333334</v>
      </c>
      <c r="C2366" s="5" t="inlineStr">
        <is>
          <t>Safeway</t>
        </is>
      </c>
      <c r="F2366" s="6" t="n"/>
      <c r="G2366" s="10" t="n"/>
      <c r="H2366" s="9" t="inlineStr">
        <is>
          <t>Mary Wu</t>
        </is>
      </c>
      <c r="I2366" s="9" t="n"/>
      <c r="J2366" s="9" t="n"/>
      <c r="K2366" s="9" t="n">
        <v>47.92</v>
      </c>
    </row>
    <row r="2367" ht="15" customFormat="1" customHeight="1" s="5">
      <c r="A2367" s="81" t="n">
        <v>45848</v>
      </c>
      <c r="B2367" s="82" t="n">
        <v>0.4145833333333334</v>
      </c>
      <c r="C2367" s="5" t="inlineStr">
        <is>
          <t>Safeway</t>
        </is>
      </c>
      <c r="F2367" s="6" t="n"/>
      <c r="G2367" s="10" t="n"/>
      <c r="H2367" s="9" t="inlineStr">
        <is>
          <t>Mary Wu Treat!</t>
        </is>
      </c>
      <c r="I2367" s="9" t="n"/>
      <c r="J2367" s="9" t="n"/>
      <c r="K2367" s="9" t="n">
        <v>-47.92</v>
      </c>
    </row>
    <row r="2368" ht="15" customFormat="1" customHeight="1" s="5">
      <c r="A2368" s="81" t="n">
        <v>45848</v>
      </c>
      <c r="B2368" s="82" t="n">
        <v>0.3993055555555556</v>
      </c>
      <c r="C2368" s="5" t="inlineStr">
        <is>
          <t>Starbucks</t>
        </is>
      </c>
      <c r="F2368" s="6" t="n"/>
      <c r="G2368" s="10" t="n"/>
      <c r="H2368" s="9" t="inlineStr">
        <is>
          <t>Mary Wu</t>
        </is>
      </c>
      <c r="I2368" s="9" t="n"/>
      <c r="J2368" s="9" t="n"/>
      <c r="K2368" s="9" t="n">
        <v>5.89</v>
      </c>
    </row>
    <row r="2369" ht="15" customFormat="1" customHeight="1" s="42">
      <c r="A2369" s="81" t="n">
        <v>45848</v>
      </c>
      <c r="B2369" s="82" t="n">
        <v>0.3993055555555556</v>
      </c>
      <c r="C2369" s="5" t="inlineStr">
        <is>
          <t>Starbucks</t>
        </is>
      </c>
      <c r="D2369" s="5" t="n"/>
      <c r="E2369" s="5" t="n"/>
      <c r="F2369" s="6" t="n"/>
      <c r="G2369" s="10" t="n"/>
      <c r="H2369" s="9" t="inlineStr">
        <is>
          <t>Mary Wu Treat!</t>
        </is>
      </c>
      <c r="I2369" s="9" t="n"/>
      <c r="J2369" s="9" t="n"/>
      <c r="K2369" s="9" t="n">
        <v>-5.89</v>
      </c>
    </row>
    <row r="2370" ht="15" customFormat="1" customHeight="1" s="5">
      <c r="A2370" s="81" t="n">
        <v>45848</v>
      </c>
      <c r="B2370" s="82" t="n">
        <v>0.2916666666666667</v>
      </c>
      <c r="C2370" s="5" t="inlineStr">
        <is>
          <t>US Tax Witholding</t>
        </is>
      </c>
      <c r="D2370" s="5" t="n">
        <v>1</v>
      </c>
      <c r="F2370" s="6" t="inlineStr">
        <is>
          <t>RTX_Paycheck_25_40</t>
        </is>
      </c>
      <c r="G2370" s="7" t="n"/>
      <c r="H2370" s="9" t="inlineStr">
        <is>
          <t>Federal Income Tax</t>
        </is>
      </c>
      <c r="I2370" s="9" t="n"/>
      <c r="J2370" s="9" t="n"/>
      <c r="K2370" s="9" t="n">
        <v>483.75</v>
      </c>
    </row>
    <row r="2371" ht="15" customFormat="1" customHeight="1" s="42">
      <c r="A2371" s="81" t="n">
        <v>45848</v>
      </c>
      <c r="B2371" s="82" t="n">
        <v>0.2916666666666667</v>
      </c>
      <c r="C2371" s="5" t="inlineStr">
        <is>
          <t>US Tax Witholding</t>
        </is>
      </c>
      <c r="D2371" s="5" t="n">
        <v>1</v>
      </c>
      <c r="E2371" s="5" t="n"/>
      <c r="F2371" s="6" t="inlineStr">
        <is>
          <t>RTX_Paycheck_25_40</t>
        </is>
      </c>
      <c r="G2371" s="7" t="n"/>
      <c r="H2371" s="9" t="inlineStr">
        <is>
          <t>Social Security Tax</t>
        </is>
      </c>
      <c r="I2371" s="9" t="n"/>
      <c r="J2371" s="9" t="n"/>
      <c r="K2371" s="9" t="n">
        <v>277.19</v>
      </c>
    </row>
    <row r="2372" ht="15" customFormat="1" customHeight="1" s="5">
      <c r="A2372" s="81" t="n">
        <v>45848</v>
      </c>
      <c r="B2372" s="82" t="n">
        <v>0.2916666666666667</v>
      </c>
      <c r="C2372" s="5" t="inlineStr">
        <is>
          <t>US Tax Witholding</t>
        </is>
      </c>
      <c r="D2372" s="5" t="n">
        <v>1</v>
      </c>
      <c r="F2372" s="6" t="inlineStr">
        <is>
          <t>RTX_Paycheck_25_40</t>
        </is>
      </c>
      <c r="G2372" s="7" t="n"/>
      <c r="H2372" s="9" t="inlineStr">
        <is>
          <t>Medicare Tax</t>
        </is>
      </c>
      <c r="I2372" s="9" t="n"/>
      <c r="J2372" s="9" t="n"/>
      <c r="K2372" s="9" t="n">
        <v>64.83</v>
      </c>
    </row>
    <row r="2373" ht="15" customFormat="1" customHeight="1" s="5">
      <c r="A2373" s="81" t="n">
        <v>45848</v>
      </c>
      <c r="B2373" s="82" t="n">
        <v>0.2916666666666667</v>
      </c>
      <c r="C2373" s="5" t="inlineStr">
        <is>
          <t>Raytheon</t>
        </is>
      </c>
      <c r="D2373" s="5" t="n">
        <v>1</v>
      </c>
      <c r="F2373" s="6" t="inlineStr">
        <is>
          <t>RTX_Paycheck_25_40</t>
        </is>
      </c>
      <c r="G2373" s="17" t="inlineStr">
        <is>
          <t>XXXX3523</t>
        </is>
      </c>
      <c r="H2373" s="9" t="inlineStr">
        <is>
          <t>Net Paycheck [Jun 21 - Jul 04]</t>
        </is>
      </c>
      <c r="I2373" s="9" t="n"/>
      <c r="J2373" s="9" t="n"/>
      <c r="K2373" s="9" t="n">
        <v>2482.2</v>
      </c>
    </row>
    <row r="2374" ht="15" customFormat="1" customHeight="1" s="5">
      <c r="A2374" s="81" t="n">
        <v>45848</v>
      </c>
      <c r="B2374" s="82" t="n">
        <v>0.2916666666666667</v>
      </c>
      <c r="C2374" s="5" t="inlineStr">
        <is>
          <t>Raytheon</t>
        </is>
      </c>
      <c r="D2374" s="5" t="n">
        <v>1</v>
      </c>
      <c r="F2374" s="6" t="inlineStr">
        <is>
          <t>RTX_Paycheck_25_40</t>
        </is>
      </c>
      <c r="G2374" s="7" t="n"/>
      <c r="H2374" s="9" t="inlineStr">
        <is>
          <t>RTX Direct Deposit -- cancelling offset</t>
        </is>
      </c>
      <c r="I2374" s="9" t="n"/>
      <c r="J2374" s="9" t="n"/>
      <c r="K2374" s="9" t="n">
        <v>-2482.21</v>
      </c>
    </row>
    <row r="2375" ht="15" customFormat="1" customHeight="1" s="5">
      <c r="A2375" s="81" t="n">
        <v>45848</v>
      </c>
      <c r="B2375" s="82" t="n">
        <v>0.2916666666666667</v>
      </c>
      <c r="C2375" s="5" t="inlineStr">
        <is>
          <t>Raytheon</t>
        </is>
      </c>
      <c r="D2375" s="5" t="n">
        <v>1</v>
      </c>
      <c r="F2375" s="6" t="inlineStr">
        <is>
          <t>RTX_Paycheck_25_40</t>
        </is>
      </c>
      <c r="G2375" s="7" t="n"/>
      <c r="H2375" s="9" t="inlineStr">
        <is>
          <t>Gross Paycheck [Jun 21 - Jul 04]</t>
        </is>
      </c>
      <c r="I2375" s="9" t="n"/>
      <c r="J2375" s="9" t="n"/>
      <c r="K2375" s="9" t="n">
        <v>-4844.58</v>
      </c>
    </row>
    <row r="2376" ht="15" customFormat="1" customHeight="1" s="5">
      <c r="A2376" s="81" t="n">
        <v>45848</v>
      </c>
      <c r="B2376" s="82" t="n">
        <v>0.2916666666666667</v>
      </c>
      <c r="C2376" s="5" t="inlineStr">
        <is>
          <t>Raytheon</t>
        </is>
      </c>
      <c r="D2376" s="5" t="n">
        <v>1</v>
      </c>
      <c r="F2376" s="6" t="inlineStr">
        <is>
          <t>RTX_Paycheck_25_40</t>
        </is>
      </c>
      <c r="G2376" s="7" t="n"/>
      <c r="H2376" s="9" t="inlineStr">
        <is>
          <t>Ed(ucation) Assi(tance) Offset</t>
        </is>
      </c>
      <c r="I2376" s="9" t="n"/>
      <c r="J2376" s="9" t="n"/>
      <c r="K2376" s="9" t="n">
        <v>711.63</v>
      </c>
    </row>
    <row r="2377" ht="15" customFormat="1" customHeight="1" s="5">
      <c r="A2377" s="81" t="n">
        <v>45848</v>
      </c>
      <c r="B2377" s="82" t="n">
        <v>0.2916666666666667</v>
      </c>
      <c r="C2377" s="5" t="inlineStr">
        <is>
          <t>Parents Gift Account</t>
        </is>
      </c>
      <c r="D2377" s="5" t="n">
        <v>1</v>
      </c>
      <c r="F2377" s="6" t="inlineStr">
        <is>
          <t>RTX_Paycheck_25_40</t>
        </is>
      </c>
      <c r="G2377" s="17" t="inlineStr">
        <is>
          <t>XXXX7146</t>
        </is>
      </c>
      <c r="H2377" s="9" t="inlineStr">
        <is>
          <t>Contribution to Parents Gift Account</t>
        </is>
      </c>
      <c r="I2377" s="9" t="n"/>
      <c r="J2377" s="9" t="n"/>
      <c r="K2377" s="9" t="n">
        <v>0.01</v>
      </c>
    </row>
    <row r="2378" ht="15" customFormat="1" customHeight="1" s="5">
      <c r="A2378" s="81" t="n">
        <v>45848</v>
      </c>
      <c r="B2378" s="82" t="n">
        <v>0.2916666666666667</v>
      </c>
      <c r="C2378" s="5" t="inlineStr">
        <is>
          <t>HSA</t>
        </is>
      </c>
      <c r="D2378" s="5" t="n">
        <v>1</v>
      </c>
      <c r="F2378" s="6" t="inlineStr">
        <is>
          <t>RTX_Paycheck_25_40</t>
        </is>
      </c>
      <c r="G2378" s="7" t="n"/>
      <c r="H2378" s="9" t="inlineStr">
        <is>
          <t>Personal contribution to HSA</t>
        </is>
      </c>
      <c r="I2378" s="9" t="n"/>
      <c r="J2378" s="9" t="n"/>
      <c r="K2378" s="9" t="n">
        <v>239.93</v>
      </c>
    </row>
    <row r="2379" ht="15" customFormat="1" customHeight="1" s="5">
      <c r="A2379" s="81" t="n">
        <v>45848</v>
      </c>
      <c r="B2379" s="82" t="n">
        <v>0.2916666666666667</v>
      </c>
      <c r="C2379" s="5" t="inlineStr">
        <is>
          <t>Delta Dental</t>
        </is>
      </c>
      <c r="D2379" s="5" t="n">
        <v>1</v>
      </c>
      <c r="F2379" s="6" t="inlineStr">
        <is>
          <t>RTX_Paycheck_25_40</t>
        </is>
      </c>
      <c r="G2379" s="10" t="n"/>
      <c r="H2379" s="9" t="inlineStr">
        <is>
          <t>Dental Insurance</t>
        </is>
      </c>
      <c r="I2379" s="9" t="n"/>
      <c r="J2379" s="9" t="n"/>
      <c r="K2379" s="9" t="n">
        <v>4.26</v>
      </c>
    </row>
    <row r="2380" ht="15" customFormat="1" customHeight="1" s="5">
      <c r="A2380" s="81" t="n">
        <v>45848</v>
      </c>
      <c r="B2380" s="82" t="n">
        <v>0.2916666666666667</v>
      </c>
      <c r="C2380" s="5" t="inlineStr">
        <is>
          <t>CO Tax Witholding</t>
        </is>
      </c>
      <c r="D2380" s="5" t="n">
        <v>1</v>
      </c>
      <c r="F2380" s="6" t="inlineStr">
        <is>
          <t>RTX_Paycheck_25_40</t>
        </is>
      </c>
      <c r="G2380" s="7" t="n"/>
      <c r="H2380" s="9" t="inlineStr">
        <is>
          <t>CO State Income Tax</t>
        </is>
      </c>
      <c r="I2380" s="9" t="n"/>
      <c r="J2380" s="9" t="n"/>
      <c r="K2380" s="9" t="n">
        <v>179.72</v>
      </c>
    </row>
    <row r="2381" ht="15" customFormat="1" customHeight="1" s="5">
      <c r="A2381" s="81" t="n">
        <v>45848</v>
      </c>
      <c r="B2381" s="82" t="n">
        <v>0.2916666666666667</v>
      </c>
      <c r="C2381" s="5" t="inlineStr">
        <is>
          <t>CO Tax Witholding</t>
        </is>
      </c>
      <c r="D2381" s="5" t="n">
        <v>1</v>
      </c>
      <c r="F2381" s="6" t="inlineStr">
        <is>
          <t>RTX_Paycheck_25_40</t>
        </is>
      </c>
      <c r="G2381" s="7" t="n"/>
      <c r="H2381" s="9" t="inlineStr">
        <is>
          <t>CO Paid Family Leave Insurance</t>
        </is>
      </c>
      <c r="I2381" s="9" t="n"/>
      <c r="J2381" s="9" t="n"/>
      <c r="K2381" s="9" t="n">
        <v>21.8</v>
      </c>
    </row>
    <row r="2382" ht="15" customFormat="1" customHeight="1" s="5">
      <c r="A2382" s="81" t="n">
        <v>45848</v>
      </c>
      <c r="B2382" s="82" t="n">
        <v>0.2916666666666667</v>
      </c>
      <c r="C2382" s="5" t="inlineStr">
        <is>
          <t>Anthem BcBs</t>
        </is>
      </c>
      <c r="D2382" s="5" t="n">
        <v>1</v>
      </c>
      <c r="F2382" s="6" t="inlineStr">
        <is>
          <t>RTX_Paycheck_25_40</t>
        </is>
      </c>
      <c r="G2382" s="7" t="n"/>
      <c r="H2382" s="9" t="inlineStr">
        <is>
          <t>Medical Insurance</t>
        </is>
      </c>
      <c r="I2382" s="9" t="n"/>
      <c r="J2382" s="9" t="n"/>
      <c r="K2382" s="9" t="n">
        <v>131.28</v>
      </c>
    </row>
    <row r="2383" ht="15" customFormat="1" customHeight="1" s="5">
      <c r="A2383" s="81" t="n">
        <v>45848</v>
      </c>
      <c r="B2383" s="82" t="n">
        <v>0.2916666666666667</v>
      </c>
      <c r="C2383" s="5" t="inlineStr">
        <is>
          <t>Alight</t>
        </is>
      </c>
      <c r="D2383" s="5" t="n">
        <v>1</v>
      </c>
      <c r="F2383" s="6" t="inlineStr">
        <is>
          <t>RTX_Paycheck_25_40</t>
        </is>
      </c>
      <c r="G2383" s="7" t="n"/>
      <c r="H2383" s="9" t="inlineStr">
        <is>
          <t>401k Basic -- Traditional</t>
        </is>
      </c>
      <c r="I2383" s="9" t="n"/>
      <c r="J2383" s="9" t="n"/>
      <c r="K2383" s="9" t="n">
        <v>0</v>
      </c>
    </row>
    <row r="2384" ht="15" customFormat="1" customHeight="1" s="5">
      <c r="A2384" s="81" t="n">
        <v>45848</v>
      </c>
      <c r="B2384" s="82" t="n">
        <v>0.2916666666666667</v>
      </c>
      <c r="C2384" s="5" t="inlineStr">
        <is>
          <t>Alight</t>
        </is>
      </c>
      <c r="D2384" s="5" t="n">
        <v>1</v>
      </c>
      <c r="F2384" s="6" t="inlineStr">
        <is>
          <t>RTX_Paycheck_25_40</t>
        </is>
      </c>
      <c r="G2384" s="7" t="n"/>
      <c r="H2384" s="9" t="inlineStr">
        <is>
          <t>Roth 401k Basic</t>
        </is>
      </c>
      <c r="I2384" s="9" t="n"/>
      <c r="J2384" s="9" t="n"/>
      <c r="K2384" s="9" t="n">
        <v>247.98</v>
      </c>
    </row>
    <row r="2385" ht="15" customFormat="1" customHeight="1" s="5">
      <c r="A2385" s="81" t="n">
        <v>45848</v>
      </c>
      <c r="B2385" s="82" t="n"/>
      <c r="C2385" s="5" t="inlineStr">
        <is>
          <t>Costco</t>
        </is>
      </c>
      <c r="F2385" s="6" t="n"/>
      <c r="G2385" s="10" t="n"/>
      <c r="H2385" s="9" t="inlineStr">
        <is>
          <t>Joe Wu (chai berries )</t>
        </is>
      </c>
      <c r="I2385" s="9" t="n"/>
      <c r="J2385" s="9" t="n"/>
      <c r="K2385" s="9" t="n">
        <v>20.86</v>
      </c>
    </row>
    <row r="2386" ht="15" customFormat="1" customHeight="1" s="5">
      <c r="A2386" s="81" t="n">
        <v>45848</v>
      </c>
      <c r="B2386" s="82" t="n"/>
      <c r="C2386" s="5" t="inlineStr">
        <is>
          <t>Costco</t>
        </is>
      </c>
      <c r="F2386" s="6" t="n"/>
      <c r="G2386" s="10" t="n"/>
      <c r="H2386" s="9" t="inlineStr">
        <is>
          <t>Joseph Wu Treat!</t>
        </is>
      </c>
      <c r="I2386" s="9" t="n"/>
      <c r="J2386" s="9" t="n"/>
      <c r="K2386" s="9" t="n">
        <v>-20.86</v>
      </c>
    </row>
    <row r="2387" ht="15" customFormat="1" customHeight="1" s="5">
      <c r="A2387" s="81" t="n">
        <v>45847</v>
      </c>
      <c r="B2387" s="82" t="n">
        <v>0.475</v>
      </c>
      <c r="C2387" s="5" t="inlineStr">
        <is>
          <t>Costco</t>
        </is>
      </c>
      <c r="E2387" s="5" t="n">
        <v>1</v>
      </c>
      <c r="F2387" s="6" t="inlineStr">
        <is>
          <t>650 9 70 4</t>
        </is>
      </c>
      <c r="G2387" s="10" t="n"/>
      <c r="H2387" s="9" t="inlineStr">
        <is>
          <t>bones and ococnut water and pistachios</t>
        </is>
      </c>
      <c r="I2387" s="9" t="n"/>
      <c r="J2387" s="9" t="n"/>
      <c r="K2387" s="9" t="n">
        <v>41.27</v>
      </c>
    </row>
    <row r="2388" ht="15" customFormat="1" customHeight="1" s="5">
      <c r="A2388" s="81" t="n">
        <v>45847</v>
      </c>
      <c r="B2388" s="82" t="n">
        <v>0.475</v>
      </c>
      <c r="C2388" s="5" t="inlineStr">
        <is>
          <t>Costco</t>
        </is>
      </c>
      <c r="E2388" s="5" t="n">
        <v>1</v>
      </c>
      <c r="F2388" s="6" t="inlineStr">
        <is>
          <t>650 9 70 4</t>
        </is>
      </c>
      <c r="G2388" s="10" t="n"/>
      <c r="H2388" s="44" t="inlineStr">
        <is>
          <t>Mary Wu Treat!</t>
        </is>
      </c>
      <c r="I2388" s="9" t="n"/>
      <c r="J2388" s="9" t="n"/>
      <c r="K2388" s="9" t="n">
        <v>-41.27</v>
      </c>
    </row>
    <row r="2389" ht="15" customFormat="1" customHeight="1" s="5">
      <c r="A2389" s="81" t="n">
        <v>45847</v>
      </c>
      <c r="B2389" s="82" t="n">
        <v>0.4593055555555556</v>
      </c>
      <c r="C2389" s="5" t="inlineStr">
        <is>
          <t>Great Wall Supermarket</t>
        </is>
      </c>
      <c r="E2389" s="5" t="n">
        <v>1</v>
      </c>
      <c r="F2389" s="6" t="inlineStr">
        <is>
          <t>283125342432 209</t>
        </is>
      </c>
      <c r="G2389" s="10" t="n"/>
      <c r="H2389" s="9" t="inlineStr">
        <is>
          <t>Eagle Coin Fried Dace</t>
        </is>
      </c>
      <c r="I2389" s="9" t="n">
        <v>6.5</v>
      </c>
      <c r="J2389" s="9" t="inlineStr">
        <is>
          <t>oz</t>
        </is>
      </c>
      <c r="K2389" s="9" t="n">
        <v>3.99</v>
      </c>
    </row>
    <row r="2390" ht="15" customFormat="1" customHeight="1" s="5">
      <c r="A2390" s="81" t="n">
        <v>45847</v>
      </c>
      <c r="B2390" s="82" t="n">
        <v>0.4593055555555556</v>
      </c>
      <c r="C2390" s="5" t="inlineStr">
        <is>
          <t>Great Wall Supermarket</t>
        </is>
      </c>
      <c r="E2390" s="5" t="n">
        <v>1</v>
      </c>
      <c r="F2390" s="6" t="inlineStr">
        <is>
          <t>283125342432 209</t>
        </is>
      </c>
      <c r="G2390" s="10" t="n"/>
      <c r="H2390" s="9" t="inlineStr">
        <is>
          <t>Eagle Coin Fried Dace</t>
        </is>
      </c>
      <c r="I2390" s="9" t="n">
        <v>6.5</v>
      </c>
      <c r="J2390" s="9" t="inlineStr">
        <is>
          <t>oz</t>
        </is>
      </c>
      <c r="K2390" s="9" t="n">
        <v>3.99</v>
      </c>
    </row>
    <row r="2391" ht="15" customFormat="1" customHeight="1" s="5">
      <c r="A2391" s="81" t="n">
        <v>45847</v>
      </c>
      <c r="B2391" s="82" t="n">
        <v>0.4593055555555556</v>
      </c>
      <c r="C2391" s="5" t="inlineStr">
        <is>
          <t>Great Wall Supermarket</t>
        </is>
      </c>
      <c r="E2391" s="5" t="n">
        <v>1</v>
      </c>
      <c r="F2391" s="6" t="inlineStr">
        <is>
          <t>283125342432 209</t>
        </is>
      </c>
      <c r="G2391" s="10" t="n"/>
      <c r="H2391" s="9" t="inlineStr">
        <is>
          <t>Joseph Wu Treat!</t>
        </is>
      </c>
      <c r="I2391" s="9" t="n">
        <v>2</v>
      </c>
      <c r="J2391" s="9" t="inlineStr">
        <is>
          <t>cnt</t>
        </is>
      </c>
      <c r="K2391" s="9" t="n">
        <v>-7.98</v>
      </c>
    </row>
    <row r="2392" ht="15" customFormat="1" customHeight="1" s="5">
      <c r="A2392" s="81" t="n">
        <v>45846</v>
      </c>
      <c r="B2392" s="82" t="n">
        <v>0.7696875</v>
      </c>
      <c r="C2392" s="5" t="inlineStr">
        <is>
          <t>H-Mart</t>
        </is>
      </c>
      <c r="E2392" s="5" t="n">
        <v>1</v>
      </c>
      <c r="F2392" s="6" t="inlineStr">
        <is>
          <t>16209 200560</t>
        </is>
      </c>
      <c r="G2392" s="7" t="n"/>
      <c r="H2392" s="9" t="inlineStr">
        <is>
          <t>various groceries for chicken feet</t>
        </is>
      </c>
      <c r="I2392" s="9" t="n"/>
      <c r="J2392" s="9" t="n"/>
      <c r="K2392" s="9" t="n">
        <v>62.18</v>
      </c>
    </row>
    <row r="2393" ht="15" customFormat="1" customHeight="1" s="5">
      <c r="A2393" s="81" t="n">
        <v>45846</v>
      </c>
      <c r="B2393" s="82" t="n">
        <v>0.7696875</v>
      </c>
      <c r="C2393" s="5" t="inlineStr">
        <is>
          <t>H-Mart</t>
        </is>
      </c>
      <c r="E2393" s="5" t="n">
        <v>1</v>
      </c>
      <c r="F2393" s="6" t="inlineStr">
        <is>
          <t>16209 200560</t>
        </is>
      </c>
      <c r="G2393" s="7" t="n"/>
      <c r="H2393" s="44" t="inlineStr">
        <is>
          <t>Joseph Wu Treat!</t>
        </is>
      </c>
      <c r="I2393" s="9" t="n"/>
      <c r="J2393" s="9" t="n"/>
      <c r="K2393" s="9" t="n">
        <v>-62.18</v>
      </c>
    </row>
    <row r="2394" ht="15" customFormat="1" customHeight="1" s="5">
      <c r="A2394" s="81" t="n">
        <v>45846</v>
      </c>
      <c r="B2394" s="82" t="n">
        <v>0.6518634259259259</v>
      </c>
      <c r="C2394" s="5" t="inlineStr">
        <is>
          <t>New Canton BBQ</t>
        </is>
      </c>
      <c r="E2394" s="5" t="n">
        <v>1</v>
      </c>
      <c r="F2394" s="6" t="inlineStr">
        <is>
          <t>20 9 20 0001</t>
        </is>
      </c>
      <c r="G2394" s="10" t="n"/>
      <c r="H2394" s="9" t="inlineStr">
        <is>
          <t>various meats from NCBBQ + chow fun</t>
        </is>
      </c>
      <c r="I2394" s="9" t="n"/>
      <c r="J2394" s="9" t="n"/>
      <c r="K2394" s="9" t="n">
        <v>35.88</v>
      </c>
    </row>
    <row r="2395" ht="15" customFormat="1" customHeight="1" s="5">
      <c r="A2395" s="81" t="n">
        <v>45846</v>
      </c>
      <c r="B2395" s="82" t="n">
        <v>0.6518634259259259</v>
      </c>
      <c r="C2395" s="5" t="inlineStr">
        <is>
          <t>New Canton BBQ</t>
        </is>
      </c>
      <c r="E2395" s="5" t="n">
        <v>1</v>
      </c>
      <c r="F2395" s="6" t="inlineStr">
        <is>
          <t>20 9 20 0001</t>
        </is>
      </c>
      <c r="G2395" s="10" t="n"/>
      <c r="H2395" s="9" t="inlineStr">
        <is>
          <t>Joseph Wu Treat!</t>
        </is>
      </c>
      <c r="I2395" s="9" t="n"/>
      <c r="J2395" s="9" t="n"/>
      <c r="K2395" s="9" t="n">
        <v>-35.88</v>
      </c>
    </row>
    <row r="2396" ht="15" customFormat="1" customHeight="1" s="5">
      <c r="A2396" s="81" t="n">
        <v>45846</v>
      </c>
      <c r="B2396" s="82" t="n">
        <v>0.2916666666666667</v>
      </c>
      <c r="C2396" s="5" t="inlineStr">
        <is>
          <t>Amazon</t>
        </is>
      </c>
      <c r="D2396" s="5" t="n">
        <v>1</v>
      </c>
      <c r="F2396" s="6" t="inlineStr">
        <is>
          <t>112-5301745-8137069</t>
        </is>
      </c>
      <c r="G2396" s="10" t="n"/>
      <c r="H2396" s="18" t="inlineStr">
        <is>
          <t>King Oscar Sardines Extra Virgin Olive Oil, 3.75-Ounce Cans (Pack of 12)
Sold by: Amazon.com</t>
        </is>
      </c>
      <c r="I2396" s="9">
        <f>3.75*12</f>
        <v/>
      </c>
      <c r="J2396" s="9" t="inlineStr">
        <is>
          <t>oz</t>
        </is>
      </c>
      <c r="K2396" s="9" t="n">
        <v>26.74</v>
      </c>
    </row>
    <row r="2397" ht="15" customFormat="1" customHeight="1" s="5">
      <c r="A2397" s="81" t="n">
        <v>45846</v>
      </c>
      <c r="B2397" s="82" t="n">
        <v>0.2916666666666667</v>
      </c>
      <c r="C2397" s="5" t="inlineStr">
        <is>
          <t>Amazon</t>
        </is>
      </c>
      <c r="D2397" s="5" t="n">
        <v>1</v>
      </c>
      <c r="F2397" s="6" t="inlineStr">
        <is>
          <t>112-5301745-8137069</t>
        </is>
      </c>
      <c r="G2397" s="10" t="n"/>
      <c r="H2397" s="18" t="inlineStr">
        <is>
          <t>Chicken of the Sea Sardines in Olive Oil, 3.75 oz. Cans (Pack of 18), Wild Caught Canned Sardines, Packaging May Vary</t>
        </is>
      </c>
      <c r="I2397" s="9">
        <f>18*3.75</f>
        <v/>
      </c>
      <c r="J2397" s="9" t="inlineStr">
        <is>
          <t>oz</t>
        </is>
      </c>
      <c r="K2397" s="9" t="n">
        <v>15.3</v>
      </c>
    </row>
    <row r="2398" ht="15" customFormat="1" customHeight="1" s="5">
      <c r="A2398" s="81" t="n">
        <v>45846</v>
      </c>
      <c r="B2398" s="82" t="n">
        <v>0.2916666666666667</v>
      </c>
      <c r="C2398" s="5" t="inlineStr">
        <is>
          <t>Amazon</t>
        </is>
      </c>
      <c r="D2398" s="5" t="n">
        <v>1</v>
      </c>
      <c r="F2398" s="6" t="inlineStr">
        <is>
          <t>112-5301745-8137069</t>
        </is>
      </c>
      <c r="G2398" s="10" t="n"/>
      <c r="H2398" s="9" t="inlineStr">
        <is>
          <t>Tax</t>
        </is>
      </c>
      <c r="I2398" s="9" t="n">
        <v>2</v>
      </c>
      <c r="J2398" s="9" t="inlineStr">
        <is>
          <t>cnt</t>
        </is>
      </c>
      <c r="K2398" s="9" t="n">
        <v>0</v>
      </c>
    </row>
    <row r="2399" ht="15" customFormat="1" customHeight="1" s="5">
      <c r="A2399" s="81" t="n">
        <v>45846</v>
      </c>
      <c r="B2399" s="82" t="n">
        <v>0.2916666666666667</v>
      </c>
      <c r="C2399" s="5" t="inlineStr">
        <is>
          <t>Amazon</t>
        </is>
      </c>
      <c r="D2399" s="5" t="n">
        <v>1</v>
      </c>
      <c r="F2399" s="6" t="inlineStr">
        <is>
          <t>112-5301745-8137069</t>
        </is>
      </c>
      <c r="G2399" s="10" t="n"/>
      <c r="H2399" s="9" t="inlineStr">
        <is>
          <t>Joseph Wu Treat!</t>
        </is>
      </c>
      <c r="I2399" s="9" t="n">
        <v>2</v>
      </c>
      <c r="J2399" s="9" t="inlineStr">
        <is>
          <t>cnt</t>
        </is>
      </c>
      <c r="K2399" s="9" t="n">
        <v>-42.04</v>
      </c>
    </row>
    <row r="2400" ht="15" customFormat="1" customHeight="1" s="5">
      <c r="A2400" s="81" t="n">
        <v>45844</v>
      </c>
      <c r="B2400" s="82" t="n">
        <v>0.7354166666666667</v>
      </c>
      <c r="C2400" s="5" t="inlineStr">
        <is>
          <t>Costco</t>
        </is>
      </c>
      <c r="E2400" s="5" t="n">
        <v>1</v>
      </c>
      <c r="F2400" s="6" t="inlineStr">
        <is>
          <t>439 206 257 706</t>
        </is>
      </c>
      <c r="G2400" s="10" t="inlineStr">
        <is>
          <t>E 17313</t>
        </is>
      </c>
      <c r="H2400" s="9" t="inlineStr">
        <is>
          <t>Steelhead Fish Fillets @$9.99/lb</t>
        </is>
      </c>
      <c r="I2400" s="9" t="n">
        <v>4.22</v>
      </c>
      <c r="J2400" s="9" t="inlineStr">
        <is>
          <t>lb</t>
        </is>
      </c>
      <c r="K2400" s="9" t="n">
        <v>42.16</v>
      </c>
    </row>
    <row r="2401" ht="15" customFormat="1" customHeight="1" s="5">
      <c r="A2401" s="81" t="n">
        <v>45844</v>
      </c>
      <c r="B2401" s="82" t="n">
        <v>0.7354166666666667</v>
      </c>
      <c r="C2401" s="5" t="inlineStr">
        <is>
          <t>Costco</t>
        </is>
      </c>
      <c r="E2401" s="5" t="n">
        <v>1</v>
      </c>
      <c r="F2401" s="6" t="inlineStr">
        <is>
          <t>439 206 257 706</t>
        </is>
      </c>
      <c r="G2401" s="10" t="inlineStr">
        <is>
          <t>E 1178969</t>
        </is>
      </c>
      <c r="H2401" s="9" t="inlineStr">
        <is>
          <t>Almond Flour</t>
        </is>
      </c>
      <c r="I2401" s="36" t="n"/>
      <c r="J2401" s="36" t="n"/>
      <c r="K2401" s="9" t="n">
        <v>11.49</v>
      </c>
    </row>
    <row r="2402" ht="15" customFormat="1" customHeight="1" s="5">
      <c r="A2402" s="81" t="n">
        <v>45844</v>
      </c>
      <c r="B2402" s="82" t="n">
        <v>0.7354166666666667</v>
      </c>
      <c r="C2402" s="5" t="inlineStr">
        <is>
          <t>Costco</t>
        </is>
      </c>
      <c r="E2402" s="5" t="n">
        <v>1</v>
      </c>
      <c r="F2402" s="6" t="inlineStr">
        <is>
          <t>439 206 257 706</t>
        </is>
      </c>
      <c r="G2402" s="10" t="inlineStr">
        <is>
          <t>E 679131</t>
        </is>
      </c>
      <c r="H2402" s="9" t="inlineStr">
        <is>
          <t>KS Organic Maple Syrup</t>
        </is>
      </c>
      <c r="I2402" s="36" t="n"/>
      <c r="J2402" s="36" t="n"/>
      <c r="K2402" s="9" t="n">
        <v>12.99</v>
      </c>
    </row>
    <row r="2403" ht="15" customFormat="1" customHeight="1" s="5">
      <c r="A2403" s="81" t="n">
        <v>45844</v>
      </c>
      <c r="B2403" s="82" t="n">
        <v>0.7354166666666667</v>
      </c>
      <c r="C2403" s="5" t="inlineStr">
        <is>
          <t>Costco</t>
        </is>
      </c>
      <c r="E2403" s="5" t="n">
        <v>1</v>
      </c>
      <c r="F2403" s="6" t="inlineStr">
        <is>
          <t>439 206 257 706</t>
        </is>
      </c>
      <c r="G2403" s="10" t="inlineStr">
        <is>
          <t>E 1117393</t>
        </is>
      </c>
      <c r="H2403" s="9" t="inlineStr">
        <is>
          <t>Chickpea Rotini</t>
        </is>
      </c>
      <c r="I2403" s="36" t="n"/>
      <c r="J2403" s="36" t="n"/>
      <c r="K2403" s="9" t="n">
        <v>8.99</v>
      </c>
    </row>
    <row r="2404" ht="15" customFormat="1" customHeight="1" s="5">
      <c r="A2404" s="81" t="n">
        <v>45844</v>
      </c>
      <c r="B2404" s="82" t="n">
        <v>0.7354166666666667</v>
      </c>
      <c r="C2404" s="5" t="inlineStr">
        <is>
          <t>Costco</t>
        </is>
      </c>
      <c r="E2404" s="5" t="n">
        <v>1</v>
      </c>
      <c r="F2404" s="6" t="inlineStr">
        <is>
          <t>439 206 257 706</t>
        </is>
      </c>
      <c r="G2404" s="10" t="inlineStr">
        <is>
          <t>E 1526177</t>
        </is>
      </c>
      <c r="H2404" s="9" t="inlineStr">
        <is>
          <t>Bhakti Chai Concentrate</t>
        </is>
      </c>
      <c r="I2404" s="36" t="n"/>
      <c r="J2404" s="36" t="n"/>
      <c r="K2404" s="9" t="n">
        <v>5.99</v>
      </c>
    </row>
    <row r="2405" ht="15" customFormat="1" customHeight="1" s="5">
      <c r="A2405" s="81" t="n">
        <v>45844</v>
      </c>
      <c r="B2405" s="82" t="n">
        <v>0.7354166666666667</v>
      </c>
      <c r="C2405" s="5" t="inlineStr">
        <is>
          <t>Costco</t>
        </is>
      </c>
      <c r="E2405" s="5" t="n">
        <v>1</v>
      </c>
      <c r="F2405" s="6" t="inlineStr">
        <is>
          <t>439 206 257 706</t>
        </is>
      </c>
      <c r="G2405" s="10" t="inlineStr">
        <is>
          <t>E 1336068</t>
        </is>
      </c>
      <c r="H2405" s="9" t="inlineStr">
        <is>
          <t>Organic Avocado Cups, 16 x 2 oz cups</t>
        </is>
      </c>
      <c r="I2405" s="36" t="n"/>
      <c r="J2405" s="36" t="n"/>
      <c r="K2405" s="9" t="n">
        <v>13.99</v>
      </c>
    </row>
    <row r="2406" ht="15" customFormat="1" customHeight="1" s="5">
      <c r="A2406" s="81" t="n">
        <v>45844</v>
      </c>
      <c r="B2406" s="82" t="n">
        <v>0.7354166666666667</v>
      </c>
      <c r="C2406" s="5" t="inlineStr">
        <is>
          <t>Costco</t>
        </is>
      </c>
      <c r="E2406" s="5" t="n">
        <v>1</v>
      </c>
      <c r="F2406" s="6" t="inlineStr">
        <is>
          <t>439 206 257 706</t>
        </is>
      </c>
      <c r="G2406" s="10" t="inlineStr">
        <is>
          <t>E 1251702</t>
        </is>
      </c>
      <c r="H2406" s="9" t="inlineStr">
        <is>
          <t>Shrimp Tempura frozen 30 count</t>
        </is>
      </c>
      <c r="I2406" s="36" t="n"/>
      <c r="J2406" s="36" t="n"/>
      <c r="K2406" s="9" t="n">
        <v>18.49</v>
      </c>
    </row>
    <row r="2407" ht="15" customFormat="1" customHeight="1" s="5">
      <c r="A2407" s="81" t="n">
        <v>45844</v>
      </c>
      <c r="B2407" s="82" t="n">
        <v>0.7354166666666667</v>
      </c>
      <c r="C2407" s="5" t="inlineStr">
        <is>
          <t>Costco</t>
        </is>
      </c>
      <c r="E2407" s="5" t="n">
        <v>1</v>
      </c>
      <c r="F2407" s="6" t="inlineStr">
        <is>
          <t>439 206 257 706</t>
        </is>
      </c>
      <c r="G2407" s="10" t="inlineStr">
        <is>
          <t>E 1076903</t>
        </is>
      </c>
      <c r="H2407" s="9" t="inlineStr">
        <is>
          <t>Pistachios peeled</t>
        </is>
      </c>
      <c r="I2407" s="36" t="n"/>
      <c r="J2407" s="36" t="n"/>
      <c r="K2407" s="9" t="n">
        <v>15.99</v>
      </c>
    </row>
    <row r="2408" ht="15" customFormat="1" customHeight="1" s="5">
      <c r="A2408" s="81" t="n">
        <v>45844</v>
      </c>
      <c r="B2408" s="82" t="n">
        <v>0.7354166666666667</v>
      </c>
      <c r="C2408" s="5" t="inlineStr">
        <is>
          <t>Costco</t>
        </is>
      </c>
      <c r="E2408" s="5" t="n">
        <v>1</v>
      </c>
      <c r="F2408" s="6" t="inlineStr">
        <is>
          <t>439 206 257 706</t>
        </is>
      </c>
      <c r="G2408" s="10" t="inlineStr">
        <is>
          <t>E 21020</t>
        </is>
      </c>
      <c r="H2408" s="9" t="inlineStr">
        <is>
          <t>Vine Tomato</t>
        </is>
      </c>
      <c r="I2408" s="36" t="n"/>
      <c r="J2408" s="36" t="n"/>
      <c r="K2408" s="9" t="n">
        <v>6.39</v>
      </c>
    </row>
    <row r="2409" ht="15" customFormat="1" customHeight="1" s="5">
      <c r="A2409" s="81" t="n">
        <v>45844</v>
      </c>
      <c r="B2409" s="82" t="n">
        <v>0.7354166666666667</v>
      </c>
      <c r="C2409" s="5" t="inlineStr">
        <is>
          <t>Costco</t>
        </is>
      </c>
      <c r="E2409" s="5" t="n">
        <v>1</v>
      </c>
      <c r="F2409" s="6" t="inlineStr">
        <is>
          <t>439 206 257 706</t>
        </is>
      </c>
      <c r="G2409" s="10" t="inlineStr">
        <is>
          <t>E 96716</t>
        </is>
      </c>
      <c r="H2409" s="9" t="inlineStr">
        <is>
          <t>Organic Spinach Box</t>
        </is>
      </c>
      <c r="I2409" s="36" t="n"/>
      <c r="J2409" s="36" t="n"/>
      <c r="K2409" s="9" t="n">
        <v>3.89</v>
      </c>
    </row>
    <row r="2410" ht="15" customFormat="1" customHeight="1" s="5">
      <c r="A2410" s="81" t="n">
        <v>45844</v>
      </c>
      <c r="B2410" s="82" t="n">
        <v>0.7354166666666667</v>
      </c>
      <c r="C2410" s="5" t="inlineStr">
        <is>
          <t>Costco</t>
        </is>
      </c>
      <c r="E2410" s="5" t="n">
        <v>1</v>
      </c>
      <c r="F2410" s="6" t="inlineStr">
        <is>
          <t>439 206 257 706</t>
        </is>
      </c>
      <c r="G2410" s="10" t="inlineStr">
        <is>
          <t>E 3741</t>
        </is>
      </c>
      <c r="H2410" s="9" t="inlineStr">
        <is>
          <t>Envy Apples</t>
        </is>
      </c>
      <c r="I2410" s="9" t="n">
        <v>4</v>
      </c>
      <c r="J2410" s="9" t="inlineStr">
        <is>
          <t>lb</t>
        </is>
      </c>
      <c r="K2410" s="9" t="n">
        <v>5.59</v>
      </c>
    </row>
    <row r="2411" ht="15" customFormat="1" customHeight="1" s="5">
      <c r="A2411" s="81" t="n">
        <v>45844</v>
      </c>
      <c r="B2411" s="82" t="n">
        <v>0.7354166666666667</v>
      </c>
      <c r="C2411" s="5" t="inlineStr">
        <is>
          <t>Costco</t>
        </is>
      </c>
      <c r="E2411" s="5" t="n">
        <v>1</v>
      </c>
      <c r="F2411" s="6" t="inlineStr">
        <is>
          <t>439 206 257 706</t>
        </is>
      </c>
      <c r="G2411" s="10" t="inlineStr">
        <is>
          <t>E 34932</t>
        </is>
      </c>
      <c r="H2411" s="9" t="inlineStr">
        <is>
          <t>Fresh Chicken Paws @$1.99/lb</t>
        </is>
      </c>
      <c r="I2411" s="36" t="n"/>
      <c r="J2411" s="36" t="n"/>
      <c r="K2411" s="9" t="n">
        <v>10.41</v>
      </c>
    </row>
    <row r="2412" ht="15" customFormat="1" customHeight="1" s="5">
      <c r="A2412" s="81" t="n">
        <v>45844</v>
      </c>
      <c r="B2412" s="82" t="n">
        <v>0.7354166666666667</v>
      </c>
      <c r="C2412" s="5" t="inlineStr">
        <is>
          <t>Costco</t>
        </is>
      </c>
      <c r="E2412" s="5" t="n">
        <v>1</v>
      </c>
      <c r="F2412" s="6" t="inlineStr">
        <is>
          <t>439 206 257 706</t>
        </is>
      </c>
      <c r="G2412" s="10" t="inlineStr">
        <is>
          <t>E 57554</t>
        </is>
      </c>
      <c r="H2412" s="9" t="inlineStr">
        <is>
          <t>Blueberries</t>
        </is>
      </c>
      <c r="I2412" s="36" t="n"/>
      <c r="J2412" s="36" t="n"/>
      <c r="K2412" s="9" t="n">
        <v>4.49</v>
      </c>
    </row>
    <row r="2413" ht="15" customFormat="1" customHeight="1" s="5">
      <c r="A2413" s="81" t="n">
        <v>45844</v>
      </c>
      <c r="B2413" s="82" t="n">
        <v>0.7354166666666667</v>
      </c>
      <c r="C2413" s="5" t="inlineStr">
        <is>
          <t>Costco</t>
        </is>
      </c>
      <c r="E2413" s="5" t="n">
        <v>1</v>
      </c>
      <c r="F2413" s="6" t="inlineStr">
        <is>
          <t>439 206 257 706</t>
        </is>
      </c>
      <c r="G2413" s="10" t="inlineStr">
        <is>
          <t>E 27003</t>
        </is>
      </c>
      <c r="H2413" s="9" t="inlineStr">
        <is>
          <t>Strawberries</t>
        </is>
      </c>
      <c r="I2413" s="36" t="n"/>
      <c r="J2413" s="36" t="n"/>
      <c r="K2413" s="9" t="n">
        <v>4.59</v>
      </c>
    </row>
    <row r="2414" ht="15" customFormat="1" customHeight="1" s="5">
      <c r="A2414" s="81" t="n">
        <v>45844</v>
      </c>
      <c r="B2414" s="82" t="n">
        <v>0.7354166666666667</v>
      </c>
      <c r="C2414" s="5" t="inlineStr">
        <is>
          <t>Costco</t>
        </is>
      </c>
      <c r="E2414" s="5" t="n">
        <v>1</v>
      </c>
      <c r="F2414" s="6" t="inlineStr">
        <is>
          <t>439 206 257 706</t>
        </is>
      </c>
      <c r="G2414" s="10" t="inlineStr">
        <is>
          <t>E 1243287</t>
        </is>
      </c>
      <c r="H2414" s="9" t="inlineStr">
        <is>
          <t>KS Kombucha</t>
        </is>
      </c>
      <c r="I2414" s="36" t="n"/>
      <c r="J2414" s="36" t="n"/>
      <c r="K2414" s="9" t="inlineStr">
        <is>
          <t>13.39 EF</t>
        </is>
      </c>
    </row>
    <row r="2415" ht="15" customFormat="1" customHeight="1" s="5">
      <c r="A2415" s="81" t="n">
        <v>45844</v>
      </c>
      <c r="B2415" s="82" t="n">
        <v>0.7354166666666667</v>
      </c>
      <c r="C2415" s="5" t="inlineStr">
        <is>
          <t>Costco</t>
        </is>
      </c>
      <c r="E2415" s="5" t="n">
        <v>1</v>
      </c>
      <c r="F2415" s="6" t="inlineStr">
        <is>
          <t>439 206 257 706</t>
        </is>
      </c>
      <c r="G2415" s="10" t="inlineStr">
        <is>
          <t>E 1823420</t>
        </is>
      </c>
      <c r="H2415" s="9" t="inlineStr">
        <is>
          <t>Rustic Italian Loaf of Bread</t>
        </is>
      </c>
      <c r="I2415" s="36" t="n"/>
      <c r="J2415" s="36" t="n"/>
      <c r="K2415" s="9" t="n">
        <v>5.99</v>
      </c>
    </row>
    <row r="2416" ht="15" customFormat="1" customHeight="1" s="5">
      <c r="A2416" s="81" t="n">
        <v>45844</v>
      </c>
      <c r="B2416" s="82" t="n">
        <v>0.7354166666666667</v>
      </c>
      <c r="C2416" s="5" t="inlineStr">
        <is>
          <t>Costco</t>
        </is>
      </c>
      <c r="E2416" s="5" t="n">
        <v>1</v>
      </c>
      <c r="F2416" s="6" t="inlineStr">
        <is>
          <t>439 206 257 706</t>
        </is>
      </c>
      <c r="G2416" s="10" t="inlineStr">
        <is>
          <t>E 1244454</t>
        </is>
      </c>
      <c r="H2416" s="9" t="inlineStr">
        <is>
          <t>Taster's Regular Instant Coffee</t>
        </is>
      </c>
      <c r="I2416" s="36" t="n"/>
      <c r="J2416" s="36" t="n"/>
      <c r="K2416" s="9" t="n">
        <v>16.49</v>
      </c>
    </row>
    <row r="2417" ht="15" customFormat="1" customHeight="1" s="5">
      <c r="A2417" s="81" t="n">
        <v>45844</v>
      </c>
      <c r="B2417" s="82" t="n">
        <v>0.7354166666666667</v>
      </c>
      <c r="C2417" s="5" t="inlineStr">
        <is>
          <t>Costco</t>
        </is>
      </c>
      <c r="E2417" s="5" t="n">
        <v>1</v>
      </c>
      <c r="F2417" s="6" t="inlineStr">
        <is>
          <t>439 206 257 706</t>
        </is>
      </c>
      <c r="G2417" s="10" t="inlineStr">
        <is>
          <t>E 0000355272</t>
        </is>
      </c>
      <c r="H2417" s="9" t="inlineStr">
        <is>
          <t>**DISCOUNT** /1244454 Taster's Choice Coffee</t>
        </is>
      </c>
      <c r="I2417" s="36" t="n"/>
      <c r="J2417" s="36" t="n"/>
      <c r="K2417" s="9" t="inlineStr">
        <is>
          <t>5.00-</t>
        </is>
      </c>
    </row>
    <row r="2418" ht="15" customFormat="1" customHeight="1" s="5">
      <c r="A2418" s="81" t="n">
        <v>45844</v>
      </c>
      <c r="B2418" s="82" t="n">
        <v>0.7354166666666667</v>
      </c>
      <c r="C2418" s="5" t="inlineStr">
        <is>
          <t>Costco</t>
        </is>
      </c>
      <c r="E2418" s="5" t="n">
        <v>1</v>
      </c>
      <c r="F2418" s="6" t="inlineStr">
        <is>
          <t>439 206 257 706</t>
        </is>
      </c>
      <c r="G2418" s="10" t="inlineStr">
        <is>
          <t>E 782796</t>
        </is>
      </c>
      <c r="H2418" s="9" t="inlineStr">
        <is>
          <t>KSTR40PK</t>
        </is>
      </c>
      <c r="I2418" s="36" t="n"/>
      <c r="J2418" s="36" t="n"/>
      <c r="K2418" s="9" t="n">
        <v>3.99</v>
      </c>
    </row>
    <row r="2419" ht="15" customFormat="1" customHeight="1" s="5">
      <c r="A2419" s="81" t="n">
        <v>45844</v>
      </c>
      <c r="B2419" s="82" t="n">
        <v>0.7354166666666667</v>
      </c>
      <c r="C2419" s="5" t="inlineStr">
        <is>
          <t>Costco</t>
        </is>
      </c>
      <c r="E2419" s="5" t="n">
        <v>1</v>
      </c>
      <c r="F2419" s="6" t="inlineStr">
        <is>
          <t>439 206 257 706</t>
        </is>
      </c>
      <c r="G2419" s="10" t="inlineStr">
        <is>
          <t>E 18600</t>
        </is>
      </c>
      <c r="H2419" s="9" t="inlineStr">
        <is>
          <t>Mandarin Oranges</t>
        </is>
      </c>
      <c r="I2419" s="36" t="n"/>
      <c r="J2419" s="36" t="n"/>
      <c r="K2419" s="9" t="n">
        <v>6.39</v>
      </c>
    </row>
    <row r="2420" ht="15" customFormat="1" customHeight="1" s="5">
      <c r="A2420" s="81" t="n">
        <v>45844</v>
      </c>
      <c r="B2420" s="82" t="n">
        <v>0.7354166666666667</v>
      </c>
      <c r="C2420" s="5" t="inlineStr">
        <is>
          <t>Costco</t>
        </is>
      </c>
      <c r="E2420" s="5" t="n">
        <v>1</v>
      </c>
      <c r="F2420" s="6" t="inlineStr">
        <is>
          <t>439 206 257 706</t>
        </is>
      </c>
      <c r="G2420" s="10" t="n"/>
      <c r="H2420" s="9" t="inlineStr">
        <is>
          <t>E 3.75% Tax</t>
        </is>
      </c>
      <c r="I2420" s="9" t="n">
        <v>1</v>
      </c>
      <c r="J2420" s="9" t="inlineStr">
        <is>
          <t>cnt</t>
        </is>
      </c>
      <c r="K2420" s="9" t="n">
        <v>0.5</v>
      </c>
    </row>
    <row r="2421" ht="15" customFormat="1" customHeight="1" s="5">
      <c r="A2421" s="81" t="n">
        <v>45844</v>
      </c>
      <c r="B2421" s="82" t="n">
        <v>0.7354166666666667</v>
      </c>
      <c r="C2421" s="5" t="inlineStr">
        <is>
          <t>Costco</t>
        </is>
      </c>
      <c r="E2421" s="5" t="n">
        <v>1</v>
      </c>
      <c r="F2421" s="6" t="inlineStr">
        <is>
          <t>439 206 257 706</t>
        </is>
      </c>
      <c r="G2421" s="10" t="n"/>
      <c r="H2421" s="9" t="inlineStr">
        <is>
          <t>F 4.00% Tax</t>
        </is>
      </c>
      <c r="I2421" s="9" t="n">
        <v>1</v>
      </c>
      <c r="J2421" s="9" t="inlineStr">
        <is>
          <t>cnt</t>
        </is>
      </c>
      <c r="K2421" s="9" t="n">
        <v>0.54</v>
      </c>
    </row>
    <row r="2422" ht="15" customFormat="1" customHeight="1" s="5">
      <c r="A2422" s="81" t="n">
        <v>45844</v>
      </c>
      <c r="B2422" s="82" t="n">
        <v>0.7354166666666667</v>
      </c>
      <c r="C2422" s="5" t="inlineStr">
        <is>
          <t>Costco</t>
        </is>
      </c>
      <c r="E2422" s="5" t="n">
        <v>1</v>
      </c>
      <c r="F2422" s="6" t="inlineStr">
        <is>
          <t>439 206 257 706</t>
        </is>
      </c>
      <c r="G2422" s="10" t="n"/>
      <c r="H2422" s="9" t="inlineStr">
        <is>
          <t>Joseph Wu Treat!</t>
        </is>
      </c>
      <c r="I2422" s="9" t="n">
        <v>19</v>
      </c>
      <c r="J2422" s="9" t="inlineStr">
        <is>
          <t>cnt</t>
        </is>
      </c>
      <c r="K2422" s="9" t="n">
        <v>-207.74</v>
      </c>
    </row>
    <row r="2423" ht="15" customFormat="1" customHeight="1" s="5">
      <c r="A2423" s="81" t="n">
        <v>45844</v>
      </c>
      <c r="B2423" s="82" t="n">
        <v>0.6951388888888889</v>
      </c>
      <c r="C2423" s="5" t="inlineStr">
        <is>
          <t>Amazon</t>
        </is>
      </c>
      <c r="D2423" s="5" t="n">
        <v>1</v>
      </c>
      <c r="F2423" s="6" t="inlineStr">
        <is>
          <t>2570197157897108</t>
        </is>
      </c>
      <c r="G2423" s="10" t="n"/>
      <c r="H2423" s="9" t="inlineStr">
        <is>
          <t>Katiana Bruce Amazon referral credit for visa account</t>
        </is>
      </c>
      <c r="I2423" s="9" t="n">
        <v>1</v>
      </c>
      <c r="J2423" s="9" t="inlineStr">
        <is>
          <t>cnt</t>
        </is>
      </c>
      <c r="K2423" s="9" t="n">
        <v>-50</v>
      </c>
    </row>
    <row r="2424" ht="15" customFormat="1" customHeight="1" s="5">
      <c r="A2424" s="81" t="n">
        <v>45844</v>
      </c>
      <c r="B2424" s="82" t="n">
        <v>0.6763888888888889</v>
      </c>
      <c r="C2424" s="5" t="inlineStr">
        <is>
          <t>Color 'N Drive UG</t>
        </is>
      </c>
      <c r="D2424" s="5" t="n">
        <v>1</v>
      </c>
      <c r="F2424" s="6" t="inlineStr">
        <is>
          <t>0WP31877S3914633P</t>
        </is>
      </c>
      <c r="G2424" s="15" t="inlineStr">
        <is>
          <t>CND-SUBARU-MAX-152497</t>
        </is>
      </c>
      <c r="H2424" s="18" t="inlineStr">
        <is>
          <t>SUBARU SUNSHINE ORANGE PAK TOUCH UP PAINT</t>
        </is>
      </c>
      <c r="I2424" s="9" t="n">
        <v>1</v>
      </c>
      <c r="J2424" s="9" t="inlineStr">
        <is>
          <t>cnt</t>
        </is>
      </c>
      <c r="K2424" s="9" t="n">
        <v>39.99</v>
      </c>
    </row>
    <row r="2425" ht="15" customFormat="1" customHeight="1" s="5">
      <c r="A2425" s="81" t="n">
        <v>45844</v>
      </c>
      <c r="B2425" s="82" t="n">
        <v>0.6528240740740741</v>
      </c>
      <c r="C2425" s="5" t="inlineStr">
        <is>
          <t>Walmart</t>
        </is>
      </c>
      <c r="E2425" s="5" t="n">
        <v>1</v>
      </c>
      <c r="F2425" s="6" t="inlineStr">
        <is>
          <t>8485-5329-3196-8066-1958</t>
        </is>
      </c>
      <c r="G2425" s="10" t="n"/>
      <c r="H2425" s="9" t="inlineStr">
        <is>
          <t>Fresh Seedless Watermelon, Each</t>
        </is>
      </c>
      <c r="I2425" s="9" t="n">
        <v>1</v>
      </c>
      <c r="J2425" s="9" t="inlineStr">
        <is>
          <t>cnt</t>
        </is>
      </c>
      <c r="K2425" s="9" t="n">
        <v>3.98</v>
      </c>
    </row>
    <row r="2426" ht="15" customFormat="1" customHeight="1" s="5">
      <c r="A2426" s="81" t="n">
        <v>45844</v>
      </c>
      <c r="B2426" s="82" t="n">
        <v>0.6528240740740741</v>
      </c>
      <c r="C2426" s="5" t="inlineStr">
        <is>
          <t>Walmart</t>
        </is>
      </c>
      <c r="E2426" s="5" t="n">
        <v>1</v>
      </c>
      <c r="F2426" s="6" t="inlineStr">
        <is>
          <t>8485-5329-3196-8066-1958</t>
        </is>
      </c>
      <c r="G2426" s="10" t="n"/>
      <c r="H2426" s="9" t="inlineStr">
        <is>
          <t>King Arthur, Unbleached Bread Flour, Non-GMO Project Verified, Certified Kosher, No Preservatives, 5 lbs</t>
        </is>
      </c>
      <c r="I2426" s="9" t="n">
        <v>5</v>
      </c>
      <c r="J2426" s="9" t="inlineStr">
        <is>
          <t>lb</t>
        </is>
      </c>
      <c r="K2426" s="9" t="n">
        <v>5.58</v>
      </c>
    </row>
    <row r="2427" ht="15" customFormat="1" customHeight="1" s="5">
      <c r="A2427" s="81" t="n">
        <v>45844</v>
      </c>
      <c r="B2427" s="82" t="n">
        <v>0.6528240740740741</v>
      </c>
      <c r="C2427" s="5" t="inlineStr">
        <is>
          <t>Walmart</t>
        </is>
      </c>
      <c r="E2427" s="5" t="n">
        <v>1</v>
      </c>
      <c r="F2427" s="6" t="inlineStr">
        <is>
          <t>8485-5329-3196-8066-1958</t>
        </is>
      </c>
      <c r="G2427" s="10" t="n"/>
      <c r="H2427" s="9" t="inlineStr">
        <is>
          <t>Sweet Potatoes Whole Fresh, Each (Batata Mameya) Wt 2.77 lb -- 4 count</t>
        </is>
      </c>
      <c r="I2427" s="9" t="n">
        <v>2.77</v>
      </c>
      <c r="J2427" s="9" t="inlineStr">
        <is>
          <t>lb</t>
        </is>
      </c>
      <c r="K2427" s="9" t="n">
        <v>5.21</v>
      </c>
    </row>
    <row r="2428" ht="15" customFormat="1" customHeight="1" s="5">
      <c r="A2428" s="81" t="n">
        <v>45844</v>
      </c>
      <c r="B2428" s="82" t="n">
        <v>0.6528240740740741</v>
      </c>
      <c r="C2428" s="5" t="inlineStr">
        <is>
          <t>Walmart</t>
        </is>
      </c>
      <c r="E2428" s="5" t="n">
        <v>1</v>
      </c>
      <c r="F2428" s="6" t="inlineStr">
        <is>
          <t>8485-5329-3196-8066-1958</t>
        </is>
      </c>
      <c r="G2428" s="10" t="n"/>
      <c r="H2428" s="9" t="inlineStr">
        <is>
          <t>TERRO Liquid Ant Baits - 6PK</t>
        </is>
      </c>
      <c r="I2428" s="9" t="n">
        <v>6</v>
      </c>
      <c r="J2428" s="9" t="inlineStr">
        <is>
          <t>cnt</t>
        </is>
      </c>
      <c r="K2428" s="9" t="n">
        <v>5.48</v>
      </c>
    </row>
    <row r="2429" ht="15" customFormat="1" customHeight="1" s="5">
      <c r="A2429" s="81" t="n">
        <v>45844</v>
      </c>
      <c r="B2429" s="82" t="n">
        <v>0.6528240740740741</v>
      </c>
      <c r="C2429" s="5" t="inlineStr">
        <is>
          <t>Walmart</t>
        </is>
      </c>
      <c r="E2429" s="5" t="n">
        <v>1</v>
      </c>
      <c r="F2429" s="6" t="inlineStr">
        <is>
          <t>8485-5329-3196-8066-1958</t>
        </is>
      </c>
      <c r="G2429" s="10" t="n"/>
      <c r="H2429" s="9" t="inlineStr">
        <is>
          <t>Beach Cliff Sardines in Water, Gluten Free Food, High Protein Snacks, 3.75oz can</t>
        </is>
      </c>
      <c r="I2429" s="9" t="n">
        <v>3.75</v>
      </c>
      <c r="J2429" s="9" t="inlineStr">
        <is>
          <t>oz</t>
        </is>
      </c>
      <c r="K2429" s="9" t="n">
        <v>1.14</v>
      </c>
    </row>
    <row r="2430" ht="15" customFormat="1" customHeight="1" s="5">
      <c r="A2430" s="81" t="n">
        <v>45844</v>
      </c>
      <c r="B2430" s="82" t="n">
        <v>0.6528240740740741</v>
      </c>
      <c r="C2430" s="5" t="inlineStr">
        <is>
          <t>Walmart</t>
        </is>
      </c>
      <c r="E2430" s="5" t="n">
        <v>1</v>
      </c>
      <c r="F2430" s="6" t="inlineStr">
        <is>
          <t>8485-5329-3196-8066-1958</t>
        </is>
      </c>
      <c r="G2430" s="10" t="n"/>
      <c r="H2430" s="9" t="inlineStr">
        <is>
          <t>Fresh Calabacita Squash, Each Wt 0.82 lb</t>
        </is>
      </c>
      <c r="I2430" s="9" t="n">
        <v>0.82</v>
      </c>
      <c r="J2430" s="9" t="inlineStr">
        <is>
          <t>lb</t>
        </is>
      </c>
      <c r="K2430" s="9" t="n">
        <v>1.21</v>
      </c>
    </row>
    <row r="2431" ht="15" customFormat="1" customHeight="1" s="5">
      <c r="A2431" s="81" t="n">
        <v>45844</v>
      </c>
      <c r="B2431" s="82" t="n">
        <v>0.6528240740740741</v>
      </c>
      <c r="C2431" s="5" t="inlineStr">
        <is>
          <t>Walmart</t>
        </is>
      </c>
      <c r="E2431" s="5" t="n">
        <v>1</v>
      </c>
      <c r="F2431" s="6" t="inlineStr">
        <is>
          <t>8485-5329-3196-8066-1958</t>
        </is>
      </c>
      <c r="G2431" s="10" t="n"/>
      <c r="H2431" s="9" t="inlineStr">
        <is>
          <t>Cetaphil Daily Facial Cleanser for Sensitive, Combination to Oily Skin, 8 oz</t>
        </is>
      </c>
      <c r="I2431" s="9" t="n">
        <v>8</v>
      </c>
      <c r="J2431" s="9" t="inlineStr">
        <is>
          <t>oz</t>
        </is>
      </c>
      <c r="K2431" s="9" t="n">
        <v>8.779999999999999</v>
      </c>
    </row>
    <row r="2432" ht="15" customFormat="1" customHeight="1" s="5">
      <c r="A2432" s="81" t="n">
        <v>45844</v>
      </c>
      <c r="B2432" s="82" t="n">
        <v>0.6528240740740741</v>
      </c>
      <c r="C2432" s="5" t="inlineStr">
        <is>
          <t>Walmart</t>
        </is>
      </c>
      <c r="E2432" s="5" t="n">
        <v>1</v>
      </c>
      <c r="F2432" s="6" t="inlineStr">
        <is>
          <t>8485-5329-3196-8066-1958</t>
        </is>
      </c>
      <c r="G2432" s="10" t="n"/>
      <c r="H2432" s="9" t="inlineStr">
        <is>
          <t>Mike and Ike Original Fruits Candy, 4.25 Ounce Theater Box, 1 Count</t>
        </is>
      </c>
      <c r="I2432" s="9" t="n">
        <v>4.25</v>
      </c>
      <c r="J2432" s="9" t="inlineStr">
        <is>
          <t>oz</t>
        </is>
      </c>
      <c r="K2432" s="9" t="n">
        <v>1.24</v>
      </c>
    </row>
    <row r="2433" ht="15" customFormat="1" customHeight="1" s="5">
      <c r="A2433" s="81" t="n">
        <v>45844</v>
      </c>
      <c r="B2433" s="82" t="n">
        <v>0.6528240740740741</v>
      </c>
      <c r="C2433" s="5" t="inlineStr">
        <is>
          <t>Walmart</t>
        </is>
      </c>
      <c r="E2433" s="5" t="n">
        <v>1</v>
      </c>
      <c r="F2433" s="6" t="inlineStr">
        <is>
          <t>8485-5329-3196-8066-1958</t>
        </is>
      </c>
      <c r="G2433" s="10" t="n"/>
      <c r="H2433" s="9" t="inlineStr">
        <is>
          <t>Great Value Chick Peas Garbanzos, 1 lb</t>
        </is>
      </c>
      <c r="I2433" s="9" t="n">
        <v>1</v>
      </c>
      <c r="J2433" s="9" t="inlineStr">
        <is>
          <t>lb</t>
        </is>
      </c>
      <c r="K2433" s="9" t="n">
        <v>1.46</v>
      </c>
    </row>
    <row r="2434" ht="15" customFormat="1" customHeight="1" s="5">
      <c r="A2434" s="81" t="n">
        <v>45844</v>
      </c>
      <c r="B2434" s="82" t="n">
        <v>0.6528240740740741</v>
      </c>
      <c r="C2434" s="5" t="inlineStr">
        <is>
          <t>Walmart</t>
        </is>
      </c>
      <c r="E2434" s="5" t="n">
        <v>1</v>
      </c>
      <c r="F2434" s="6" t="inlineStr">
        <is>
          <t>8485-5329-3196-8066-1958</t>
        </is>
      </c>
      <c r="G2434" s="10" t="n"/>
      <c r="H2434" s="9" t="inlineStr">
        <is>
          <t>Great Value Lentils, 1 lb</t>
        </is>
      </c>
      <c r="I2434" s="9" t="n">
        <v>1</v>
      </c>
      <c r="J2434" s="9" t="inlineStr">
        <is>
          <t>lb</t>
        </is>
      </c>
      <c r="K2434" s="9" t="n">
        <v>1.92</v>
      </c>
    </row>
    <row r="2435" ht="15" customFormat="1" customHeight="1" s="5">
      <c r="A2435" s="81" t="n">
        <v>45844</v>
      </c>
      <c r="B2435" s="82" t="n">
        <v>0.6528240740740741</v>
      </c>
      <c r="C2435" s="5" t="inlineStr">
        <is>
          <t>Walmart</t>
        </is>
      </c>
      <c r="E2435" s="5" t="n">
        <v>1</v>
      </c>
      <c r="F2435" s="6" t="inlineStr">
        <is>
          <t>8485-5329-3196-8066-1958</t>
        </is>
      </c>
      <c r="G2435" s="10" t="n"/>
      <c r="H2435" s="9" t="inlineStr">
        <is>
          <t>Fresh Beets, Bunch</t>
        </is>
      </c>
      <c r="I2435" s="9" t="n">
        <v>1</v>
      </c>
      <c r="J2435" s="9" t="inlineStr">
        <is>
          <t>cnt</t>
        </is>
      </c>
      <c r="K2435" s="9" t="n">
        <v>2.57</v>
      </c>
    </row>
    <row r="2436" ht="15" customFormat="1" customHeight="1" s="5">
      <c r="A2436" s="81" t="n">
        <v>45844</v>
      </c>
      <c r="B2436" s="82" t="n">
        <v>0.6528240740740741</v>
      </c>
      <c r="C2436" s="5" t="inlineStr">
        <is>
          <t>Walmart</t>
        </is>
      </c>
      <c r="E2436" s="5" t="n">
        <v>1</v>
      </c>
      <c r="F2436" s="6" t="inlineStr">
        <is>
          <t>8485-5329-3196-8066-1958</t>
        </is>
      </c>
      <c r="G2436" s="10" t="n"/>
      <c r="H2436" s="9" t="inlineStr">
        <is>
          <t>Great Value Everything Bagel Seasoning, 2.6 oz</t>
        </is>
      </c>
      <c r="I2436" s="9" t="n">
        <v>2.6</v>
      </c>
      <c r="J2436" s="9" t="inlineStr">
        <is>
          <t>oz</t>
        </is>
      </c>
      <c r="K2436" s="9" t="n">
        <v>2.12</v>
      </c>
    </row>
    <row r="2437" ht="15" customFormat="1" customHeight="1" s="5">
      <c r="A2437" s="81" t="n">
        <v>45844</v>
      </c>
      <c r="B2437" s="82" t="n">
        <v>0.6528240740740741</v>
      </c>
      <c r="C2437" s="5" t="inlineStr">
        <is>
          <t>Walmart</t>
        </is>
      </c>
      <c r="E2437" s="5" t="n">
        <v>1</v>
      </c>
      <c r="F2437" s="6" t="inlineStr">
        <is>
          <t>8485-5329-3196-8066-1958</t>
        </is>
      </c>
      <c r="G2437" s="10" t="n"/>
      <c r="H2437" s="9" t="inlineStr">
        <is>
          <t>Tom’s of Maine Antiplaque and Whitening Fluoride Free Toothpaste, Peppermint, 2 Pack, 4.5 Oz</t>
        </is>
      </c>
      <c r="I2437" s="9" t="n">
        <v>9</v>
      </c>
      <c r="J2437" s="9" t="inlineStr">
        <is>
          <t>oz</t>
        </is>
      </c>
      <c r="K2437" s="9" t="n">
        <v>9.960000000000001</v>
      </c>
    </row>
    <row r="2438" ht="15" customFormat="1" customHeight="1" s="5">
      <c r="A2438" s="81" t="n">
        <v>45844</v>
      </c>
      <c r="B2438" s="82" t="n">
        <v>0.6528240740740741</v>
      </c>
      <c r="C2438" s="5" t="inlineStr">
        <is>
          <t>Walmart</t>
        </is>
      </c>
      <c r="E2438" s="5" t="n">
        <v>1</v>
      </c>
      <c r="F2438" s="6" t="inlineStr">
        <is>
          <t>8485-5329-3196-8066-1958</t>
        </is>
      </c>
      <c r="G2438" s="10" t="n"/>
      <c r="H2438" s="9" t="inlineStr">
        <is>
          <t>Tax</t>
        </is>
      </c>
      <c r="I2438" s="9" t="n">
        <v>13</v>
      </c>
      <c r="J2438" s="9" t="inlineStr">
        <is>
          <t>cnt</t>
        </is>
      </c>
      <c r="K2438" s="9" t="n">
        <v>2.04</v>
      </c>
    </row>
    <row r="2439" ht="15" customFormat="1" customHeight="1" s="5">
      <c r="A2439" s="81" t="n">
        <v>45844</v>
      </c>
      <c r="B2439" s="82" t="n">
        <v>0.6528240740740741</v>
      </c>
      <c r="C2439" s="5" t="inlineStr">
        <is>
          <t>Walmart</t>
        </is>
      </c>
      <c r="E2439" s="5" t="n">
        <v>1</v>
      </c>
      <c r="F2439" s="6" t="inlineStr">
        <is>
          <t>8485-5329-3196-8066-1958</t>
        </is>
      </c>
      <c r="G2439" s="10" t="n"/>
      <c r="H2439" s="9" t="inlineStr">
        <is>
          <t>Joseph Wu Treat!</t>
        </is>
      </c>
      <c r="I2439" s="9" t="n">
        <v>13</v>
      </c>
      <c r="J2439" s="9" t="inlineStr">
        <is>
          <t>cnt</t>
        </is>
      </c>
      <c r="K2439" s="9" t="n">
        <v>-52.69</v>
      </c>
    </row>
    <row r="2440" ht="15" customFormat="1" customHeight="1" s="5">
      <c r="A2440" s="81" t="n">
        <v>45844</v>
      </c>
      <c r="B2440" s="82" t="n">
        <v>0.5143055555555556</v>
      </c>
      <c r="C2440" s="5" t="inlineStr">
        <is>
          <t>Star of India</t>
        </is>
      </c>
      <c r="E2440" s="5" t="n">
        <v>1</v>
      </c>
      <c r="F2440" s="6" t="inlineStr">
        <is>
          <t>006743 / 006742</t>
        </is>
      </c>
      <c r="G2440" s="10" t="n"/>
      <c r="H2440" s="9" t="inlineStr">
        <is>
          <t>5 x 17.99 lunch buffet</t>
        </is>
      </c>
      <c r="I2440" s="9" t="n">
        <v>5</v>
      </c>
      <c r="J2440" s="9" t="inlineStr">
        <is>
          <t>cnt</t>
        </is>
      </c>
      <c r="K2440" s="9">
        <f>17.99+71.96</f>
        <v/>
      </c>
    </row>
    <row r="2441" ht="15" customFormat="1" customHeight="1" s="5">
      <c r="A2441" s="81" t="n">
        <v>45844</v>
      </c>
      <c r="B2441" s="82" t="n">
        <v>0.5143055555555556</v>
      </c>
      <c r="C2441" s="5" t="inlineStr">
        <is>
          <t>Star of India</t>
        </is>
      </c>
      <c r="E2441" s="5" t="n">
        <v>1</v>
      </c>
      <c r="F2441" s="6" t="inlineStr">
        <is>
          <t>006743 / 006742</t>
        </is>
      </c>
      <c r="G2441" s="10" t="n"/>
      <c r="H2441" s="9" t="inlineStr">
        <is>
          <t>Inflation fee 3.25%</t>
        </is>
      </c>
      <c r="I2441" s="9" t="n">
        <v>1</v>
      </c>
      <c r="J2441" s="9" t="inlineStr">
        <is>
          <t>cnt</t>
        </is>
      </c>
      <c r="K2441" s="9">
        <f>0.58+2.34</f>
        <v/>
      </c>
    </row>
    <row r="2442" ht="15" customFormat="1" customHeight="1" s="5">
      <c r="A2442" s="81" t="n">
        <v>45844</v>
      </c>
      <c r="B2442" s="82" t="n">
        <v>0.5143055555555556</v>
      </c>
      <c r="C2442" s="5" t="inlineStr">
        <is>
          <t>Star of India</t>
        </is>
      </c>
      <c r="E2442" s="5" t="n">
        <v>1</v>
      </c>
      <c r="F2442" s="6" t="inlineStr">
        <is>
          <t>006743 / 006742</t>
        </is>
      </c>
      <c r="G2442" s="10" t="n"/>
      <c r="H2442" s="9" t="inlineStr">
        <is>
          <t>Sales Tax 8.0%</t>
        </is>
      </c>
      <c r="I2442" s="9" t="n">
        <v>1</v>
      </c>
      <c r="J2442" s="9" t="inlineStr">
        <is>
          <t>cnt</t>
        </is>
      </c>
      <c r="K2442" s="9">
        <f>1.44+5.76</f>
        <v/>
      </c>
    </row>
    <row r="2443" ht="15" customFormat="1" customHeight="1" s="5">
      <c r="A2443" s="81" t="n">
        <v>45844</v>
      </c>
      <c r="B2443" s="82" t="n">
        <v>0.5143055555555556</v>
      </c>
      <c r="C2443" s="5" t="inlineStr">
        <is>
          <t>Star of India</t>
        </is>
      </c>
      <c r="E2443" s="5" t="n">
        <v>1</v>
      </c>
      <c r="F2443" s="6" t="inlineStr">
        <is>
          <t>006743 / 006742</t>
        </is>
      </c>
      <c r="G2443" s="10" t="n"/>
      <c r="H2443" s="9" t="inlineStr">
        <is>
          <t>Tip</t>
        </is>
      </c>
      <c r="I2443" s="9" t="n">
        <v>1</v>
      </c>
      <c r="J2443" s="9" t="inlineStr">
        <is>
          <t>cnt</t>
        </is>
      </c>
      <c r="K2443" s="9" t="n">
        <v>15</v>
      </c>
    </row>
    <row r="2444" ht="15" customFormat="1" customHeight="1" s="5">
      <c r="A2444" s="81" t="n">
        <v>45844</v>
      </c>
      <c r="B2444" s="82" t="n">
        <v>0.5143055555555556</v>
      </c>
      <c r="C2444" s="5" t="inlineStr">
        <is>
          <t>Star of India</t>
        </is>
      </c>
      <c r="E2444" s="5" t="n">
        <v>1</v>
      </c>
      <c r="F2444" s="6" t="inlineStr">
        <is>
          <t>006743 / 006742</t>
        </is>
      </c>
      <c r="G2444" s="10" t="n"/>
      <c r="H2444" s="9" t="inlineStr">
        <is>
          <t>Joseph Wu Treat!</t>
        </is>
      </c>
      <c r="I2444" s="9" t="n">
        <v>5</v>
      </c>
      <c r="J2444" s="9" t="inlineStr">
        <is>
          <t>cnt</t>
        </is>
      </c>
      <c r="K2444" s="9" t="n">
        <v>-115.07</v>
      </c>
    </row>
    <row r="2445" ht="15" customFormat="1" customHeight="1" s="5">
      <c r="A2445" s="81" t="n">
        <v>45843</v>
      </c>
      <c r="B2445" s="82" t="n">
        <v>0.6728819444444445</v>
      </c>
      <c r="C2445" s="5" t="inlineStr">
        <is>
          <t>Daiso</t>
        </is>
      </c>
      <c r="E2445" s="5" t="n">
        <v>1</v>
      </c>
      <c r="F2445" s="6" t="inlineStr">
        <is>
          <t>06366 001 012686</t>
        </is>
      </c>
      <c r="G2445" s="10" t="n"/>
      <c r="H2445" s="9" t="inlineStr">
        <is>
          <t>Madeleine Cup Aluminum</t>
        </is>
      </c>
      <c r="I2445" s="9" t="n">
        <v>1</v>
      </c>
      <c r="J2445" s="9" t="inlineStr">
        <is>
          <t>cnt</t>
        </is>
      </c>
      <c r="K2445" s="9" t="n">
        <v>2.25</v>
      </c>
    </row>
    <row r="2446" ht="15" customFormat="1" customHeight="1" s="5">
      <c r="A2446" s="81" t="n">
        <v>45843</v>
      </c>
      <c r="B2446" s="82" t="n">
        <v>0.6728819444444445</v>
      </c>
      <c r="C2446" s="5" t="inlineStr">
        <is>
          <t>Daiso</t>
        </is>
      </c>
      <c r="E2446" s="5" t="n">
        <v>1</v>
      </c>
      <c r="F2446" s="6" t="inlineStr">
        <is>
          <t>06366 001 012686</t>
        </is>
      </c>
      <c r="G2446" s="10" t="n"/>
      <c r="H2446" s="9" t="inlineStr">
        <is>
          <t>Baking Cup 3.93 inch</t>
        </is>
      </c>
      <c r="I2446" s="9" t="n">
        <v>1</v>
      </c>
      <c r="J2446" s="9" t="inlineStr">
        <is>
          <t>cnt</t>
        </is>
      </c>
      <c r="K2446" s="9" t="n">
        <v>2.25</v>
      </c>
    </row>
    <row r="2447" ht="15" customFormat="1" customHeight="1" s="5">
      <c r="A2447" s="81" t="n">
        <v>45843</v>
      </c>
      <c r="B2447" s="82" t="n">
        <v>0.6728819444444445</v>
      </c>
      <c r="C2447" s="5" t="inlineStr">
        <is>
          <t>Daiso</t>
        </is>
      </c>
      <c r="E2447" s="5" t="n">
        <v>1</v>
      </c>
      <c r="F2447" s="6" t="inlineStr">
        <is>
          <t>06366 001 012686</t>
        </is>
      </c>
      <c r="G2447" s="10" t="n"/>
      <c r="H2447" s="9" t="inlineStr">
        <is>
          <t>Colorado Beans Clip B</t>
        </is>
      </c>
      <c r="I2447" s="9" t="n">
        <v>1</v>
      </c>
      <c r="J2447" s="9" t="inlineStr">
        <is>
          <t>cnt</t>
        </is>
      </c>
      <c r="K2447" s="9" t="n">
        <v>2.25</v>
      </c>
    </row>
    <row r="2448" ht="15" customFormat="1" customHeight="1" s="5">
      <c r="A2448" s="81" t="n">
        <v>45843</v>
      </c>
      <c r="B2448" s="82" t="n">
        <v>0.6728819444444445</v>
      </c>
      <c r="C2448" s="5" t="inlineStr">
        <is>
          <t>Daiso</t>
        </is>
      </c>
      <c r="E2448" s="5" t="n">
        <v>1</v>
      </c>
      <c r="F2448" s="6" t="inlineStr">
        <is>
          <t>06366 001 012686</t>
        </is>
      </c>
      <c r="G2448" s="10" t="n"/>
      <c r="H2448" s="9" t="inlineStr">
        <is>
          <t>Tracing Die Cut Stick</t>
        </is>
      </c>
      <c r="I2448" s="9" t="n">
        <v>1</v>
      </c>
      <c r="J2448" s="9" t="inlineStr">
        <is>
          <t>cnt</t>
        </is>
      </c>
      <c r="K2448" s="9" t="n">
        <v>2.25</v>
      </c>
    </row>
    <row r="2449" ht="15" customFormat="1" customHeight="1" s="5">
      <c r="A2449" s="81" t="n">
        <v>45843</v>
      </c>
      <c r="B2449" s="82" t="n">
        <v>0.6728819444444445</v>
      </c>
      <c r="C2449" s="5" t="inlineStr">
        <is>
          <t>Daiso</t>
        </is>
      </c>
      <c r="E2449" s="5" t="n">
        <v>1</v>
      </c>
      <c r="F2449" s="6" t="inlineStr">
        <is>
          <t>06366 001 012686</t>
        </is>
      </c>
      <c r="G2449" s="10" t="n"/>
      <c r="H2449" s="9" t="inlineStr">
        <is>
          <t>Sealing Sticker -3cm</t>
        </is>
      </c>
      <c r="I2449" s="9" t="n">
        <v>1</v>
      </c>
      <c r="J2449" s="9" t="inlineStr">
        <is>
          <t>cnt</t>
        </is>
      </c>
      <c r="K2449" s="9" t="n">
        <v>2.25</v>
      </c>
    </row>
    <row r="2450" ht="15" customFormat="1" customHeight="1" s="5">
      <c r="A2450" s="81" t="n">
        <v>45843</v>
      </c>
      <c r="B2450" s="82" t="n">
        <v>0.6728819444444445</v>
      </c>
      <c r="C2450" s="5" t="inlineStr">
        <is>
          <t>Daiso</t>
        </is>
      </c>
      <c r="E2450" s="5" t="n">
        <v>1</v>
      </c>
      <c r="F2450" s="6" t="inlineStr">
        <is>
          <t>06366 001 012686</t>
        </is>
      </c>
      <c r="G2450" s="10" t="n"/>
      <c r="H2450" s="9" t="inlineStr">
        <is>
          <t>Celebration envelopes</t>
        </is>
      </c>
      <c r="I2450" s="9" t="n">
        <v>1</v>
      </c>
      <c r="J2450" s="9" t="inlineStr">
        <is>
          <t>cnt</t>
        </is>
      </c>
      <c r="K2450" s="9" t="n">
        <v>2.25</v>
      </c>
    </row>
    <row r="2451" ht="15" customFormat="1" customHeight="1" s="5">
      <c r="A2451" s="81" t="n">
        <v>45843</v>
      </c>
      <c r="B2451" s="82" t="n">
        <v>0.6728819444444445</v>
      </c>
      <c r="C2451" s="5" t="inlineStr">
        <is>
          <t>Daiso</t>
        </is>
      </c>
      <c r="E2451" s="5" t="n">
        <v>1</v>
      </c>
      <c r="F2451" s="6" t="inlineStr">
        <is>
          <t>06366 001 012686</t>
        </is>
      </c>
      <c r="G2451" s="10" t="n"/>
      <c r="H2451" s="9" t="inlineStr">
        <is>
          <t>Soft grip haircut scissors</t>
        </is>
      </c>
      <c r="I2451" s="9" t="n">
        <v>1</v>
      </c>
      <c r="J2451" s="9" t="inlineStr">
        <is>
          <t>cnt</t>
        </is>
      </c>
      <c r="K2451" s="9" t="n">
        <v>2.25</v>
      </c>
    </row>
    <row r="2452" ht="15" customFormat="1" customHeight="1" s="5">
      <c r="A2452" s="81" t="n">
        <v>45843</v>
      </c>
      <c r="B2452" s="82" t="n">
        <v>0.6728819444444445</v>
      </c>
      <c r="C2452" s="5" t="inlineStr">
        <is>
          <t>Daiso</t>
        </is>
      </c>
      <c r="E2452" s="5" t="n">
        <v>1</v>
      </c>
      <c r="F2452" s="6" t="inlineStr">
        <is>
          <t>06366 001 012686</t>
        </is>
      </c>
      <c r="G2452" s="10" t="n"/>
      <c r="H2452" s="9" t="inlineStr">
        <is>
          <t>Paper handle bag with</t>
        </is>
      </c>
      <c r="I2452" s="9" t="n">
        <v>1</v>
      </c>
      <c r="J2452" s="9" t="inlineStr">
        <is>
          <t>cnt</t>
        </is>
      </c>
      <c r="K2452" s="9" t="n">
        <v>2.25</v>
      </c>
    </row>
    <row r="2453" ht="15" customFormat="1" customHeight="1" s="5">
      <c r="A2453" s="81" t="n">
        <v>45843</v>
      </c>
      <c r="B2453" s="82" t="n">
        <v>0.6728819444444445</v>
      </c>
      <c r="C2453" s="5" t="inlineStr">
        <is>
          <t>Daiso</t>
        </is>
      </c>
      <c r="E2453" s="5" t="n">
        <v>1</v>
      </c>
      <c r="F2453" s="6" t="inlineStr">
        <is>
          <t>06366 001 012686</t>
        </is>
      </c>
      <c r="G2453" s="10" t="n"/>
      <c r="H2453" s="9" t="inlineStr">
        <is>
          <t>Cooling mini bath towel</t>
        </is>
      </c>
      <c r="I2453" s="9" t="n">
        <v>1</v>
      </c>
      <c r="J2453" s="9" t="inlineStr">
        <is>
          <t>cnt</t>
        </is>
      </c>
      <c r="K2453" s="9" t="n">
        <v>6</v>
      </c>
    </row>
    <row r="2454" ht="15" customFormat="1" customHeight="1" s="5">
      <c r="A2454" s="81" t="n">
        <v>45843</v>
      </c>
      <c r="B2454" s="82" t="n">
        <v>0.6728819444444445</v>
      </c>
      <c r="C2454" s="5" t="inlineStr">
        <is>
          <t>Daiso</t>
        </is>
      </c>
      <c r="E2454" s="5" t="n">
        <v>1</v>
      </c>
      <c r="F2454" s="6" t="inlineStr">
        <is>
          <t>06366 001 012686</t>
        </is>
      </c>
      <c r="G2454" s="10" t="n"/>
      <c r="H2454" s="9" t="inlineStr">
        <is>
          <t>color Beans Clip T</t>
        </is>
      </c>
      <c r="I2454" s="9" t="n">
        <v>1</v>
      </c>
      <c r="J2454" s="9" t="inlineStr">
        <is>
          <t>cnt</t>
        </is>
      </c>
      <c r="K2454" s="9" t="n">
        <v>2.25</v>
      </c>
    </row>
    <row r="2455" ht="15" customFormat="1" customHeight="1" s="5">
      <c r="A2455" s="81" t="n">
        <v>45843</v>
      </c>
      <c r="B2455" s="82" t="n">
        <v>0.6728819444444445</v>
      </c>
      <c r="C2455" s="5" t="inlineStr">
        <is>
          <t>Daiso</t>
        </is>
      </c>
      <c r="E2455" s="5" t="n">
        <v>1</v>
      </c>
      <c r="F2455" s="6" t="inlineStr">
        <is>
          <t>06366 001 012686</t>
        </is>
      </c>
      <c r="G2455" s="10" t="n"/>
      <c r="H2455" s="9" t="inlineStr">
        <is>
          <t>color Beans Clip M</t>
        </is>
      </c>
      <c r="I2455" s="9" t="n">
        <v>1</v>
      </c>
      <c r="J2455" s="9" t="inlineStr">
        <is>
          <t>cnt</t>
        </is>
      </c>
      <c r="K2455" s="9" t="n">
        <v>2.25</v>
      </c>
    </row>
    <row r="2456" ht="15" customFormat="1" customHeight="1" s="5">
      <c r="A2456" s="81" t="n">
        <v>45843</v>
      </c>
      <c r="B2456" s="82" t="n">
        <v>0.6728819444444445</v>
      </c>
      <c r="C2456" s="5" t="inlineStr">
        <is>
          <t>Daiso</t>
        </is>
      </c>
      <c r="E2456" s="5" t="n">
        <v>1</v>
      </c>
      <c r="F2456" s="6" t="inlineStr">
        <is>
          <t>06366 001 012686</t>
        </is>
      </c>
      <c r="G2456" s="10" t="n"/>
      <c r="H2456" s="9" t="inlineStr">
        <is>
          <t>EVA Sandals US 4-6 white</t>
        </is>
      </c>
      <c r="I2456" s="9" t="n">
        <v>1</v>
      </c>
      <c r="J2456" s="9" t="inlineStr">
        <is>
          <t>cnt</t>
        </is>
      </c>
      <c r="K2456" s="9" t="n">
        <v>6</v>
      </c>
    </row>
    <row r="2457" ht="15" customFormat="1" customHeight="1" s="5">
      <c r="A2457" s="81" t="n">
        <v>45843</v>
      </c>
      <c r="B2457" s="82" t="n">
        <v>0.6728819444444445</v>
      </c>
      <c r="C2457" s="5" t="inlineStr">
        <is>
          <t>Daiso</t>
        </is>
      </c>
      <c r="E2457" s="5" t="n">
        <v>1</v>
      </c>
      <c r="F2457" s="6" t="inlineStr">
        <is>
          <t>06366 001 012686</t>
        </is>
      </c>
      <c r="G2457" s="10" t="n"/>
      <c r="H2457" s="9" t="inlineStr">
        <is>
          <t>Tax</t>
        </is>
      </c>
      <c r="I2457" s="9" t="n">
        <v>12</v>
      </c>
      <c r="J2457" s="9" t="inlineStr">
        <is>
          <t>cnt</t>
        </is>
      </c>
      <c r="K2457" s="9" t="n">
        <v>2.76</v>
      </c>
    </row>
    <row r="2458" ht="15" customFormat="1" customHeight="1" s="5">
      <c r="A2458" s="81" t="n">
        <v>45843</v>
      </c>
      <c r="B2458" s="82" t="n">
        <v>0.6728819444444445</v>
      </c>
      <c r="C2458" s="5" t="inlineStr">
        <is>
          <t>Daiso</t>
        </is>
      </c>
      <c r="E2458" s="5" t="n">
        <v>1</v>
      </c>
      <c r="F2458" s="6" t="inlineStr">
        <is>
          <t>06366 001 012686</t>
        </is>
      </c>
      <c r="G2458" s="10" t="n"/>
      <c r="H2458" s="9" t="inlineStr">
        <is>
          <t>Joseph Wu Treat!</t>
        </is>
      </c>
      <c r="I2458" s="9" t="n">
        <v>12</v>
      </c>
      <c r="J2458" s="9" t="inlineStr">
        <is>
          <t>cnt</t>
        </is>
      </c>
      <c r="K2458" s="9" t="n">
        <v>-37.26</v>
      </c>
    </row>
    <row r="2459" ht="15" customFormat="1" customHeight="1" s="5">
      <c r="A2459" s="81" t="n">
        <v>45843</v>
      </c>
      <c r="B2459" s="82" t="n">
        <v>0.6347222222222222</v>
      </c>
      <c r="C2459" s="5" t="inlineStr">
        <is>
          <t>La Fogata Mexican Restaurant</t>
        </is>
      </c>
      <c r="E2459" s="5" t="n">
        <v>1</v>
      </c>
      <c r="F2459" s="6" t="inlineStr">
        <is>
          <t>#23</t>
        </is>
      </c>
      <c r="G2459" s="10" t="n"/>
      <c r="H2459" s="9" t="inlineStr">
        <is>
          <t>Side of Guacamole</t>
        </is>
      </c>
      <c r="I2459" s="9" t="n">
        <v>1</v>
      </c>
      <c r="J2459" s="9" t="inlineStr">
        <is>
          <t>cnt</t>
        </is>
      </c>
      <c r="K2459" s="9" t="n">
        <v>4</v>
      </c>
    </row>
    <row r="2460" ht="15" customFormat="1" customHeight="1" s="5">
      <c r="A2460" s="81" t="n">
        <v>45843</v>
      </c>
      <c r="B2460" s="82" t="n">
        <v>0.6347222222222222</v>
      </c>
      <c r="C2460" s="5" t="inlineStr">
        <is>
          <t>La Fogata Mexican Restaurant</t>
        </is>
      </c>
      <c r="E2460" s="5" t="n">
        <v>1</v>
      </c>
      <c r="F2460" s="6" t="inlineStr">
        <is>
          <t>#23</t>
        </is>
      </c>
      <c r="G2460" s="10" t="n"/>
      <c r="H2460" s="9" t="inlineStr">
        <is>
          <t>Tacos de Pollo Asado</t>
        </is>
      </c>
      <c r="I2460" s="9" t="n">
        <v>3</v>
      </c>
      <c r="J2460" s="9" t="inlineStr">
        <is>
          <t>cnt</t>
        </is>
      </c>
      <c r="K2460" s="9" t="n">
        <v>17</v>
      </c>
    </row>
    <row r="2461" ht="15" customFormat="1" customHeight="1" s="5">
      <c r="A2461" s="81" t="n">
        <v>45843</v>
      </c>
      <c r="B2461" s="82" t="n">
        <v>0.6347222222222222</v>
      </c>
      <c r="C2461" s="5" t="inlineStr">
        <is>
          <t>La Fogata Mexican Restaurant</t>
        </is>
      </c>
      <c r="E2461" s="5" t="n">
        <v>1</v>
      </c>
      <c r="F2461" s="6" t="inlineStr">
        <is>
          <t>#23</t>
        </is>
      </c>
      <c r="G2461" s="10" t="n"/>
      <c r="H2461" s="9" t="inlineStr">
        <is>
          <t>Tacos al Carbon</t>
        </is>
      </c>
      <c r="I2461" s="9" t="n">
        <v>3</v>
      </c>
      <c r="J2461" s="9" t="inlineStr">
        <is>
          <t>cnt</t>
        </is>
      </c>
      <c r="K2461" s="9" t="n">
        <v>18</v>
      </c>
    </row>
    <row r="2462" ht="15" customFormat="1" customHeight="1" s="5">
      <c r="A2462" s="81" t="n">
        <v>45843</v>
      </c>
      <c r="B2462" s="82" t="n">
        <v>0.6347222222222222</v>
      </c>
      <c r="C2462" s="5" t="inlineStr">
        <is>
          <t>La Fogata Mexican Restaurant</t>
        </is>
      </c>
      <c r="E2462" s="5" t="n">
        <v>1</v>
      </c>
      <c r="F2462" s="6" t="inlineStr">
        <is>
          <t>#23</t>
        </is>
      </c>
      <c r="G2462" s="10" t="n"/>
      <c r="H2462" s="9" t="inlineStr">
        <is>
          <t>Burrito Supreme</t>
        </is>
      </c>
      <c r="I2462" s="9" t="n">
        <v>1</v>
      </c>
      <c r="J2462" s="9" t="inlineStr">
        <is>
          <t>cnt</t>
        </is>
      </c>
      <c r="K2462" s="9" t="n">
        <v>16</v>
      </c>
    </row>
    <row r="2463" ht="15" customFormat="1" customHeight="1" s="5">
      <c r="A2463" s="81" t="n">
        <v>45843</v>
      </c>
      <c r="B2463" s="82" t="n">
        <v>0.6347222222222222</v>
      </c>
      <c r="C2463" s="5" t="inlineStr">
        <is>
          <t>La Fogata Mexican Restaurant</t>
        </is>
      </c>
      <c r="E2463" s="5" t="n">
        <v>1</v>
      </c>
      <c r="F2463" s="6" t="inlineStr">
        <is>
          <t>#23</t>
        </is>
      </c>
      <c r="G2463" s="10" t="n"/>
      <c r="H2463" s="9" t="inlineStr">
        <is>
          <t>Enchiladas (chicken, beef, cheese), rice, beans ($4.00)</t>
        </is>
      </c>
      <c r="I2463" s="9" t="n">
        <v>3</v>
      </c>
      <c r="J2463" s="9" t="inlineStr">
        <is>
          <t>cnt</t>
        </is>
      </c>
      <c r="K2463" s="9" t="n">
        <v>16</v>
      </c>
    </row>
    <row r="2464" ht="15" customFormat="1" customHeight="1" s="5">
      <c r="A2464" s="81" t="n">
        <v>45843</v>
      </c>
      <c r="B2464" s="82" t="n">
        <v>0.6347222222222222</v>
      </c>
      <c r="C2464" s="5" t="inlineStr">
        <is>
          <t>La Fogata Mexican Restaurant</t>
        </is>
      </c>
      <c r="E2464" s="5" t="n">
        <v>1</v>
      </c>
      <c r="F2464" s="6" t="inlineStr">
        <is>
          <t>#23</t>
        </is>
      </c>
      <c r="G2464" s="10" t="n"/>
      <c r="H2464" s="9" t="inlineStr">
        <is>
          <t>Tacos de Carne Adobada</t>
        </is>
      </c>
      <c r="I2464" s="9" t="n">
        <v>3</v>
      </c>
      <c r="J2464" s="9" t="inlineStr">
        <is>
          <t>cnt</t>
        </is>
      </c>
      <c r="K2464" s="9" t="n">
        <v>18</v>
      </c>
    </row>
    <row r="2465" ht="15" customFormat="1" customHeight="1" s="5">
      <c r="A2465" s="81" t="n">
        <v>45843</v>
      </c>
      <c r="B2465" s="82" t="n">
        <v>0.6347222222222222</v>
      </c>
      <c r="C2465" s="5" t="inlineStr">
        <is>
          <t>La Fogata Mexican Restaurant</t>
        </is>
      </c>
      <c r="E2465" s="5" t="n">
        <v>1</v>
      </c>
      <c r="F2465" s="6" t="inlineStr">
        <is>
          <t>#23</t>
        </is>
      </c>
      <c r="G2465" s="10" t="n"/>
      <c r="H2465" s="9" t="inlineStr">
        <is>
          <t>Fried Ice Cream</t>
        </is>
      </c>
      <c r="I2465" s="9" t="n">
        <v>1</v>
      </c>
      <c r="J2465" s="9" t="inlineStr">
        <is>
          <t>cnt</t>
        </is>
      </c>
      <c r="K2465" s="9" t="n">
        <v>6</v>
      </c>
    </row>
    <row r="2466" ht="15" customFormat="1" customHeight="1" s="5">
      <c r="A2466" s="81" t="n">
        <v>45843</v>
      </c>
      <c r="B2466" s="82" t="n">
        <v>0.6347222222222222</v>
      </c>
      <c r="C2466" s="5" t="inlineStr">
        <is>
          <t>La Fogata Mexican Restaurant</t>
        </is>
      </c>
      <c r="E2466" s="5" t="n">
        <v>1</v>
      </c>
      <c r="F2466" s="6" t="inlineStr">
        <is>
          <t>#23</t>
        </is>
      </c>
      <c r="G2466" s="10" t="n"/>
      <c r="H2466" s="9" t="inlineStr">
        <is>
          <t>10% off parties of 5 or more</t>
        </is>
      </c>
      <c r="I2466" s="9" t="n">
        <v>1</v>
      </c>
      <c r="J2466" s="9" t="inlineStr">
        <is>
          <t>cnt</t>
        </is>
      </c>
      <c r="K2466" s="9" t="n">
        <v>-9.5</v>
      </c>
    </row>
    <row r="2467" ht="15" customFormat="1" customHeight="1" s="5">
      <c r="A2467" s="81" t="n">
        <v>45843</v>
      </c>
      <c r="B2467" s="82" t="n">
        <v>0.6347222222222222</v>
      </c>
      <c r="C2467" s="5" t="inlineStr">
        <is>
          <t>La Fogata Mexican Restaurant</t>
        </is>
      </c>
      <c r="E2467" s="5" t="n">
        <v>1</v>
      </c>
      <c r="F2467" s="6" t="inlineStr">
        <is>
          <t>#23</t>
        </is>
      </c>
      <c r="G2467" s="10" t="n"/>
      <c r="H2467" s="9" t="inlineStr">
        <is>
          <t>Service Charge (2.8%) credit card processing fee</t>
        </is>
      </c>
      <c r="I2467" s="9" t="n">
        <v>7</v>
      </c>
      <c r="J2467" s="9" t="inlineStr">
        <is>
          <t>cnt</t>
        </is>
      </c>
      <c r="K2467" s="9" t="n">
        <v>2.39</v>
      </c>
    </row>
    <row r="2468" ht="15" customFormat="1" customHeight="1" s="5">
      <c r="A2468" s="81" t="n">
        <v>45843</v>
      </c>
      <c r="B2468" s="82" t="n">
        <v>0.6347222222222222</v>
      </c>
      <c r="C2468" s="5" t="inlineStr">
        <is>
          <t>La Fogata Mexican Restaurant</t>
        </is>
      </c>
      <c r="E2468" s="5" t="n">
        <v>1</v>
      </c>
      <c r="F2468" s="6" t="inlineStr">
        <is>
          <t>#23</t>
        </is>
      </c>
      <c r="G2468" s="10" t="n"/>
      <c r="H2468" s="9" t="inlineStr">
        <is>
          <t>Sales Tax</t>
        </is>
      </c>
      <c r="I2468" s="9" t="n">
        <v>7</v>
      </c>
      <c r="J2468" s="9" t="inlineStr">
        <is>
          <t>cnt</t>
        </is>
      </c>
      <c r="K2468" s="9" t="n">
        <v>6.84</v>
      </c>
    </row>
    <row r="2469" ht="15" customFormat="1" customHeight="1" s="5">
      <c r="A2469" s="81" t="n">
        <v>45843</v>
      </c>
      <c r="B2469" s="82" t="n">
        <v>0.6347222222222222</v>
      </c>
      <c r="C2469" s="5" t="inlineStr">
        <is>
          <t>La Fogata Mexican Restaurant</t>
        </is>
      </c>
      <c r="E2469" s="5" t="n">
        <v>1</v>
      </c>
      <c r="F2469" s="6" t="inlineStr">
        <is>
          <t>#23</t>
        </is>
      </c>
      <c r="G2469" s="10" t="n"/>
      <c r="H2469" s="9" t="inlineStr">
        <is>
          <t>Tip</t>
        </is>
      </c>
      <c r="I2469" s="9" t="n">
        <v>7</v>
      </c>
      <c r="J2469" s="9" t="inlineStr">
        <is>
          <t>cnt</t>
        </is>
      </c>
      <c r="K2469" s="9" t="n">
        <v>15.27</v>
      </c>
    </row>
    <row r="2470" ht="15" customFormat="1" customHeight="1" s="5">
      <c r="A2470" s="81" t="n">
        <v>45843</v>
      </c>
      <c r="B2470" s="82" t="n">
        <v>0.6347222222222222</v>
      </c>
      <c r="C2470" s="5" t="inlineStr">
        <is>
          <t>La Fogata Mexican Restaurant</t>
        </is>
      </c>
      <c r="E2470" s="5" t="n">
        <v>1</v>
      </c>
      <c r="F2470" s="6" t="inlineStr">
        <is>
          <t>#23</t>
        </is>
      </c>
      <c r="G2470" s="10" t="n"/>
      <c r="H2470" s="9" t="inlineStr">
        <is>
          <t>Joseph Wu Treat!</t>
        </is>
      </c>
      <c r="I2470" s="9" t="n">
        <v>7</v>
      </c>
      <c r="J2470" s="9" t="inlineStr">
        <is>
          <t>cnt</t>
        </is>
      </c>
      <c r="K2470" s="9" t="n">
        <v>-110</v>
      </c>
    </row>
    <row r="2471" ht="15" customFormat="1" customHeight="1" s="5">
      <c r="A2471" s="81" t="n">
        <v>45843</v>
      </c>
      <c r="B2471" s="82" t="n">
        <v>0.5</v>
      </c>
      <c r="C2471" s="5" t="inlineStr">
        <is>
          <t>Once Upon a Child</t>
        </is>
      </c>
      <c r="E2471" s="5" t="n">
        <v>1</v>
      </c>
      <c r="F2471" s="6" t="n"/>
      <c r="G2471" s="17" t="n"/>
      <c r="H2471" s="9" t="inlineStr">
        <is>
          <t>Baby Bjorn Toddler Baby Potty Used</t>
        </is>
      </c>
      <c r="I2471" s="5" t="n">
        <v>1</v>
      </c>
      <c r="J2471" s="5" t="inlineStr">
        <is>
          <t>cnt</t>
        </is>
      </c>
      <c r="K2471" s="5" t="n">
        <v>9.99</v>
      </c>
    </row>
    <row r="2472" ht="15" customFormat="1" customHeight="1" s="5">
      <c r="A2472" s="81" t="n">
        <v>45843</v>
      </c>
      <c r="B2472" s="82" t="n">
        <v>0.5</v>
      </c>
      <c r="C2472" s="5" t="inlineStr">
        <is>
          <t>Once Upon a Child</t>
        </is>
      </c>
      <c r="E2472" s="5" t="n">
        <v>1</v>
      </c>
      <c r="F2472" s="6" t="n"/>
      <c r="G2472" s="17" t="n"/>
      <c r="H2472" s="9" t="inlineStr">
        <is>
          <t>BABY GIFT from Mary Wu</t>
        </is>
      </c>
      <c r="I2472" s="5" t="n">
        <v>1</v>
      </c>
      <c r="J2472" s="5" t="inlineStr">
        <is>
          <t>cnt</t>
        </is>
      </c>
      <c r="K2472" s="5" t="n">
        <v>-9.99</v>
      </c>
    </row>
    <row r="2473" ht="15" customFormat="1" customHeight="1" s="5">
      <c r="A2473" s="81" t="n">
        <v>45843</v>
      </c>
      <c r="B2473" s="82" t="n">
        <v>0.34375</v>
      </c>
      <c r="C2473" s="5" t="inlineStr">
        <is>
          <t>Costco</t>
        </is>
      </c>
      <c r="E2473" s="5" t="n">
        <v>1</v>
      </c>
      <c r="F2473" s="6" t="inlineStr">
        <is>
          <t>50299</t>
        </is>
      </c>
      <c r="G2473" s="10" t="n"/>
      <c r="H2473" s="9" t="inlineStr">
        <is>
          <t>Mary Wu Treat!</t>
        </is>
      </c>
      <c r="I2473" s="9" t="n">
        <v>16.029</v>
      </c>
      <c r="J2473" s="9" t="inlineStr">
        <is>
          <t>gal</t>
        </is>
      </c>
      <c r="K2473" s="9" t="n">
        <v>-41.5</v>
      </c>
    </row>
    <row r="2474" ht="15" customFormat="1" customHeight="1" s="5">
      <c r="A2474" s="81" t="n">
        <v>45843</v>
      </c>
      <c r="B2474" s="82" t="n">
        <v>0.34375</v>
      </c>
      <c r="C2474" s="5" t="inlineStr">
        <is>
          <t>Costco</t>
        </is>
      </c>
      <c r="E2474" s="5" t="n">
        <v>1</v>
      </c>
      <c r="F2474" s="6" t="inlineStr">
        <is>
          <t>50299</t>
        </is>
      </c>
      <c r="G2474" s="15" t="inlineStr">
        <is>
          <t>1</t>
        </is>
      </c>
      <c r="H2474" s="9" t="inlineStr">
        <is>
          <t>Subaru Gas 16.029 gal @$2.589/gal</t>
        </is>
      </c>
      <c r="I2474" s="9" t="n">
        <v>16.029</v>
      </c>
      <c r="J2474" s="9" t="inlineStr">
        <is>
          <t>gal</t>
        </is>
      </c>
      <c r="K2474" s="9" t="n">
        <v>41.5</v>
      </c>
    </row>
    <row r="2475" ht="15" customFormat="1" customHeight="1" s="5">
      <c r="A2475" s="81" t="n">
        <v>45843</v>
      </c>
      <c r="B2475" s="82" t="n">
        <v>0.1756944444444444</v>
      </c>
      <c r="C2475" s="5" t="inlineStr">
        <is>
          <t>Xfinity</t>
        </is>
      </c>
      <c r="D2475" s="5" t="n">
        <v>1</v>
      </c>
      <c r="F2475" s="6" t="n"/>
      <c r="G2475" s="10" t="n"/>
      <c r="H2475" s="9" t="inlineStr">
        <is>
          <t>Monthly internet bill</t>
        </is>
      </c>
      <c r="I2475" s="9" t="n">
        <v>1</v>
      </c>
      <c r="J2475" s="9" t="inlineStr">
        <is>
          <t>cnt</t>
        </is>
      </c>
      <c r="K2475" s="9" t="n">
        <v>60</v>
      </c>
    </row>
    <row r="2476" ht="15" customFormat="1" customHeight="1" s="5">
      <c r="A2476" s="81" t="n">
        <v>45842</v>
      </c>
      <c r="B2476" s="82" t="n">
        <v>0.5381944444444444</v>
      </c>
      <c r="C2476" s="5" t="inlineStr">
        <is>
          <t>Empress Seafood and Dim Sum</t>
        </is>
      </c>
      <c r="E2476" s="5" t="n">
        <v>1</v>
      </c>
      <c r="F2476" s="6" t="inlineStr">
        <is>
          <t>#15</t>
        </is>
      </c>
      <c r="G2476" s="10" t="inlineStr">
        <is>
          <t>A6</t>
        </is>
      </c>
      <c r="H2476" s="9" t="inlineStr">
        <is>
          <t>Chicken Feet Bean Sauce Chan Ga</t>
        </is>
      </c>
      <c r="I2476" s="9" t="n">
        <v>3</v>
      </c>
      <c r="J2476" s="9" t="inlineStr">
        <is>
          <t>cnt</t>
        </is>
      </c>
      <c r="K2476" s="9" t="n">
        <v>4.95</v>
      </c>
    </row>
    <row r="2477" ht="15" customFormat="1" customHeight="1" s="5">
      <c r="A2477" s="81" t="n">
        <v>45842</v>
      </c>
      <c r="B2477" s="82" t="n">
        <v>0.5381944444444444</v>
      </c>
      <c r="C2477" s="5" t="inlineStr">
        <is>
          <t>Empress Seafood and Dim Sum</t>
        </is>
      </c>
      <c r="E2477" s="5" t="n">
        <v>1</v>
      </c>
      <c r="F2477" s="6" t="inlineStr">
        <is>
          <t>#15</t>
        </is>
      </c>
      <c r="G2477" s="10" t="inlineStr">
        <is>
          <t>A6</t>
        </is>
      </c>
      <c r="H2477" s="9" t="inlineStr">
        <is>
          <t>Chicken Feet Bean Sauce Chan Ga</t>
        </is>
      </c>
      <c r="I2477" s="9" t="n">
        <v>3</v>
      </c>
      <c r="J2477" s="9" t="inlineStr">
        <is>
          <t>cnt</t>
        </is>
      </c>
      <c r="K2477" s="9" t="n">
        <v>4.95</v>
      </c>
    </row>
    <row r="2478" ht="15" customFormat="1" customHeight="1" s="5">
      <c r="A2478" s="81" t="n">
        <v>45842</v>
      </c>
      <c r="B2478" s="82" t="n">
        <v>0.5381944444444444</v>
      </c>
      <c r="C2478" s="5" t="inlineStr">
        <is>
          <t>Empress Seafood and Dim Sum</t>
        </is>
      </c>
      <c r="E2478" s="5" t="n">
        <v>1</v>
      </c>
      <c r="F2478" s="6" t="inlineStr">
        <is>
          <t>#15</t>
        </is>
      </c>
      <c r="G2478" s="10" t="inlineStr">
        <is>
          <t>A7</t>
        </is>
      </c>
      <c r="H2478" s="9" t="inlineStr">
        <is>
          <t>Deep Fried Meat Dumplings Banh Thit Cai Chien "Football"</t>
        </is>
      </c>
      <c r="I2478" s="9" t="n">
        <v>3</v>
      </c>
      <c r="J2478" s="9" t="inlineStr">
        <is>
          <t>cnt</t>
        </is>
      </c>
      <c r="K2478" s="9" t="n">
        <v>4.95</v>
      </c>
    </row>
    <row r="2479" ht="15" customFormat="1" customHeight="1" s="5">
      <c r="A2479" s="81" t="n">
        <v>45842</v>
      </c>
      <c r="B2479" s="82" t="n">
        <v>0.5381944444444444</v>
      </c>
      <c r="C2479" s="5" t="inlineStr">
        <is>
          <t>Empress Seafood and Dim Sum</t>
        </is>
      </c>
      <c r="E2479" s="5" t="n">
        <v>1</v>
      </c>
      <c r="F2479" s="6" t="inlineStr">
        <is>
          <t>#15</t>
        </is>
      </c>
      <c r="G2479" s="10" t="inlineStr">
        <is>
          <t>A7</t>
        </is>
      </c>
      <c r="H2479" s="9" t="inlineStr">
        <is>
          <t>Deep Fried Meat Dumplings Banh Thit Cai Chien "Football"</t>
        </is>
      </c>
      <c r="I2479" s="9" t="n">
        <v>3</v>
      </c>
      <c r="J2479" s="9" t="inlineStr">
        <is>
          <t>cnt</t>
        </is>
      </c>
      <c r="K2479" s="9" t="n">
        <v>4.95</v>
      </c>
    </row>
    <row r="2480" ht="15" customFormat="1" customHeight="1" s="5">
      <c r="A2480" s="81" t="n">
        <v>45842</v>
      </c>
      <c r="B2480" s="82" t="n">
        <v>0.5381944444444444</v>
      </c>
      <c r="C2480" s="5" t="inlineStr">
        <is>
          <t>Empress Seafood and Dim Sum</t>
        </is>
      </c>
      <c r="E2480" s="5" t="n">
        <v>1</v>
      </c>
      <c r="F2480" s="6" t="inlineStr">
        <is>
          <t>#15</t>
        </is>
      </c>
      <c r="G2480" s="10" t="inlineStr">
        <is>
          <t>A8</t>
        </is>
      </c>
      <c r="H2480" s="9" t="inlineStr">
        <is>
          <t>Pan Fried Turnip Cake Banh Cu Cai Chien</t>
        </is>
      </c>
      <c r="I2480" s="9" t="n">
        <v>3</v>
      </c>
      <c r="J2480" s="9" t="inlineStr">
        <is>
          <t>cnt</t>
        </is>
      </c>
      <c r="K2480" s="9" t="n">
        <v>4.95</v>
      </c>
    </row>
    <row r="2481" ht="15" customFormat="1" customHeight="1" s="5">
      <c r="A2481" s="81" t="n">
        <v>45842</v>
      </c>
      <c r="B2481" s="82" t="n">
        <v>0.5381944444444444</v>
      </c>
      <c r="C2481" s="5" t="inlineStr">
        <is>
          <t>Empress Seafood and Dim Sum</t>
        </is>
      </c>
      <c r="E2481" s="5" t="n">
        <v>1</v>
      </c>
      <c r="F2481" s="6" t="inlineStr">
        <is>
          <t>#15</t>
        </is>
      </c>
      <c r="G2481" s="10" t="inlineStr">
        <is>
          <t>C5</t>
        </is>
      </c>
      <c r="H2481" s="9" t="inlineStr">
        <is>
          <t>Bean Curd Roll Dau Hu Xy Cuon Rau Cai</t>
        </is>
      </c>
      <c r="I2481" s="9" t="n">
        <v>3</v>
      </c>
      <c r="J2481" s="9" t="inlineStr">
        <is>
          <t>cnt</t>
        </is>
      </c>
      <c r="K2481" s="9" t="n">
        <v>5.95</v>
      </c>
    </row>
    <row r="2482" ht="15" customFormat="1" customHeight="1" s="5">
      <c r="A2482" s="81" t="n">
        <v>45842</v>
      </c>
      <c r="B2482" s="82" t="n">
        <v>0.5381944444444444</v>
      </c>
      <c r="C2482" s="5" t="inlineStr">
        <is>
          <t>Empress Seafood and Dim Sum</t>
        </is>
      </c>
      <c r="E2482" s="5" t="n">
        <v>1</v>
      </c>
      <c r="F2482" s="6" t="inlineStr">
        <is>
          <t>#15</t>
        </is>
      </c>
      <c r="G2482" s="10" t="inlineStr">
        <is>
          <t>C5</t>
        </is>
      </c>
      <c r="H2482" s="9" t="inlineStr">
        <is>
          <t>Bean Curd Roll Dau Hu Xy Cuon Rau Cai</t>
        </is>
      </c>
      <c r="I2482" s="9" t="n">
        <v>3</v>
      </c>
      <c r="J2482" s="9" t="inlineStr">
        <is>
          <t>cnt</t>
        </is>
      </c>
      <c r="K2482" s="9" t="n">
        <v>5.95</v>
      </c>
    </row>
    <row r="2483" ht="15" customFormat="1" customHeight="1" s="5">
      <c r="A2483" s="81" t="n">
        <v>45842</v>
      </c>
      <c r="B2483" s="82" t="n">
        <v>0.5381944444444444</v>
      </c>
      <c r="C2483" s="5" t="inlineStr">
        <is>
          <t>Empress Seafood and Dim Sum</t>
        </is>
      </c>
      <c r="E2483" s="5" t="n">
        <v>1</v>
      </c>
      <c r="F2483" s="6" t="inlineStr">
        <is>
          <t>#15</t>
        </is>
      </c>
      <c r="G2483" s="10" t="inlineStr">
        <is>
          <t>C13</t>
        </is>
      </c>
      <c r="H2483" s="9" t="inlineStr">
        <is>
          <t>Fried Shrimp Balls Tom Vien Chien</t>
        </is>
      </c>
      <c r="I2483" s="9" t="n">
        <v>3</v>
      </c>
      <c r="J2483" s="9" t="inlineStr">
        <is>
          <t>cnt</t>
        </is>
      </c>
      <c r="K2483" s="9" t="n">
        <v>5.95</v>
      </c>
    </row>
    <row r="2484" ht="15" customFormat="1" customHeight="1" s="5">
      <c r="A2484" s="81" t="n">
        <v>45842</v>
      </c>
      <c r="B2484" s="82" t="n">
        <v>0.5381944444444444</v>
      </c>
      <c r="C2484" s="5" t="inlineStr">
        <is>
          <t>Empress Seafood and Dim Sum</t>
        </is>
      </c>
      <c r="E2484" s="5" t="n">
        <v>1</v>
      </c>
      <c r="F2484" s="6" t="inlineStr">
        <is>
          <t>#15</t>
        </is>
      </c>
      <c r="G2484" s="10" t="inlineStr">
        <is>
          <t>C13</t>
        </is>
      </c>
      <c r="H2484" s="9" t="inlineStr">
        <is>
          <t>Fried Shrimp Balls Tom Vien Chien</t>
        </is>
      </c>
      <c r="I2484" s="9" t="n">
        <v>3</v>
      </c>
      <c r="J2484" s="9" t="inlineStr">
        <is>
          <t>cnt</t>
        </is>
      </c>
      <c r="K2484" s="9" t="n">
        <v>5.95</v>
      </c>
    </row>
    <row r="2485" ht="15" customFormat="1" customHeight="1" s="5">
      <c r="A2485" s="81" t="n">
        <v>45842</v>
      </c>
      <c r="B2485" s="82" t="n">
        <v>0.5381944444444444</v>
      </c>
      <c r="C2485" s="5" t="inlineStr">
        <is>
          <t>Empress Seafood and Dim Sum</t>
        </is>
      </c>
      <c r="E2485" s="5" t="n">
        <v>1</v>
      </c>
      <c r="F2485" s="6" t="inlineStr">
        <is>
          <t>#15</t>
        </is>
      </c>
      <c r="G2485" s="10" t="inlineStr">
        <is>
          <t>C17</t>
        </is>
      </c>
      <c r="H2485" s="9" t="inlineStr">
        <is>
          <t>Spareribs Black Bean Sauce</t>
        </is>
      </c>
      <c r="I2485" s="9" t="n">
        <v>1</v>
      </c>
      <c r="J2485" s="9" t="inlineStr">
        <is>
          <t>cnt</t>
        </is>
      </c>
      <c r="K2485" s="9" t="n">
        <v>5.95</v>
      </c>
    </row>
    <row r="2486" ht="15" customFormat="1" customHeight="1" s="5">
      <c r="A2486" s="81" t="n">
        <v>45842</v>
      </c>
      <c r="B2486" s="82" t="n">
        <v>0.5381944444444444</v>
      </c>
      <c r="C2486" s="5" t="inlineStr">
        <is>
          <t>Empress Seafood and Dim Sum</t>
        </is>
      </c>
      <c r="E2486" s="5" t="n">
        <v>1</v>
      </c>
      <c r="F2486" s="6" t="inlineStr">
        <is>
          <t>#15</t>
        </is>
      </c>
      <c r="G2486" s="10" t="inlineStr">
        <is>
          <t>C17</t>
        </is>
      </c>
      <c r="H2486" s="9" t="inlineStr">
        <is>
          <t>Spareribs Black Bean Sauce</t>
        </is>
      </c>
      <c r="I2486" s="9" t="n">
        <v>1</v>
      </c>
      <c r="J2486" s="9" t="inlineStr">
        <is>
          <t>cnt</t>
        </is>
      </c>
      <c r="K2486" s="9" t="n">
        <v>5.95</v>
      </c>
    </row>
    <row r="2487" ht="15" customFormat="1" customHeight="1" s="5">
      <c r="A2487" s="81" t="n">
        <v>45842</v>
      </c>
      <c r="B2487" s="82" t="n">
        <v>0.5381944444444444</v>
      </c>
      <c r="C2487" s="5" t="inlineStr">
        <is>
          <t>Empress Seafood and Dim Sum</t>
        </is>
      </c>
      <c r="E2487" s="5" t="n">
        <v>1</v>
      </c>
      <c r="F2487" s="6" t="inlineStr">
        <is>
          <t>#15</t>
        </is>
      </c>
      <c r="G2487" s="10" t="inlineStr">
        <is>
          <t>D3</t>
        </is>
      </c>
      <c r="H2487" s="9" t="inlineStr">
        <is>
          <t>Stuffed Egg Plant</t>
        </is>
      </c>
      <c r="I2487" s="9" t="n">
        <v>3</v>
      </c>
      <c r="J2487" s="9" t="inlineStr">
        <is>
          <t>cnt</t>
        </is>
      </c>
      <c r="K2487" s="9" t="n">
        <v>6.95</v>
      </c>
    </row>
    <row r="2488" ht="15" customFormat="1" customHeight="1" s="5">
      <c r="A2488" s="81" t="n">
        <v>45842</v>
      </c>
      <c r="B2488" s="82" t="n">
        <v>0.5381944444444444</v>
      </c>
      <c r="C2488" s="5" t="inlineStr">
        <is>
          <t>Empress Seafood and Dim Sum</t>
        </is>
      </c>
      <c r="E2488" s="5" t="n">
        <v>1</v>
      </c>
      <c r="F2488" s="6" t="inlineStr">
        <is>
          <t>#15</t>
        </is>
      </c>
      <c r="G2488" s="10" t="inlineStr">
        <is>
          <t>D16</t>
        </is>
      </c>
      <c r="H2488" s="9" t="inlineStr">
        <is>
          <t>Pan Fried Shrimp Cake</t>
        </is>
      </c>
      <c r="I2488" s="9" t="n">
        <v>3</v>
      </c>
      <c r="J2488" s="9" t="inlineStr">
        <is>
          <t>cnt</t>
        </is>
      </c>
      <c r="K2488" s="9" t="n">
        <v>6.95</v>
      </c>
    </row>
    <row r="2489" ht="15" customFormat="1" customHeight="1" s="5">
      <c r="A2489" s="81" t="n">
        <v>45842</v>
      </c>
      <c r="B2489" s="82" t="n">
        <v>0.5381944444444444</v>
      </c>
      <c r="C2489" s="5" t="inlineStr">
        <is>
          <t>Empress Seafood and Dim Sum</t>
        </is>
      </c>
      <c r="E2489" s="5" t="n">
        <v>1</v>
      </c>
      <c r="F2489" s="6" t="inlineStr">
        <is>
          <t>#15</t>
        </is>
      </c>
      <c r="G2489" s="10" t="inlineStr">
        <is>
          <t>D16</t>
        </is>
      </c>
      <c r="H2489" s="9" t="inlineStr">
        <is>
          <t>Pan Fried Shrimp Cake</t>
        </is>
      </c>
      <c r="I2489" s="9" t="n">
        <v>3</v>
      </c>
      <c r="J2489" s="9" t="inlineStr">
        <is>
          <t>cnt</t>
        </is>
      </c>
      <c r="K2489" s="9" t="n">
        <v>6.95</v>
      </c>
    </row>
    <row r="2490" ht="15" customFormat="1" customHeight="1" s="5">
      <c r="A2490" s="81" t="n">
        <v>45842</v>
      </c>
      <c r="B2490" s="82" t="n">
        <v>0.5381944444444444</v>
      </c>
      <c r="C2490" s="5" t="inlineStr">
        <is>
          <t>Empress Seafood and Dim Sum</t>
        </is>
      </c>
      <c r="E2490" s="5" t="n">
        <v>1</v>
      </c>
      <c r="F2490" s="6" t="inlineStr">
        <is>
          <t>#15</t>
        </is>
      </c>
      <c r="G2490" s="10" t="n"/>
      <c r="H2490" s="9" t="inlineStr">
        <is>
          <t>Garlic Snow Peas</t>
        </is>
      </c>
      <c r="I2490" s="9" t="n">
        <v>1</v>
      </c>
      <c r="J2490" s="9" t="inlineStr">
        <is>
          <t>cnt</t>
        </is>
      </c>
      <c r="K2490" s="9" t="n">
        <v>26.9</v>
      </c>
    </row>
    <row r="2491" ht="15" customFormat="1" customHeight="1" s="5">
      <c r="A2491" s="81" t="n">
        <v>45842</v>
      </c>
      <c r="B2491" s="82" t="n">
        <v>0.5381944444444444</v>
      </c>
      <c r="C2491" s="5" t="inlineStr">
        <is>
          <t>Empress Seafood and Dim Sum</t>
        </is>
      </c>
      <c r="E2491" s="5" t="n">
        <v>1</v>
      </c>
      <c r="F2491" s="6" t="inlineStr">
        <is>
          <t>#15</t>
        </is>
      </c>
      <c r="G2491" s="10" t="n"/>
      <c r="H2491" s="9" t="inlineStr">
        <is>
          <t>Tea Base</t>
        </is>
      </c>
      <c r="I2491" s="9" t="n">
        <v>5</v>
      </c>
      <c r="J2491" s="9" t="inlineStr">
        <is>
          <t>cnt</t>
        </is>
      </c>
      <c r="K2491" s="9" t="n">
        <v>5</v>
      </c>
    </row>
    <row r="2492" ht="15" customFormat="1" customHeight="1" s="5">
      <c r="A2492" s="81" t="n">
        <v>45842</v>
      </c>
      <c r="B2492" s="82" t="n">
        <v>0.5381944444444444</v>
      </c>
      <c r="C2492" s="5" t="inlineStr">
        <is>
          <t>Empress Seafood and Dim Sum</t>
        </is>
      </c>
      <c r="E2492" s="5" t="n">
        <v>1</v>
      </c>
      <c r="F2492" s="6" t="inlineStr">
        <is>
          <t>#15</t>
        </is>
      </c>
      <c r="G2492" s="10" t="n"/>
      <c r="H2492" s="9" t="inlineStr">
        <is>
          <t>Tax</t>
        </is>
      </c>
      <c r="I2492" s="9" t="n">
        <v>16</v>
      </c>
      <c r="J2492" s="9" t="inlineStr">
        <is>
          <t>cnt</t>
        </is>
      </c>
      <c r="K2492" s="9" t="n">
        <v>10.35</v>
      </c>
    </row>
    <row r="2493" ht="15" customFormat="1" customHeight="1" s="5">
      <c r="A2493" s="81" t="n">
        <v>45842</v>
      </c>
      <c r="B2493" s="82" t="n">
        <v>0.5381944444444444</v>
      </c>
      <c r="C2493" s="5" t="inlineStr">
        <is>
          <t>Empress Seafood and Dim Sum</t>
        </is>
      </c>
      <c r="E2493" s="5" t="n">
        <v>1</v>
      </c>
      <c r="F2493" s="6" t="inlineStr">
        <is>
          <t>#15</t>
        </is>
      </c>
      <c r="G2493" s="10" t="n"/>
      <c r="H2493" s="9" t="inlineStr">
        <is>
          <t>Joseph Wu Treat!</t>
        </is>
      </c>
      <c r="I2493" s="9" t="n">
        <v>16</v>
      </c>
      <c r="J2493" s="9" t="inlineStr">
        <is>
          <t>cnt</t>
        </is>
      </c>
      <c r="K2493" s="9" t="n">
        <v>-123.55</v>
      </c>
    </row>
    <row r="2494" ht="15" customFormat="1" customHeight="1" s="5">
      <c r="A2494" s="81" t="n">
        <v>45842</v>
      </c>
      <c r="B2494" s="82" t="n">
        <v>0.2916666666666667</v>
      </c>
      <c r="C2494" s="5" t="inlineStr">
        <is>
          <t>Amazon</t>
        </is>
      </c>
      <c r="D2494" s="5" t="n">
        <v>1</v>
      </c>
      <c r="F2494" s="6" t="inlineStr">
        <is>
          <t>111-7323965-2588224</t>
        </is>
      </c>
      <c r="G2494" s="10" t="n"/>
      <c r="H2494" s="18" t="inlineStr">
        <is>
          <t>Peppermint Shampoo with Castor Oil &amp; Biotin, Soothes Dry, Itchy Scalp, Strengthens Hair, Reduces Thinning &amp; Hair Loss, Promotes Growth, Adds Volume, Sulfate-Free, 16 fl oz
Sold by: EDENIKA BOTANICALS</t>
        </is>
      </c>
      <c r="I2494" s="9" t="n">
        <v>16</v>
      </c>
      <c r="J2494" s="9" t="inlineStr">
        <is>
          <t>fl oz</t>
        </is>
      </c>
      <c r="K2494" s="9" t="n">
        <v>13.95</v>
      </c>
    </row>
    <row r="2495" ht="15" customFormat="1" customHeight="1" s="5">
      <c r="A2495" s="81" t="n">
        <v>45842</v>
      </c>
      <c r="B2495" s="82" t="n">
        <v>0.2916666666666667</v>
      </c>
      <c r="C2495" s="5" t="inlineStr">
        <is>
          <t>Amazon</t>
        </is>
      </c>
      <c r="D2495" s="5" t="n">
        <v>1</v>
      </c>
      <c r="F2495" s="6" t="inlineStr">
        <is>
          <t>111-7323965-2588224</t>
        </is>
      </c>
      <c r="G2495" s="10" t="n"/>
      <c r="H2495" s="18" t="inlineStr">
        <is>
          <t>Ecoed Detangler Hairbrush, Vented Detangling Brush for Straight, Wavy,Curly and Fine Hair, Dry and Wet, Quick Smoothing for Women and Men, Eco-Friendly &amp; Sustainable Material (Green)
Sold by: JIXIUO</t>
        </is>
      </c>
      <c r="I2495" s="9" t="n">
        <v>1</v>
      </c>
      <c r="J2495" s="9" t="inlineStr">
        <is>
          <t>cnt</t>
        </is>
      </c>
      <c r="K2495" s="9" t="n">
        <v>6.99</v>
      </c>
    </row>
    <row r="2496" ht="15" customFormat="1" customHeight="1" s="5">
      <c r="A2496" s="81" t="n">
        <v>45842</v>
      </c>
      <c r="B2496" s="82" t="n">
        <v>0.2916666666666667</v>
      </c>
      <c r="C2496" s="5" t="inlineStr">
        <is>
          <t>Amazon</t>
        </is>
      </c>
      <c r="D2496" s="5" t="n">
        <v>1</v>
      </c>
      <c r="F2496" s="6" t="inlineStr">
        <is>
          <t>111-7323965-2588224</t>
        </is>
      </c>
      <c r="G2496" s="10" t="n"/>
      <c r="H2496" s="9" t="inlineStr">
        <is>
          <t>Tax</t>
        </is>
      </c>
      <c r="I2496" s="9" t="n">
        <v>2</v>
      </c>
      <c r="J2496" s="9" t="inlineStr">
        <is>
          <t>cnt</t>
        </is>
      </c>
      <c r="K2496" s="9" t="n">
        <v>1.68</v>
      </c>
    </row>
    <row r="2497" ht="15" customFormat="1" customHeight="1" s="5">
      <c r="A2497" s="81" t="n">
        <v>45842</v>
      </c>
      <c r="B2497" s="82" t="n">
        <v>0.2916666666666667</v>
      </c>
      <c r="C2497" s="5" t="inlineStr">
        <is>
          <t>Amazon</t>
        </is>
      </c>
      <c r="D2497" s="5" t="n">
        <v>1</v>
      </c>
      <c r="F2497" s="6" t="inlineStr">
        <is>
          <t>111-7323965-2588224</t>
        </is>
      </c>
      <c r="G2497" s="10" t="n"/>
      <c r="H2497" s="9" t="inlineStr">
        <is>
          <t>CO Retail Delivery Fees</t>
        </is>
      </c>
      <c r="I2497" s="9" t="n">
        <v>2</v>
      </c>
      <c r="J2497" s="9" t="inlineStr">
        <is>
          <t>cnt</t>
        </is>
      </c>
      <c r="K2497" s="9" t="n">
        <v>0.28</v>
      </c>
    </row>
    <row r="2498" ht="15" customFormat="1" customHeight="1" s="5">
      <c r="A2498" s="81" t="n">
        <v>45842</v>
      </c>
      <c r="B2498" s="82" t="n">
        <v>0.2916666666666667</v>
      </c>
      <c r="C2498" s="5" t="inlineStr">
        <is>
          <t>Amazon</t>
        </is>
      </c>
      <c r="D2498" s="5" t="n">
        <v>1</v>
      </c>
      <c r="F2498" s="6" t="inlineStr">
        <is>
          <t>111-7323965-2588224</t>
        </is>
      </c>
      <c r="G2498" s="10" t="n"/>
      <c r="H2498" s="9" t="inlineStr">
        <is>
          <t>Mary Wu Treat!</t>
        </is>
      </c>
      <c r="I2498" s="9" t="n">
        <v>2</v>
      </c>
      <c r="J2498" s="9" t="inlineStr">
        <is>
          <t>cnt</t>
        </is>
      </c>
      <c r="K2498" s="9" t="n">
        <v>-22.9</v>
      </c>
    </row>
    <row r="2499" ht="15" customFormat="1" customHeight="1" s="5">
      <c r="A2499" s="79" t="n">
        <v>45842</v>
      </c>
      <c r="B2499" s="78" t="n">
        <v>0.2916666666666667</v>
      </c>
      <c r="C2499" s="35" t="inlineStr">
        <is>
          <t>BELLA Health + Wellness</t>
        </is>
      </c>
      <c r="D2499" s="35" t="n">
        <v>1</v>
      </c>
      <c r="E2499" s="35" t="n"/>
      <c r="F2499" s="47" t="inlineStr">
        <is>
          <t>None_FullyCovered</t>
        </is>
      </c>
      <c r="G2499" s="53" t="inlineStr">
        <is>
          <t>2025185BH1537</t>
        </is>
      </c>
      <c r="H2499" s="49" t="inlineStr">
        <is>
          <t>6/27 Lydia 20wk prenatal visit</t>
        </is>
      </c>
      <c r="I2499" s="49" t="n"/>
      <c r="J2499" s="49" t="n"/>
      <c r="K2499" s="49" t="n">
        <v>0</v>
      </c>
    </row>
    <row r="2500" ht="15" customFormat="1" customHeight="1" s="5">
      <c r="A2500" s="81" t="n">
        <v>45841</v>
      </c>
      <c r="B2500" s="82" t="n">
        <v>0.6458333333333334</v>
      </c>
      <c r="C2500" s="5" t="inlineStr">
        <is>
          <t>Safeway</t>
        </is>
      </c>
      <c r="E2500" s="5" t="n">
        <v>1</v>
      </c>
      <c r="F2500" s="6" t="inlineStr">
        <is>
          <t>2612 51 103 8851</t>
        </is>
      </c>
      <c r="G2500" s="15" t="inlineStr">
        <is>
          <t>19764429817</t>
        </is>
      </c>
      <c r="H2500" s="9" t="inlineStr">
        <is>
          <t>Cravings Cake Mix Heavenly Coconut Key Lime 18oz, Krissy Teagan</t>
        </is>
      </c>
      <c r="I2500" s="9" t="n">
        <v>18</v>
      </c>
      <c r="J2500" s="9" t="inlineStr">
        <is>
          <t>oz</t>
        </is>
      </c>
      <c r="K2500" s="9" t="n">
        <v>8.99</v>
      </c>
    </row>
    <row r="2501" ht="15" customFormat="1" customHeight="1" s="5">
      <c r="A2501" s="81" t="n">
        <v>45841</v>
      </c>
      <c r="B2501" s="82" t="n">
        <v>0.6458333333333334</v>
      </c>
      <c r="C2501" s="5" t="inlineStr">
        <is>
          <t>Safeway</t>
        </is>
      </c>
      <c r="E2501" s="5" t="n">
        <v>1</v>
      </c>
      <c r="F2501" s="6" t="inlineStr">
        <is>
          <t>2612 51 103 8851</t>
        </is>
      </c>
      <c r="G2501" s="15" t="inlineStr">
        <is>
          <t>2113007211</t>
        </is>
      </c>
      <c r="H2501" s="9" t="inlineStr">
        <is>
          <t>Lucerne Whipping Cream Heavy Ultra Pasteurized</t>
        </is>
      </c>
      <c r="I2501" s="9" t="n">
        <v>32</v>
      </c>
      <c r="J2501" s="9" t="inlineStr">
        <is>
          <t>fl oz</t>
        </is>
      </c>
      <c r="K2501" s="9" t="n">
        <v>5.99</v>
      </c>
    </row>
    <row r="2502" ht="15" customFormat="1" customHeight="1" s="5">
      <c r="A2502" s="81" t="n">
        <v>45841</v>
      </c>
      <c r="B2502" s="82" t="n">
        <v>0.6458333333333334</v>
      </c>
      <c r="C2502" s="5" t="inlineStr">
        <is>
          <t>Safeway</t>
        </is>
      </c>
      <c r="E2502" s="5" t="n">
        <v>1</v>
      </c>
      <c r="F2502" s="6" t="inlineStr">
        <is>
          <t>2612 51 103 8851</t>
        </is>
      </c>
      <c r="G2502" s="15" t="inlineStr">
        <is>
          <t>7989315000</t>
        </is>
      </c>
      <c r="H2502" s="9" t="inlineStr">
        <is>
          <t>V CRNR Whole Milk</t>
        </is>
      </c>
      <c r="I2502" s="9" t="n">
        <v>1</v>
      </c>
      <c r="J2502" s="9" t="inlineStr">
        <is>
          <t>gal</t>
        </is>
      </c>
      <c r="K2502" s="9" t="n">
        <v>3.49</v>
      </c>
    </row>
    <row r="2503" ht="15" customFormat="1" customHeight="1" s="5">
      <c r="A2503" s="81" t="n">
        <v>45841</v>
      </c>
      <c r="B2503" s="82" t="n">
        <v>0.6458333333333334</v>
      </c>
      <c r="C2503" s="5" t="inlineStr">
        <is>
          <t>Safeway</t>
        </is>
      </c>
      <c r="E2503" s="5" t="n">
        <v>1</v>
      </c>
      <c r="F2503" s="6" t="inlineStr">
        <is>
          <t>2612 51 103 8851</t>
        </is>
      </c>
      <c r="G2503" s="15" t="inlineStr">
        <is>
          <t>2113098336</t>
        </is>
      </c>
      <c r="H2503" s="9" t="inlineStr">
        <is>
          <t>Signature Select/farms Baby Peeled Carrots 2lb</t>
        </is>
      </c>
      <c r="I2503" s="9" t="n">
        <v>2</v>
      </c>
      <c r="J2503" s="9" t="inlineStr">
        <is>
          <t>lb</t>
        </is>
      </c>
      <c r="K2503" s="9" t="n">
        <v>2.69</v>
      </c>
    </row>
    <row r="2504" ht="15" customFormat="1" customHeight="1" s="5">
      <c r="A2504" s="81" t="n">
        <v>45841</v>
      </c>
      <c r="B2504" s="82" t="n">
        <v>0.6458333333333334</v>
      </c>
      <c r="C2504" s="5" t="inlineStr">
        <is>
          <t>Safeway</t>
        </is>
      </c>
      <c r="E2504" s="5" t="n">
        <v>1</v>
      </c>
      <c r="F2504" s="6" t="inlineStr">
        <is>
          <t>2612 51 103 8851</t>
        </is>
      </c>
      <c r="G2504" s="15" t="inlineStr">
        <is>
          <t>81588701038</t>
        </is>
      </c>
      <c r="H2504" s="9" t="inlineStr">
        <is>
          <t>Blueberries 6 oz</t>
        </is>
      </c>
      <c r="I2504" s="9" t="n">
        <v>6</v>
      </c>
      <c r="J2504" s="9" t="inlineStr">
        <is>
          <t>oz</t>
        </is>
      </c>
      <c r="K2504" s="9" t="n">
        <v>3.49</v>
      </c>
    </row>
    <row r="2505" ht="15" customFormat="1" customHeight="1" s="5">
      <c r="A2505" s="81" t="n">
        <v>45841</v>
      </c>
      <c r="B2505" s="82" t="n">
        <v>0.6458333333333334</v>
      </c>
      <c r="C2505" s="5" t="inlineStr">
        <is>
          <t>Safeway</t>
        </is>
      </c>
      <c r="E2505" s="5" t="n">
        <v>1</v>
      </c>
      <c r="F2505" s="6" t="inlineStr">
        <is>
          <t>2612 51 103 8851</t>
        </is>
      </c>
      <c r="G2505" s="10" t="n"/>
      <c r="H2505" s="9" t="inlineStr">
        <is>
          <t>**DISCOUNT** Member Savings</t>
        </is>
      </c>
      <c r="I2505" s="9" t="n">
        <v>1</v>
      </c>
      <c r="J2505" s="9" t="inlineStr">
        <is>
          <t>cnt</t>
        </is>
      </c>
      <c r="K2505" s="9" t="n">
        <v>-0.5</v>
      </c>
    </row>
    <row r="2506" ht="15" customFormat="1" customHeight="1" s="5">
      <c r="A2506" s="81" t="n">
        <v>45841</v>
      </c>
      <c r="B2506" s="82" t="n">
        <v>0.4291666666666666</v>
      </c>
      <c r="C2506" s="5" t="inlineStr">
        <is>
          <t>Walmart</t>
        </is>
      </c>
      <c r="D2506" s="5" t="n">
        <v>1</v>
      </c>
      <c r="F2506" s="6" t="inlineStr">
        <is>
          <t>2000131-69132951</t>
        </is>
      </c>
      <c r="G2506" s="10" t="n"/>
      <c r="H2506" s="9" t="inlineStr">
        <is>
          <t>Great Value, No Salt Added, Canned Black Beans, 15 oz Can Multipack Quantity: 1 6.1¢/oz</t>
        </is>
      </c>
      <c r="I2506" s="9" t="n">
        <v>15</v>
      </c>
      <c r="J2506" s="9" t="inlineStr">
        <is>
          <t>oz</t>
        </is>
      </c>
      <c r="K2506" s="9" t="n">
        <v>0.92</v>
      </c>
    </row>
    <row r="2507" ht="15" customFormat="1" customHeight="1" s="5">
      <c r="A2507" s="81" t="n">
        <v>45841</v>
      </c>
      <c r="B2507" s="82" t="n">
        <v>0.4291666666666666</v>
      </c>
      <c r="C2507" s="5" t="inlineStr">
        <is>
          <t>Walmart</t>
        </is>
      </c>
      <c r="D2507" s="5" t="n">
        <v>1</v>
      </c>
      <c r="F2507" s="6" t="inlineStr">
        <is>
          <t>2000131-69132951</t>
        </is>
      </c>
      <c r="G2507" s="10" t="n"/>
      <c r="H2507" s="9" t="inlineStr">
        <is>
          <t>Great Value, No Salt Added, Canned Black Beans, 15 oz Can Multipack Quantity: 1 6.1¢/oz</t>
        </is>
      </c>
      <c r="I2507" s="9" t="n">
        <v>15</v>
      </c>
      <c r="J2507" s="9" t="inlineStr">
        <is>
          <t>oz</t>
        </is>
      </c>
      <c r="K2507" s="9" t="n">
        <v>0.92</v>
      </c>
    </row>
    <row r="2508" ht="15" customFormat="1" customHeight="1" s="5">
      <c r="A2508" s="81" t="n">
        <v>45841</v>
      </c>
      <c r="B2508" s="82" t="n">
        <v>0.4291666666666666</v>
      </c>
      <c r="C2508" s="5" t="inlineStr">
        <is>
          <t>Walmart</t>
        </is>
      </c>
      <c r="D2508" s="5" t="n">
        <v>1</v>
      </c>
      <c r="F2508" s="6" t="inlineStr">
        <is>
          <t>2000131-69132951</t>
        </is>
      </c>
      <c r="G2508" s="10" t="n"/>
      <c r="H2508" s="9" t="inlineStr">
        <is>
          <t>Tabasco Chipotle Pepper Sauce, 5 oz Regular Glass Bottle Containing Liquid Hot Sauce, Gluten Free 71.2¢/fl oz</t>
        </is>
      </c>
      <c r="I2508" s="9" t="n">
        <v>5</v>
      </c>
      <c r="J2508" s="9" t="inlineStr">
        <is>
          <t>oz</t>
        </is>
      </c>
      <c r="K2508" s="9" t="n">
        <v>3.56</v>
      </c>
    </row>
    <row r="2509" ht="15" customFormat="1" customHeight="1" s="5">
      <c r="A2509" s="81" t="n">
        <v>45841</v>
      </c>
      <c r="B2509" s="82" t="n">
        <v>0.4291666666666666</v>
      </c>
      <c r="C2509" s="5" t="inlineStr">
        <is>
          <t>Walmart</t>
        </is>
      </c>
      <c r="D2509" s="5" t="n">
        <v>1</v>
      </c>
      <c r="F2509" s="6" t="inlineStr">
        <is>
          <t>2000131-69132951</t>
        </is>
      </c>
      <c r="G2509" s="10" t="n"/>
      <c r="H2509" s="9" t="inlineStr">
        <is>
          <t>Great Value No Salt Added Golden Sweet Whole Kernel Corn, 15.25 oz 5.1¢/oz</t>
        </is>
      </c>
      <c r="I2509" s="9" t="n">
        <v>15.25</v>
      </c>
      <c r="J2509" s="9" t="inlineStr">
        <is>
          <t>oz</t>
        </is>
      </c>
      <c r="K2509" s="9" t="n">
        <v>0.76</v>
      </c>
    </row>
    <row r="2510" ht="15" customFormat="1" customHeight="1" s="5">
      <c r="A2510" s="81" t="n">
        <v>45841</v>
      </c>
      <c r="B2510" s="82" t="n">
        <v>0.4291666666666666</v>
      </c>
      <c r="C2510" s="5" t="inlineStr">
        <is>
          <t>Walmart</t>
        </is>
      </c>
      <c r="D2510" s="5" t="n">
        <v>1</v>
      </c>
      <c r="F2510" s="6" t="inlineStr">
        <is>
          <t>2000131-69132951</t>
        </is>
      </c>
      <c r="G2510" s="10" t="n"/>
      <c r="H2510" s="9" t="inlineStr">
        <is>
          <t>Great Value No Salt Added Golden Sweet Whole Kernel Corn, 15.25 oz 5.1¢/oz</t>
        </is>
      </c>
      <c r="I2510" s="9" t="n">
        <v>15.25</v>
      </c>
      <c r="J2510" s="9" t="inlineStr">
        <is>
          <t>oz</t>
        </is>
      </c>
      <c r="K2510" s="9" t="n">
        <v>0.76</v>
      </c>
    </row>
    <row r="2511" ht="15" customFormat="1" customHeight="1" s="5">
      <c r="A2511" s="81" t="n">
        <v>45841</v>
      </c>
      <c r="B2511" s="82" t="n">
        <v>0.4291666666666666</v>
      </c>
      <c r="C2511" s="5" t="inlineStr">
        <is>
          <t>Walmart</t>
        </is>
      </c>
      <c r="D2511" s="5" t="n">
        <v>1</v>
      </c>
      <c r="F2511" s="6" t="inlineStr">
        <is>
          <t>2000131-69132951</t>
        </is>
      </c>
      <c r="G2511" s="10" t="n"/>
      <c r="H2511" s="9" t="inlineStr">
        <is>
          <t>Great Value No Salt Added Golden Sweet Whole Kernel Corn, 15.25 oz 5.1¢/oz</t>
        </is>
      </c>
      <c r="I2511" s="9" t="n">
        <v>15.25</v>
      </c>
      <c r="J2511" s="9" t="inlineStr">
        <is>
          <t>oz</t>
        </is>
      </c>
      <c r="K2511" s="9" t="n">
        <v>0.76</v>
      </c>
    </row>
    <row r="2512" ht="15" customFormat="1" customHeight="1" s="5">
      <c r="A2512" s="81" t="n">
        <v>45841</v>
      </c>
      <c r="B2512" s="82" t="n">
        <v>0.4291666666666666</v>
      </c>
      <c r="C2512" s="5" t="inlineStr">
        <is>
          <t>Walmart</t>
        </is>
      </c>
      <c r="D2512" s="5" t="n">
        <v>1</v>
      </c>
      <c r="F2512" s="6" t="inlineStr">
        <is>
          <t>2000131-69132951</t>
        </is>
      </c>
      <c r="G2512" s="10" t="n"/>
      <c r="H2512" s="9" t="inlineStr">
        <is>
          <t>Undelivered items</t>
        </is>
      </c>
      <c r="I2512" s="9" t="n">
        <v>6</v>
      </c>
      <c r="J2512" s="9" t="inlineStr">
        <is>
          <t>cnt</t>
        </is>
      </c>
      <c r="K2512" s="9">
        <f>2.4+3.23+0.64+2.47+0.64+2.93</f>
        <v/>
      </c>
    </row>
    <row r="2513" ht="15" customFormat="1" customHeight="1" s="5">
      <c r="A2513" s="81" t="n">
        <v>45841</v>
      </c>
      <c r="B2513" s="82" t="n">
        <v>0.4291666666666666</v>
      </c>
      <c r="C2513" s="5" t="inlineStr">
        <is>
          <t>Walmart</t>
        </is>
      </c>
      <c r="D2513" s="5" t="n">
        <v>1</v>
      </c>
      <c r="F2513" s="6" t="inlineStr">
        <is>
          <t>2000131-69132951</t>
        </is>
      </c>
      <c r="G2513" s="45" t="inlineStr">
        <is>
          <t>E88PG3J5953WVE0000004  1R E88PG3J5953WVE000000C  08</t>
        </is>
      </c>
      <c r="H2513" s="9" t="inlineStr">
        <is>
          <t>**REFUNDED** Undelivered items</t>
        </is>
      </c>
      <c r="I2513" s="9" t="n">
        <v>6</v>
      </c>
      <c r="J2513" s="9" t="inlineStr">
        <is>
          <t>cnt</t>
        </is>
      </c>
      <c r="K2513" s="9" t="n">
        <v>-12.31</v>
      </c>
    </row>
    <row r="2514" ht="15" customFormat="1" customHeight="1" s="5">
      <c r="A2514" s="81" t="n">
        <v>45841</v>
      </c>
      <c r="B2514" s="82" t="n">
        <v>0.4291666666666666</v>
      </c>
      <c r="C2514" s="5" t="inlineStr">
        <is>
          <t>Walmart</t>
        </is>
      </c>
      <c r="D2514" s="5" t="n">
        <v>1</v>
      </c>
      <c r="F2514" s="6" t="inlineStr">
        <is>
          <t>2000131-69132951</t>
        </is>
      </c>
      <c r="G2514" s="10" t="n"/>
      <c r="H2514" s="9" t="inlineStr">
        <is>
          <t>Dawn Platinum Dish Soap Liquid, Dishwashing Liquid, Grease Removal, Fresh Rain, 32.7oz 17.9¢/fl oz</t>
        </is>
      </c>
      <c r="I2514" s="9" t="n">
        <v>32.7</v>
      </c>
      <c r="J2514" s="9" t="inlineStr">
        <is>
          <t>oz</t>
        </is>
      </c>
      <c r="K2514" s="9" t="n">
        <v>5.84</v>
      </c>
    </row>
    <row r="2515" ht="15" customFormat="1" customHeight="1" s="5">
      <c r="A2515" s="81" t="n">
        <v>45841</v>
      </c>
      <c r="B2515" s="82" t="n">
        <v>0.4291666666666666</v>
      </c>
      <c r="C2515" s="5" t="inlineStr">
        <is>
          <t>Walmart</t>
        </is>
      </c>
      <c r="D2515" s="5" t="n">
        <v>1</v>
      </c>
      <c r="F2515" s="6" t="inlineStr">
        <is>
          <t>2000131-69132951</t>
        </is>
      </c>
      <c r="G2515" s="10" t="n"/>
      <c r="H2515" s="9" t="inlineStr">
        <is>
          <t>Tax and regulatory fees</t>
        </is>
      </c>
      <c r="I2515" s="9" t="n">
        <v>11</v>
      </c>
      <c r="J2515" s="9" t="inlineStr">
        <is>
          <t>cnt</t>
        </is>
      </c>
      <c r="K2515" s="9" t="n">
        <v>0.28</v>
      </c>
    </row>
    <row r="2516" ht="15" customFormat="1" customHeight="1" s="5">
      <c r="A2516" s="81" t="n">
        <v>45841</v>
      </c>
      <c r="B2516" s="82" t="n">
        <v>0.4291666666666666</v>
      </c>
      <c r="C2516" s="5" t="inlineStr">
        <is>
          <t>Walmart</t>
        </is>
      </c>
      <c r="D2516" s="5" t="n">
        <v>1</v>
      </c>
      <c r="F2516" s="6" t="inlineStr">
        <is>
          <t>2000131-69132951</t>
        </is>
      </c>
      <c r="G2516" s="10" t="n"/>
      <c r="H2516" s="9" t="inlineStr">
        <is>
          <t>Tax</t>
        </is>
      </c>
      <c r="I2516" s="9" t="n">
        <v>11</v>
      </c>
      <c r="J2516" s="9" t="inlineStr">
        <is>
          <t>cnt</t>
        </is>
      </c>
      <c r="K2516" s="9" t="n">
        <v>0.47</v>
      </c>
    </row>
    <row r="2517" ht="15" customFormat="1" customHeight="1" s="5">
      <c r="A2517" s="81" t="n">
        <v>45841</v>
      </c>
      <c r="B2517" s="82" t="n">
        <v>0.4291666666666666</v>
      </c>
      <c r="C2517" s="5" t="inlineStr">
        <is>
          <t>Walmart</t>
        </is>
      </c>
      <c r="D2517" s="5" t="n">
        <v>1</v>
      </c>
      <c r="F2517" s="6" t="inlineStr">
        <is>
          <t>2000131-69132951</t>
        </is>
      </c>
      <c r="G2517" s="10" t="n"/>
      <c r="H2517" s="9" t="inlineStr">
        <is>
          <t>Butternut Squash, each $1.54/lb</t>
        </is>
      </c>
      <c r="I2517" s="9" t="n">
        <v>3.2</v>
      </c>
      <c r="J2517" s="9" t="inlineStr">
        <is>
          <t>lb</t>
        </is>
      </c>
      <c r="K2517" s="9" t="n">
        <v>4.93</v>
      </c>
    </row>
    <row r="2518" ht="15" customFormat="1" customHeight="1" s="5">
      <c r="A2518" s="81" t="n">
        <v>45841</v>
      </c>
      <c r="B2518" s="82" t="n">
        <v>0.4291666666666666</v>
      </c>
      <c r="C2518" s="5" t="inlineStr">
        <is>
          <t>Walmart</t>
        </is>
      </c>
      <c r="D2518" s="5" t="n">
        <v>1</v>
      </c>
      <c r="F2518" s="6" t="inlineStr">
        <is>
          <t>2000131-69132951</t>
        </is>
      </c>
      <c r="G2518" s="10" t="n"/>
      <c r="H2518" s="9" t="inlineStr">
        <is>
          <t>Great Value, No Salt Added, Canned Black Beans, 15 oz Can Multipack Quantity: 1 6.1¢/oz</t>
        </is>
      </c>
      <c r="I2518" s="9" t="n">
        <v>15</v>
      </c>
      <c r="J2518" s="9" t="inlineStr">
        <is>
          <t>oz</t>
        </is>
      </c>
      <c r="K2518" s="9" t="n">
        <v>0.92</v>
      </c>
    </row>
    <row r="2519" ht="15" customFormat="1" customHeight="1" s="5">
      <c r="A2519" s="81" t="n">
        <v>45841</v>
      </c>
      <c r="B2519" s="82" t="n">
        <v>0.4291666666666666</v>
      </c>
      <c r="C2519" s="5" t="inlineStr">
        <is>
          <t>Walmart</t>
        </is>
      </c>
      <c r="D2519" s="5" t="n">
        <v>1</v>
      </c>
      <c r="F2519" s="6" t="inlineStr">
        <is>
          <t>2000131-69132951</t>
        </is>
      </c>
      <c r="G2519" s="10" t="n"/>
      <c r="H2519" s="9" t="inlineStr">
        <is>
          <t>Great Value Sweet Peas, 32 oz Bag (Frozen) 7.1¢/oz</t>
        </is>
      </c>
      <c r="I2519" s="9" t="n">
        <v>32</v>
      </c>
      <c r="J2519" s="9" t="inlineStr">
        <is>
          <t>oz</t>
        </is>
      </c>
      <c r="K2519" s="9" t="n">
        <v>2.28</v>
      </c>
    </row>
    <row r="2520" ht="15" customFormat="1" customHeight="1" s="5">
      <c r="A2520" s="81" t="n">
        <v>45841</v>
      </c>
      <c r="B2520" s="82" t="n">
        <v>0.4291666666666666</v>
      </c>
      <c r="C2520" s="5" t="inlineStr">
        <is>
          <t>Walmart</t>
        </is>
      </c>
      <c r="D2520" s="5" t="n">
        <v>1</v>
      </c>
      <c r="F2520" s="6" t="inlineStr">
        <is>
          <t>2000131-69132951</t>
        </is>
      </c>
      <c r="G2520" s="10" t="n"/>
      <c r="H2520" s="9" t="inlineStr">
        <is>
          <t>Great Value Sweet Peas, 32 oz Bag (Frozen) 7.1¢/oz</t>
        </is>
      </c>
      <c r="I2520" s="9" t="n">
        <v>32</v>
      </c>
      <c r="J2520" s="9" t="inlineStr">
        <is>
          <t>oz</t>
        </is>
      </c>
      <c r="K2520" s="9" t="n">
        <v>2.28</v>
      </c>
    </row>
    <row r="2521" ht="15" customFormat="1" customHeight="1" s="5">
      <c r="A2521" s="81" t="n">
        <v>45841</v>
      </c>
      <c r="B2521" s="82" t="n">
        <v>0.2916666666666667</v>
      </c>
      <c r="C2521" s="5" t="inlineStr">
        <is>
          <t>YMCA</t>
        </is>
      </c>
      <c r="D2521" s="5" t="n">
        <v>1</v>
      </c>
      <c r="F2521" s="6" t="n"/>
      <c r="G2521" s="15" t="inlineStr">
        <is>
          <t>24207175</t>
        </is>
      </c>
      <c r="H2521" s="9" t="inlineStr">
        <is>
          <t>July YMCA monthly dues</t>
        </is>
      </c>
      <c r="I2521" s="9" t="n"/>
      <c r="J2521" s="9" t="n"/>
      <c r="K2521" s="9" t="n">
        <v>65</v>
      </c>
    </row>
    <row r="2522" ht="15" customFormat="1" customHeight="1" s="5">
      <c r="A2522" s="81" t="n">
        <v>45839</v>
      </c>
      <c r="B2522" s="82" t="n">
        <v>0.8541666666666666</v>
      </c>
      <c r="C2522" s="5" t="inlineStr">
        <is>
          <t>PayPal</t>
        </is>
      </c>
      <c r="D2522" s="5" t="n">
        <v>1</v>
      </c>
      <c r="F2522" s="6" t="inlineStr">
        <is>
          <t>5X6944148Y687101G</t>
        </is>
      </c>
      <c r="G2522" s="17" t="n"/>
      <c r="H2522" s="9" t="inlineStr">
        <is>
          <t>Doula Payment 1/4</t>
        </is>
      </c>
      <c r="K2522" s="5" t="n">
        <v>500</v>
      </c>
    </row>
    <row r="2523" ht="15" customFormat="1" customHeight="1" s="5">
      <c r="A2523" s="81" t="n">
        <v>45839</v>
      </c>
      <c r="B2523" s="82" t="n">
        <v>0.85</v>
      </c>
      <c r="C2523" s="5" t="inlineStr">
        <is>
          <t>Costco</t>
        </is>
      </c>
      <c r="E2523" s="5" t="n">
        <v>1</v>
      </c>
      <c r="F2523" s="6" t="inlineStr">
        <is>
          <t>49979</t>
        </is>
      </c>
      <c r="G2523" s="15" t="inlineStr">
        <is>
          <t>1</t>
        </is>
      </c>
      <c r="H2523" s="9" t="inlineStr">
        <is>
          <t>Kawi Gas 3.130 Gallons @$2.649/gal</t>
        </is>
      </c>
      <c r="I2523" s="9" t="n">
        <v>3.13</v>
      </c>
      <c r="J2523" s="9" t="inlineStr">
        <is>
          <t>gal</t>
        </is>
      </c>
      <c r="K2523" s="9" t="n">
        <v>8.289999999999999</v>
      </c>
    </row>
    <row r="2524" ht="15" customFormat="1" customHeight="1" s="5">
      <c r="A2524" s="81" t="n">
        <v>45839</v>
      </c>
      <c r="B2524" s="82" t="n">
        <v>0.6277777777777778</v>
      </c>
      <c r="C2524" s="5" t="inlineStr">
        <is>
          <t>Tyndall Green</t>
        </is>
      </c>
      <c r="D2524" s="5" t="n">
        <v>1</v>
      </c>
      <c r="F2524" s="6" t="inlineStr">
        <is>
          <t>386457334</t>
        </is>
      </c>
      <c r="G2524" s="7" t="n"/>
      <c r="H2524" s="9" t="inlineStr">
        <is>
          <t>HOA Tyndall Green Jun Payment</t>
        </is>
      </c>
      <c r="I2524" s="9" t="n"/>
      <c r="J2524" s="9" t="n"/>
      <c r="K2524" s="9" t="n">
        <v>331.12</v>
      </c>
    </row>
    <row r="2525" ht="15" customFormat="1" customHeight="1" s="5">
      <c r="A2525" s="81" t="n">
        <v>45839</v>
      </c>
      <c r="B2525" s="82" t="n">
        <v>0.5333333333333333</v>
      </c>
      <c r="C2525" s="5" t="inlineStr">
        <is>
          <t>Costco</t>
        </is>
      </c>
      <c r="D2525" s="5" t="n">
        <v>1</v>
      </c>
      <c r="F2525" s="6" t="n"/>
      <c r="G2525" s="10" t="n"/>
      <c r="H2525" s="9" t="inlineStr">
        <is>
          <t>Executive Membership Fees</t>
        </is>
      </c>
      <c r="I2525" s="9" t="n">
        <v>1</v>
      </c>
      <c r="J2525" s="9" t="inlineStr">
        <is>
          <t>cnt</t>
        </is>
      </c>
      <c r="K2525" s="9" t="n">
        <v>130</v>
      </c>
    </row>
    <row r="2526" ht="15" customFormat="1" customHeight="1" s="5">
      <c r="A2526" s="81" t="n">
        <v>45839</v>
      </c>
      <c r="B2526" s="82" t="n">
        <v>0.4819444444444445</v>
      </c>
      <c r="C2526" s="5" t="inlineStr">
        <is>
          <t>House Denver</t>
        </is>
      </c>
      <c r="D2526" s="5" t="n">
        <v>1</v>
      </c>
      <c r="F2526" s="6" t="n">
        <v>53852722946</v>
      </c>
      <c r="G2526" s="10" t="n"/>
      <c r="H2526" s="9" t="inlineStr">
        <is>
          <t>Monthly overflow chunk of 2025 tithe bunched into 2024. This transaction was actually made on 12/31/25, but it is logged against 2025 budget.</t>
        </is>
      </c>
      <c r="I2526" s="9" t="n"/>
      <c r="J2526" s="9" t="n"/>
      <c r="K2526" s="9">
        <f>(9500-8750.43)/12</f>
        <v/>
      </c>
    </row>
    <row r="2527" ht="15" customFormat="1" customHeight="1" s="5">
      <c r="A2527" s="81" t="n">
        <v>45839</v>
      </c>
      <c r="B2527" s="82" t="n">
        <v>0.4819444444444445</v>
      </c>
      <c r="C2527" s="5" t="inlineStr">
        <is>
          <t>House Denver</t>
        </is>
      </c>
      <c r="D2527" s="5" t="n">
        <v>1</v>
      </c>
      <c r="F2527" s="6" t="n">
        <v>53852722946</v>
      </c>
      <c r="G2527" s="10" t="n"/>
      <c r="H2527" s="9" t="inlineStr">
        <is>
          <t>Monthly chunk of 2025 tithe bunched into 2024. This transaction was actually made on 12/31/25, but it is logged against 2025 budget.</t>
        </is>
      </c>
      <c r="I2527" s="9" t="n"/>
      <c r="J2527" s="9" t="n"/>
      <c r="K2527" s="9" t="n">
        <v>628.3222669733376</v>
      </c>
    </row>
    <row r="2528" ht="15" customFormat="1" customHeight="1" s="5">
      <c r="A2528" s="81" t="n">
        <v>45839</v>
      </c>
      <c r="B2528" s="82" t="n">
        <v>0.2916666666666667</v>
      </c>
      <c r="C2528" s="5" t="inlineStr">
        <is>
          <t>Lakeview Mortgage (??)</t>
        </is>
      </c>
      <c r="D2528" s="5" t="n">
        <v>1</v>
      </c>
      <c r="F2528" s="6" t="inlineStr">
        <is>
          <t>0068721927_04</t>
        </is>
      </c>
      <c r="G2528" s="10" t="n"/>
      <c r="H2528" s="9" t="inlineStr">
        <is>
          <t>Interest</t>
        </is>
      </c>
      <c r="I2528" s="9" t="n"/>
      <c r="J2528" s="9" t="n"/>
      <c r="K2528" s="9" t="n">
        <v>1163.96</v>
      </c>
    </row>
    <row r="2529" ht="15" customFormat="1" customHeight="1" s="5">
      <c r="A2529" s="81" t="n">
        <v>45839</v>
      </c>
      <c r="B2529" s="82" t="n">
        <v>0.2916666666666667</v>
      </c>
      <c r="C2529" s="5" t="inlineStr">
        <is>
          <t>Lakeview Mortgage (??)</t>
        </is>
      </c>
      <c r="D2529" s="5" t="n">
        <v>1</v>
      </c>
      <c r="F2529" s="6" t="inlineStr">
        <is>
          <t>0068721927_04</t>
        </is>
      </c>
      <c r="G2529" s="10" t="n"/>
      <c r="H2529" s="9" t="inlineStr">
        <is>
          <t>Principal</t>
        </is>
      </c>
      <c r="I2529" s="9" t="n"/>
      <c r="J2529" s="9" t="n"/>
      <c r="K2529" s="9" t="n">
        <v>250.52</v>
      </c>
    </row>
    <row r="2530" ht="15" customFormat="1" customHeight="1" s="5">
      <c r="A2530" s="81" t="n">
        <v>45839</v>
      </c>
      <c r="B2530" s="82" t="n">
        <v>0.2916666666666667</v>
      </c>
      <c r="C2530" s="5" t="inlineStr">
        <is>
          <t>Lakeview Mortgage (??)</t>
        </is>
      </c>
      <c r="D2530" s="5" t="n">
        <v>1</v>
      </c>
      <c r="F2530" s="6" t="inlineStr">
        <is>
          <t>0068721927_04</t>
        </is>
      </c>
      <c r="G2530" s="10" t="n"/>
      <c r="H2530" s="9" t="inlineStr">
        <is>
          <t>Taxes and Insurance ESCROW</t>
        </is>
      </c>
      <c r="I2530" s="9" t="n"/>
      <c r="J2530" s="9" t="n"/>
      <c r="K2530" s="9" t="n">
        <v>156.8</v>
      </c>
    </row>
    <row r="2531" ht="15" customFormat="1" customHeight="1" s="5">
      <c r="A2531" s="81" t="n">
        <v>45839</v>
      </c>
      <c r="B2531" s="82" t="n">
        <v>0.2916666666666667</v>
      </c>
      <c r="C2531" s="5" t="inlineStr">
        <is>
          <t>USAA</t>
        </is>
      </c>
      <c r="D2531" s="5" t="n">
        <v>1</v>
      </c>
      <c r="F2531" s="6" t="inlineStr">
        <is>
          <t>24492165182100021562438</t>
        </is>
      </c>
      <c r="G2531" s="10" t="n"/>
      <c r="H2531" s="9" t="inlineStr">
        <is>
          <t>Ring insurance</t>
        </is>
      </c>
      <c r="I2531" s="9" t="n">
        <v>1</v>
      </c>
      <c r="J2531" s="9" t="inlineStr">
        <is>
          <t>cnt</t>
        </is>
      </c>
      <c r="K2531" s="9" t="n">
        <v>14</v>
      </c>
    </row>
    <row r="2532" ht="15" customFormat="1" customHeight="1" s="5">
      <c r="A2532" s="81" t="n">
        <v>45838</v>
      </c>
      <c r="B2532" s="82" t="n">
        <v>0.5263888888888889</v>
      </c>
      <c r="C2532" s="5" t="inlineStr">
        <is>
          <t>Intermountain Health</t>
        </is>
      </c>
      <c r="D2532" s="5" t="n">
        <v>1</v>
      </c>
      <c r="F2532" s="6" t="inlineStr">
        <is>
          <t>246464303</t>
        </is>
      </c>
      <c r="G2532" s="10" t="n"/>
      <c r="H2532" s="18" t="inlineStr">
        <is>
          <t>1 x CPR &amp; Baby Safe - 7/19/2025 1:30 PM</t>
        </is>
      </c>
      <c r="I2532" s="9" t="n"/>
      <c r="J2532" s="9" t="n"/>
      <c r="K2532" s="9" t="n">
        <v>35</v>
      </c>
    </row>
    <row r="2533" ht="15" customFormat="1" customHeight="1" s="5">
      <c r="A2533" s="81" t="n">
        <v>45838</v>
      </c>
      <c r="B2533" s="82" t="n">
        <v>0.4041666666666667</v>
      </c>
      <c r="C2533" s="5" t="inlineStr">
        <is>
          <t>Costco</t>
        </is>
      </c>
      <c r="E2533" s="5" t="n">
        <v>1</v>
      </c>
      <c r="F2533" s="6" t="inlineStr">
        <is>
          <t>439 204 8 704</t>
        </is>
      </c>
      <c r="G2533" s="17" t="inlineStr">
        <is>
          <t>1846732</t>
        </is>
      </c>
      <c r="H2533" s="9" t="inlineStr">
        <is>
          <t>32-degrees Cool Pill On Shorts Pink Large</t>
        </is>
      </c>
      <c r="I2533" s="5" t="n">
        <v>1</v>
      </c>
      <c r="J2533" s="5" t="inlineStr">
        <is>
          <t>cnt</t>
        </is>
      </c>
      <c r="K2533" s="5" t="inlineStr">
        <is>
          <t>9.99 A</t>
        </is>
      </c>
    </row>
    <row r="2534" ht="15" customFormat="1" customHeight="1" s="5">
      <c r="A2534" s="81" t="n">
        <v>45838</v>
      </c>
      <c r="B2534" s="82" t="n">
        <v>0.4041666666666667</v>
      </c>
      <c r="C2534" s="5" t="inlineStr">
        <is>
          <t>Costco</t>
        </is>
      </c>
      <c r="E2534" s="5" t="n">
        <v>1</v>
      </c>
      <c r="F2534" s="6" t="inlineStr">
        <is>
          <t>439 204 8 704</t>
        </is>
      </c>
      <c r="G2534" s="17" t="n"/>
      <c r="H2534" s="9" t="inlineStr">
        <is>
          <t>TAX A 8.00%</t>
        </is>
      </c>
      <c r="I2534" s="5" t="n">
        <v>2</v>
      </c>
      <c r="J2534" s="5" t="inlineStr">
        <is>
          <t>cnt</t>
        </is>
      </c>
      <c r="K2534" s="5" t="n">
        <v>2.16</v>
      </c>
    </row>
    <row r="2535" ht="15" customFormat="1" customHeight="1" s="5">
      <c r="A2535" s="81" t="n">
        <v>45838</v>
      </c>
      <c r="B2535" s="82" t="n">
        <v>0.4041666666666667</v>
      </c>
      <c r="C2535" s="5" t="inlineStr">
        <is>
          <t>Costco</t>
        </is>
      </c>
      <c r="E2535" s="5" t="n">
        <v>1</v>
      </c>
      <c r="F2535" s="6" t="inlineStr">
        <is>
          <t>439 204 8 704</t>
        </is>
      </c>
      <c r="G2535" s="17" t="inlineStr">
        <is>
          <t>1089787</t>
        </is>
      </c>
      <c r="H2535" s="9" t="inlineStr">
        <is>
          <t>KS Trash Bags 200 cnt Flex-Tech 13-gallon</t>
        </is>
      </c>
      <c r="I2535" s="5" t="n">
        <v>200</v>
      </c>
      <c r="J2535" s="5" t="inlineStr">
        <is>
          <t>cnt</t>
        </is>
      </c>
      <c r="K2535" s="5" t="inlineStr">
        <is>
          <t>16.99 A</t>
        </is>
      </c>
    </row>
    <row r="2536" ht="15" customFormat="1" customHeight="1" s="5">
      <c r="A2536" s="81" t="n">
        <v>45838</v>
      </c>
      <c r="B2536" s="82" t="n">
        <v>0.2916666666666667</v>
      </c>
      <c r="C2536" s="5" t="inlineStr">
        <is>
          <t>Amazon</t>
        </is>
      </c>
      <c r="D2536" s="5" t="n">
        <v>1</v>
      </c>
      <c r="F2536" s="6" t="inlineStr">
        <is>
          <t>111-5039958-8900213</t>
        </is>
      </c>
      <c r="G2536" s="10" t="n"/>
      <c r="H2536" s="18" t="inlineStr">
        <is>
          <t>Nature's Way Organic MCT Oil, 16 Fl Oz, Brain and Body Fuel from Coconuts*, C8 Caprylic Acid and C10 Capric Acid, Keto and Paleo Certified, Organic, Non-GMO Project Verified
Sold by: Amazon.com</t>
        </is>
      </c>
      <c r="I2536" s="9" t="n">
        <v>16</v>
      </c>
      <c r="J2536" s="9" t="inlineStr">
        <is>
          <t>fl oz</t>
        </is>
      </c>
      <c r="K2536" s="9" t="n">
        <v>13.86</v>
      </c>
    </row>
    <row r="2537" ht="15" customFormat="1" customHeight="1" s="5">
      <c r="A2537" s="81" t="n">
        <v>45838</v>
      </c>
      <c r="B2537" s="82" t="n">
        <v>0.2916666666666667</v>
      </c>
      <c r="C2537" s="5" t="inlineStr">
        <is>
          <t>Amazon</t>
        </is>
      </c>
      <c r="D2537" s="5" t="n">
        <v>1</v>
      </c>
      <c r="F2537" s="6" t="inlineStr">
        <is>
          <t>111-5039958-8900213</t>
        </is>
      </c>
      <c r="G2537" s="10" t="n"/>
      <c r="H2537" s="9" t="inlineStr">
        <is>
          <t>Tax</t>
        </is>
      </c>
      <c r="I2537" s="9" t="n">
        <v>16</v>
      </c>
      <c r="J2537" s="9" t="inlineStr">
        <is>
          <t>fl oz</t>
        </is>
      </c>
      <c r="K2537" s="9" t="n">
        <v>1.11</v>
      </c>
    </row>
    <row r="2538" ht="15" customFormat="1" customHeight="1" s="5">
      <c r="A2538" s="81" t="n">
        <v>45838</v>
      </c>
      <c r="B2538" s="82" t="n">
        <v>0.2916666666666667</v>
      </c>
      <c r="C2538" s="5" t="inlineStr">
        <is>
          <t>Amazon</t>
        </is>
      </c>
      <c r="D2538" s="5" t="n">
        <v>1</v>
      </c>
      <c r="F2538" s="6" t="inlineStr">
        <is>
          <t>111-5039958-8900213</t>
        </is>
      </c>
      <c r="G2538" s="10" t="n"/>
      <c r="H2538" s="9" t="inlineStr">
        <is>
          <t>CO Retail Delivery Fees</t>
        </is>
      </c>
      <c r="I2538" s="9" t="n">
        <v>16</v>
      </c>
      <c r="J2538" s="9" t="inlineStr">
        <is>
          <t>fl oz</t>
        </is>
      </c>
      <c r="K2538" s="9" t="n">
        <v>0.29</v>
      </c>
    </row>
    <row r="2539" ht="15" customFormat="1" customHeight="1" s="5">
      <c r="A2539" s="81" t="n">
        <v>45838</v>
      </c>
      <c r="B2539" s="82" t="n">
        <v>0.2916666666666667</v>
      </c>
      <c r="C2539" s="5" t="inlineStr">
        <is>
          <t>Amazon</t>
        </is>
      </c>
      <c r="D2539" s="5" t="n">
        <v>1</v>
      </c>
      <c r="F2539" s="6" t="inlineStr">
        <is>
          <t>111-5039958-8900213</t>
        </is>
      </c>
      <c r="G2539" s="10" t="n"/>
      <c r="H2539" s="9" t="inlineStr">
        <is>
          <t>Joseph Wu Treat!</t>
        </is>
      </c>
      <c r="I2539" s="9" t="n">
        <v>16</v>
      </c>
      <c r="J2539" s="9" t="inlineStr">
        <is>
          <t>fl oz</t>
        </is>
      </c>
      <c r="K2539" s="9" t="n">
        <v>-15.26</v>
      </c>
    </row>
    <row r="2540" ht="15" customFormat="1" customHeight="1" s="5">
      <c r="A2540" s="81" t="n">
        <v>45838</v>
      </c>
      <c r="B2540" s="82" t="n">
        <v>0.2916666666666667</v>
      </c>
      <c r="C2540" s="5" t="inlineStr">
        <is>
          <t>Amazon</t>
        </is>
      </c>
      <c r="D2540" s="5" t="n">
        <v>1</v>
      </c>
      <c r="F2540" s="6" t="inlineStr">
        <is>
          <t>D01-2599602-2576225</t>
        </is>
      </c>
      <c r="G2540" s="17" t="n"/>
      <c r="H2540" s="9" t="inlineStr">
        <is>
          <t>AMAZON PRIME*NQ7D87WO1 Amzn.com/bill WA</t>
        </is>
      </c>
      <c r="I2540" s="5" t="n">
        <v>1</v>
      </c>
      <c r="J2540" s="5" t="inlineStr">
        <is>
          <t>cnt</t>
        </is>
      </c>
      <c r="K2540" s="5" t="n">
        <v>8.09</v>
      </c>
    </row>
    <row r="2541" ht="15" customFormat="1" customHeight="1" s="5">
      <c r="A2541" s="81" t="n">
        <v>45837</v>
      </c>
      <c r="B2541" s="82" t="n">
        <v>0.5506712962962963</v>
      </c>
      <c r="C2541" s="5" t="inlineStr">
        <is>
          <t>Star of India</t>
        </is>
      </c>
      <c r="E2541" s="5" t="n">
        <v>1</v>
      </c>
      <c r="F2541" s="6" t="inlineStr">
        <is>
          <t>006606</t>
        </is>
      </c>
      <c r="G2541" s="17" t="n"/>
      <c r="H2541" s="9" t="inlineStr">
        <is>
          <t>Adult lunch buffet</t>
        </is>
      </c>
      <c r="I2541" s="5" t="n">
        <v>1</v>
      </c>
      <c r="J2541" s="5" t="inlineStr">
        <is>
          <t>cnt</t>
        </is>
      </c>
      <c r="K2541" s="5" t="n">
        <v>17.99</v>
      </c>
    </row>
    <row r="2542" ht="15" customFormat="1" customHeight="1" s="5">
      <c r="A2542" s="81" t="n">
        <v>45837</v>
      </c>
      <c r="B2542" s="82" t="n">
        <v>0.5506712962962963</v>
      </c>
      <c r="C2542" s="5" t="inlineStr">
        <is>
          <t>Star of India</t>
        </is>
      </c>
      <c r="E2542" s="5" t="n">
        <v>1</v>
      </c>
      <c r="F2542" s="6" t="inlineStr">
        <is>
          <t>006607</t>
        </is>
      </c>
      <c r="G2542" s="17" t="n"/>
      <c r="H2542" s="9" t="inlineStr">
        <is>
          <t>Adult lunch buffet</t>
        </is>
      </c>
      <c r="I2542" s="5" t="n">
        <v>1</v>
      </c>
      <c r="J2542" s="5" t="inlineStr">
        <is>
          <t>cnt</t>
        </is>
      </c>
      <c r="K2542" s="5" t="n">
        <v>17.99</v>
      </c>
    </row>
    <row r="2543" ht="15" customFormat="1" customHeight="1" s="5">
      <c r="A2543" s="81" t="n">
        <v>45837</v>
      </c>
      <c r="B2543" s="82" t="n">
        <v>0.5506712962962963</v>
      </c>
      <c r="C2543" s="5" t="inlineStr">
        <is>
          <t>Star of India</t>
        </is>
      </c>
      <c r="E2543" s="5" t="n">
        <v>1</v>
      </c>
      <c r="F2543" s="6" t="inlineStr">
        <is>
          <t>006608</t>
        </is>
      </c>
      <c r="G2543" s="17" t="n"/>
      <c r="H2543" s="9" t="inlineStr">
        <is>
          <t>Tip</t>
        </is>
      </c>
      <c r="I2543" s="5" t="n">
        <v>2</v>
      </c>
      <c r="J2543" s="5" t="inlineStr">
        <is>
          <t>cnt</t>
        </is>
      </c>
      <c r="K2543" s="5" t="n">
        <v>4.97</v>
      </c>
    </row>
    <row r="2544" ht="15" customFormat="1" customHeight="1" s="5">
      <c r="A2544" s="81" t="n">
        <v>45837</v>
      </c>
      <c r="B2544" s="82" t="n">
        <v>0.5506712962962963</v>
      </c>
      <c r="C2544" s="5" t="inlineStr">
        <is>
          <t>Star of India</t>
        </is>
      </c>
      <c r="E2544" s="5" t="n">
        <v>1</v>
      </c>
      <c r="F2544" s="6" t="inlineStr">
        <is>
          <t>006609</t>
        </is>
      </c>
      <c r="G2544" s="17" t="n"/>
      <c r="H2544" s="9" t="inlineStr">
        <is>
          <t>Inflation fee 3.25%</t>
        </is>
      </c>
      <c r="I2544" s="5" t="n">
        <v>2</v>
      </c>
      <c r="J2544" s="5" t="inlineStr">
        <is>
          <t>cnt</t>
        </is>
      </c>
      <c r="K2544" s="5" t="n">
        <v>1.17</v>
      </c>
    </row>
    <row r="2545" ht="15" customFormat="1" customHeight="1" s="5">
      <c r="A2545" s="81" t="n">
        <v>45837</v>
      </c>
      <c r="B2545" s="82" t="n">
        <v>0.5506712962962963</v>
      </c>
      <c r="C2545" s="5" t="inlineStr">
        <is>
          <t>Star of India</t>
        </is>
      </c>
      <c r="E2545" s="5" t="n">
        <v>1</v>
      </c>
      <c r="F2545" s="6" t="inlineStr">
        <is>
          <t>006610</t>
        </is>
      </c>
      <c r="G2545" s="17" t="n"/>
      <c r="H2545" s="9" t="inlineStr">
        <is>
          <t>Sales Tax 8.0%</t>
        </is>
      </c>
      <c r="I2545" s="5" t="n">
        <v>2</v>
      </c>
      <c r="J2545" s="5" t="inlineStr">
        <is>
          <t>cnt</t>
        </is>
      </c>
      <c r="K2545" s="5" t="n">
        <v>2.88</v>
      </c>
    </row>
    <row r="2546" ht="15" customFormat="1" customHeight="1" s="5">
      <c r="A2546" s="81" t="n">
        <v>45836</v>
      </c>
      <c r="B2546" s="82" t="n">
        <v>0.9404861111111111</v>
      </c>
      <c r="C2546" s="5" t="inlineStr">
        <is>
          <t>Royal Crest Dairy</t>
        </is>
      </c>
      <c r="D2546" s="5" t="n">
        <v>1</v>
      </c>
      <c r="F2546" s="6" t="inlineStr">
        <is>
          <t>#17597985</t>
        </is>
      </c>
      <c r="G2546" s="10" t="n"/>
      <c r="H2546" s="9" t="inlineStr">
        <is>
          <t>Gallon of Whole Milk 6/11</t>
        </is>
      </c>
      <c r="I2546" s="9" t="n">
        <v>1</v>
      </c>
      <c r="J2546" s="9" t="inlineStr">
        <is>
          <t>gal</t>
        </is>
      </c>
      <c r="K2546" s="9" t="n">
        <v>6.99</v>
      </c>
    </row>
    <row r="2547" ht="15" customFormat="1" customHeight="1" s="5">
      <c r="A2547" s="81" t="n">
        <v>45836</v>
      </c>
      <c r="B2547" s="82" t="n">
        <v>0.9404861111111111</v>
      </c>
      <c r="C2547" s="5" t="inlineStr">
        <is>
          <t>Royal Crest Dairy</t>
        </is>
      </c>
      <c r="D2547" s="5" t="n">
        <v>1</v>
      </c>
      <c r="F2547" s="6" t="inlineStr">
        <is>
          <t>#17597985</t>
        </is>
      </c>
      <c r="G2547" s="10" t="n"/>
      <c r="H2547" s="9" t="inlineStr">
        <is>
          <t>Milk Box 6/11</t>
        </is>
      </c>
      <c r="I2547" s="9" t="n">
        <v>1</v>
      </c>
      <c r="J2547" s="9" t="inlineStr">
        <is>
          <t>cnt</t>
        </is>
      </c>
      <c r="K2547" s="9" t="n">
        <v>0</v>
      </c>
    </row>
    <row r="2548" ht="15" customFormat="1" customHeight="1" s="5">
      <c r="A2548" s="81" t="n">
        <v>45836</v>
      </c>
      <c r="B2548" s="82" t="n">
        <v>0.9404861111111111</v>
      </c>
      <c r="C2548" s="5" t="inlineStr">
        <is>
          <t>Royal Crest Dairy</t>
        </is>
      </c>
      <c r="D2548" s="5" t="n">
        <v>1</v>
      </c>
      <c r="F2548" s="5" t="inlineStr">
        <is>
          <t>#17597986</t>
        </is>
      </c>
      <c r="G2548" s="10" t="n"/>
      <c r="H2548" s="9" t="inlineStr">
        <is>
          <t>Gallon of Whole Milk 6/18</t>
        </is>
      </c>
      <c r="I2548" s="9" t="n">
        <v>1</v>
      </c>
      <c r="J2548" s="9" t="inlineStr">
        <is>
          <t>gal</t>
        </is>
      </c>
      <c r="K2548" s="9" t="n">
        <v>6.99</v>
      </c>
    </row>
    <row r="2549" ht="15" customFormat="1" customHeight="1" s="5">
      <c r="A2549" s="81" t="n">
        <v>45836</v>
      </c>
      <c r="B2549" s="82" t="n">
        <v>0.9404861111111111</v>
      </c>
      <c r="C2549" s="5" t="inlineStr">
        <is>
          <t>Royal Crest Dairy</t>
        </is>
      </c>
      <c r="D2549" s="5" t="n">
        <v>1</v>
      </c>
      <c r="F2549" s="5" t="inlineStr">
        <is>
          <t>#17597987</t>
        </is>
      </c>
      <c r="G2549" s="10" t="n"/>
      <c r="H2549" s="9" t="inlineStr">
        <is>
          <t>Gallon of Whole Milk 6/25</t>
        </is>
      </c>
      <c r="I2549" s="9" t="n">
        <v>1</v>
      </c>
      <c r="J2549" s="9" t="inlineStr">
        <is>
          <t>gal</t>
        </is>
      </c>
      <c r="K2549" s="9" t="n">
        <v>6.99</v>
      </c>
    </row>
    <row r="2550" ht="15" customFormat="1" customHeight="1" s="5">
      <c r="A2550" s="81" t="n">
        <v>45836</v>
      </c>
      <c r="B2550" s="82" t="n">
        <v>0.9404861111111111</v>
      </c>
      <c r="C2550" s="5" t="inlineStr">
        <is>
          <t>Royal Crest Dairy</t>
        </is>
      </c>
      <c r="D2550" s="5" t="n">
        <v>1</v>
      </c>
      <c r="F2550" s="6" t="n"/>
      <c r="G2550" s="10" t="n"/>
      <c r="H2550" s="9" t="inlineStr">
        <is>
          <t>"June Delivery Fee" -- flat monthly rate (or $1.50/week if we pay by week)</t>
        </is>
      </c>
      <c r="I2550" s="9" t="n">
        <v>3</v>
      </c>
      <c r="J2550" s="9" t="inlineStr">
        <is>
          <t>cnt</t>
        </is>
      </c>
      <c r="K2550" s="9" t="n">
        <v>4</v>
      </c>
    </row>
    <row r="2551" ht="15" customFormat="1" customHeight="1" s="5">
      <c r="A2551" s="81" t="n">
        <v>45836</v>
      </c>
      <c r="B2551" s="82" t="n">
        <v>0.8555555555555555</v>
      </c>
      <c r="C2551" s="5" t="inlineStr">
        <is>
          <t>Amazon</t>
        </is>
      </c>
      <c r="D2551" s="5" t="n">
        <v>1</v>
      </c>
      <c r="F2551" s="6" t="inlineStr">
        <is>
          <t>112-8273206-5900264</t>
        </is>
      </c>
      <c r="G2551" s="17" t="n"/>
      <c r="H2551" s="18" t="inlineStr">
        <is>
          <t>Puroma 2 Pack Cabin Air Filter with Activated Carbon, Replacement for CP157, CF12157, Select Lexus, Mazda, Subaru and Toyota Avalon, Camry, Corolla, Highlander, Prius, RAV4, Sienna, Venza Sold by: PuromaDirect</t>
        </is>
      </c>
      <c r="I2551" s="5" t="n">
        <v>2</v>
      </c>
      <c r="J2551" s="5" t="inlineStr">
        <is>
          <t>cnt</t>
        </is>
      </c>
      <c r="K2551" s="5" t="n">
        <v>13.47</v>
      </c>
    </row>
    <row r="2552" ht="15" customFormat="1" customHeight="1" s="5">
      <c r="A2552" s="81" t="n">
        <v>45836</v>
      </c>
      <c r="B2552" s="82" t="n">
        <v>0.8555555555555555</v>
      </c>
      <c r="C2552" s="5" t="inlineStr">
        <is>
          <t>Amazon</t>
        </is>
      </c>
      <c r="D2552" s="5" t="n">
        <v>1</v>
      </c>
      <c r="F2552" s="6" t="inlineStr">
        <is>
          <t>112-8273206-5900264</t>
        </is>
      </c>
      <c r="G2552" s="17" t="n"/>
      <c r="H2552" s="18" t="inlineStr">
        <is>
          <t>Purolator C26175 PurolatorONE Advanced Cabin Air Filter Compatible With Select Ford Vehicles Sold by: Amazon.com Supplied by: Other</t>
        </is>
      </c>
      <c r="I2552" s="5" t="n">
        <v>1</v>
      </c>
      <c r="J2552" s="5" t="inlineStr">
        <is>
          <t>cnt</t>
        </is>
      </c>
      <c r="K2552" s="5" t="n">
        <v>6.9</v>
      </c>
    </row>
    <row r="2553" ht="15" customFormat="1" customHeight="1" s="5">
      <c r="A2553" s="81" t="n">
        <v>45836</v>
      </c>
      <c r="B2553" s="82" t="n">
        <v>0.8555555555555555</v>
      </c>
      <c r="C2553" s="5" t="inlineStr">
        <is>
          <t>Amazon</t>
        </is>
      </c>
      <c r="D2553" s="5" t="n">
        <v>1</v>
      </c>
      <c r="F2553" s="6" t="inlineStr">
        <is>
          <t>112-8273206-5900264</t>
        </is>
      </c>
      <c r="G2553" s="17" t="n"/>
      <c r="H2553" s="18" t="inlineStr">
        <is>
          <t>ECOGARD XA6140 Premium Engine Air Filter Fits 2010-2013 Ford Fiesta, 2016-2018 Figo, 2011-2013 Fiesta Ikon Sold by: Amazon.com Supplied by: Other</t>
        </is>
      </c>
      <c r="I2553" s="5" t="n">
        <v>1</v>
      </c>
      <c r="J2553" s="5" t="inlineStr">
        <is>
          <t>cnt</t>
        </is>
      </c>
      <c r="K2553" s="5" t="n">
        <v>10.9</v>
      </c>
    </row>
    <row r="2554" ht="15" customFormat="1" customHeight="1" s="5">
      <c r="A2554" s="81" t="n">
        <v>45836</v>
      </c>
      <c r="B2554" s="82" t="n">
        <v>0.8555555555555555</v>
      </c>
      <c r="C2554" s="5" t="inlineStr">
        <is>
          <t>Amazon</t>
        </is>
      </c>
      <c r="D2554" s="5" t="n">
        <v>1</v>
      </c>
      <c r="F2554" s="6" t="inlineStr">
        <is>
          <t>112-8273206-5900264</t>
        </is>
      </c>
      <c r="G2554" s="17" t="n"/>
      <c r="H2554" s="18" t="inlineStr">
        <is>
          <t>FRAM Extra Guard Flexible Panel Engine Air Filter Replacement, Easy Install w/Advanced Engine Protection and Optimal Performance, CA12295 for Select Subaru Vehicles Sold by: Amazon.com Supplied by: Other</t>
        </is>
      </c>
      <c r="I2554" s="5" t="n">
        <v>1</v>
      </c>
      <c r="J2554" s="5" t="inlineStr">
        <is>
          <t>cnt</t>
        </is>
      </c>
      <c r="K2554" s="5" t="n">
        <v>13.34</v>
      </c>
    </row>
    <row r="2555" ht="15" customFormat="1" customHeight="1" s="5">
      <c r="A2555" s="81" t="n">
        <v>45836</v>
      </c>
      <c r="B2555" s="82" t="n">
        <v>0.8555555555555555</v>
      </c>
      <c r="C2555" s="5" t="inlineStr">
        <is>
          <t>Amazon</t>
        </is>
      </c>
      <c r="D2555" s="5" t="n">
        <v>1</v>
      </c>
      <c r="F2555" s="6" t="inlineStr">
        <is>
          <t>112-8273206-5900264</t>
        </is>
      </c>
      <c r="G2555" s="17" t="n"/>
      <c r="H2555" s="18" t="inlineStr">
        <is>
          <t>**DISCOUNT** Coupon</t>
        </is>
      </c>
      <c r="I2555" s="5" t="n">
        <v>1</v>
      </c>
      <c r="J2555" s="5" t="inlineStr">
        <is>
          <t>cnt</t>
        </is>
      </c>
      <c r="K2555" s="5" t="n">
        <v>-1.6</v>
      </c>
    </row>
    <row r="2556" ht="15" customFormat="1" customHeight="1" s="5">
      <c r="A2556" s="81" t="n">
        <v>45836</v>
      </c>
      <c r="B2556" s="82" t="n">
        <v>0.8555555555555555</v>
      </c>
      <c r="C2556" s="5" t="inlineStr">
        <is>
          <t>Amazon</t>
        </is>
      </c>
      <c r="D2556" s="5" t="n">
        <v>1</v>
      </c>
      <c r="F2556" s="6" t="inlineStr">
        <is>
          <t>112-8273206-5900264</t>
        </is>
      </c>
      <c r="G2556" s="17" t="n"/>
      <c r="H2556" s="9" t="inlineStr">
        <is>
          <t>Sales Tax</t>
        </is>
      </c>
      <c r="I2556" s="5" t="n">
        <v>4</v>
      </c>
      <c r="J2556" s="5" t="inlineStr">
        <is>
          <t>cnt</t>
        </is>
      </c>
      <c r="K2556" s="5" t="n">
        <v>3.57</v>
      </c>
    </row>
    <row r="2557" ht="15" customFormat="1" customHeight="1" s="5">
      <c r="A2557" s="81" t="n">
        <v>45836</v>
      </c>
      <c r="B2557" s="82" t="n">
        <v>0.6479166666666667</v>
      </c>
      <c r="C2557" s="5" t="inlineStr">
        <is>
          <t>Daiso</t>
        </is>
      </c>
      <c r="E2557" s="5" t="n">
        <v>1</v>
      </c>
      <c r="F2557" s="6" t="inlineStr">
        <is>
          <t>06366 004 015132</t>
        </is>
      </c>
      <c r="G2557" s="17" t="inlineStr">
        <is>
          <t>4549131598957</t>
        </is>
      </c>
      <c r="H2557" s="9" t="inlineStr">
        <is>
          <t>Envelopes White C6 No DO98</t>
        </is>
      </c>
      <c r="I2557" s="5" t="n">
        <v>24</v>
      </c>
      <c r="J2557" s="5" t="inlineStr">
        <is>
          <t>cnt</t>
        </is>
      </c>
      <c r="K2557" s="5" t="n">
        <v>2.25</v>
      </c>
    </row>
    <row r="2558" ht="15" customFormat="1" customHeight="1" s="5">
      <c r="A2558" s="81" t="n">
        <v>45836</v>
      </c>
      <c r="B2558" s="82" t="n">
        <v>0.6479166666666667</v>
      </c>
      <c r="C2558" s="5" t="inlineStr">
        <is>
          <t>Daiso</t>
        </is>
      </c>
      <c r="E2558" s="5" t="n">
        <v>1</v>
      </c>
      <c r="F2558" s="6" t="inlineStr">
        <is>
          <t>06366 004 015132</t>
        </is>
      </c>
      <c r="G2558" s="17" t="n"/>
      <c r="H2558" s="9" t="inlineStr">
        <is>
          <t>Sales Tax</t>
        </is>
      </c>
      <c r="I2558" s="5" t="n">
        <v>1</v>
      </c>
      <c r="J2558" s="5" t="inlineStr">
        <is>
          <t>cnt</t>
        </is>
      </c>
      <c r="K2558" s="5" t="n">
        <v>0.18</v>
      </c>
    </row>
    <row r="2559" ht="15" customFormat="1" customHeight="1" s="5">
      <c r="A2559" s="81" t="n">
        <v>45836</v>
      </c>
      <c r="B2559" s="82" t="n">
        <v>0.5097222222222222</v>
      </c>
      <c r="C2559" s="5" t="inlineStr">
        <is>
          <t>Walgreens</t>
        </is>
      </c>
      <c r="E2559" s="5" t="n">
        <v>1</v>
      </c>
      <c r="F2559" s="6" t="inlineStr">
        <is>
          <t>150 1661 0022</t>
        </is>
      </c>
      <c r="G2559" s="17" t="inlineStr">
        <is>
          <t>FSA 04467769110</t>
        </is>
      </c>
      <c r="H2559" s="9" t="inlineStr">
        <is>
          <t>Lansinoh Postpartum HotCold Therapy Packs 2 reusable packs and 12 disposable sleeves</t>
        </is>
      </c>
      <c r="I2559" s="5" t="n">
        <v>14</v>
      </c>
      <c r="J2559" s="5" t="inlineStr">
        <is>
          <t>cnt</t>
        </is>
      </c>
      <c r="K2559" s="5" t="n">
        <v>22.99</v>
      </c>
    </row>
    <row r="2560" ht="15" customFormat="1" customHeight="1" s="5">
      <c r="A2560" s="81" t="n">
        <v>45836</v>
      </c>
      <c r="B2560" s="82" t="n">
        <v>0.5097222222222222</v>
      </c>
      <c r="C2560" s="5" t="inlineStr">
        <is>
          <t>Walgreens</t>
        </is>
      </c>
      <c r="E2560" s="5" t="n">
        <v>1</v>
      </c>
      <c r="F2560" s="6" t="inlineStr">
        <is>
          <t>150 1661 0022</t>
        </is>
      </c>
      <c r="G2560" s="17" t="n"/>
      <c r="H2560" s="9" t="inlineStr">
        <is>
          <t>Tax A 4.5%</t>
        </is>
      </c>
      <c r="I2560" s="5" t="n">
        <v>1</v>
      </c>
      <c r="J2560" s="5" t="inlineStr">
        <is>
          <t>cnt</t>
        </is>
      </c>
      <c r="K2560" s="5" t="n">
        <v>0.11</v>
      </c>
    </row>
    <row r="2561" ht="15" customFormat="1" customHeight="1" s="5">
      <c r="A2561" s="81" t="n">
        <v>45836</v>
      </c>
      <c r="B2561" s="82" t="n">
        <v>0.5097222222222222</v>
      </c>
      <c r="C2561" s="5" t="inlineStr">
        <is>
          <t>Walgreens</t>
        </is>
      </c>
      <c r="E2561" s="5" t="n">
        <v>1</v>
      </c>
      <c r="F2561" s="6" t="inlineStr">
        <is>
          <t>150 1661 0022</t>
        </is>
      </c>
      <c r="G2561" s="17" t="n"/>
      <c r="H2561" s="9" t="inlineStr">
        <is>
          <t>**DISCOUNT** Lansinoh</t>
        </is>
      </c>
      <c r="I2561" s="5" t="n">
        <v>14</v>
      </c>
      <c r="J2561" s="5" t="inlineStr">
        <is>
          <t>cnt</t>
        </is>
      </c>
      <c r="K2561" s="5" t="n">
        <v>-20.7</v>
      </c>
    </row>
    <row r="2562" ht="15" customFormat="1" customHeight="1" s="5">
      <c r="A2562" s="81" t="n">
        <v>45836</v>
      </c>
      <c r="B2562" s="82" t="n">
        <v>0.5097222222222222</v>
      </c>
      <c r="C2562" s="5" t="inlineStr">
        <is>
          <t>Walgreens</t>
        </is>
      </c>
      <c r="E2562" s="5" t="n">
        <v>1</v>
      </c>
      <c r="F2562" s="6" t="inlineStr">
        <is>
          <t>150 1661 0022</t>
        </is>
      </c>
      <c r="G2562" s="17" t="inlineStr">
        <is>
          <t>75916051001</t>
        </is>
      </c>
      <c r="H2562" s="9" t="inlineStr">
        <is>
          <t>MotherLove More Milk Plus 60s Liquid Capsules</t>
        </is>
      </c>
      <c r="I2562" s="5" t="n">
        <v>60</v>
      </c>
      <c r="J2562" s="5" t="inlineStr">
        <is>
          <t>cnt</t>
        </is>
      </c>
      <c r="K2562" s="5" t="n">
        <v>34.99</v>
      </c>
    </row>
    <row r="2563" ht="15" customFormat="1" customHeight="1" s="5">
      <c r="A2563" s="81" t="n">
        <v>45836</v>
      </c>
      <c r="B2563" s="82" t="n">
        <v>0.5097222222222222</v>
      </c>
      <c r="C2563" s="5" t="inlineStr">
        <is>
          <t>Walgreens</t>
        </is>
      </c>
      <c r="E2563" s="5" t="n">
        <v>1</v>
      </c>
      <c r="F2563" s="6" t="inlineStr">
        <is>
          <t>150 1661 0022</t>
        </is>
      </c>
      <c r="G2563" s="17" t="n"/>
      <c r="H2563" s="9" t="inlineStr">
        <is>
          <t>**DISCOUNT** MotherLove</t>
        </is>
      </c>
      <c r="I2563" s="5" t="n">
        <v>60</v>
      </c>
      <c r="J2563" s="5" t="inlineStr">
        <is>
          <t>cnt</t>
        </is>
      </c>
      <c r="K2563" s="5" t="n">
        <v>-31.5</v>
      </c>
    </row>
    <row r="2564" ht="15" customFormat="1" customHeight="1" s="5">
      <c r="A2564" s="81" t="n">
        <v>45836</v>
      </c>
      <c r="B2564" s="82" t="n">
        <v>0.5097222222222222</v>
      </c>
      <c r="C2564" s="5" t="inlineStr">
        <is>
          <t>Walgreens</t>
        </is>
      </c>
      <c r="E2564" s="5" t="n">
        <v>1</v>
      </c>
      <c r="F2564" s="6" t="inlineStr">
        <is>
          <t>150 1661 0022</t>
        </is>
      </c>
      <c r="G2564" s="17" t="inlineStr">
        <is>
          <t>75916052001</t>
        </is>
      </c>
      <c r="H2564" s="9" t="inlineStr">
        <is>
          <t>MotherLove More Milk Moringa 60 Liquid Capsules</t>
        </is>
      </c>
      <c r="I2564" s="5" t="n">
        <v>60</v>
      </c>
      <c r="J2564" s="5" t="inlineStr">
        <is>
          <t>cnt</t>
        </is>
      </c>
      <c r="K2564" s="5" t="n">
        <v>34.99</v>
      </c>
    </row>
    <row r="2565" ht="15" customFormat="1" customHeight="1" s="5">
      <c r="A2565" s="81" t="n">
        <v>45836</v>
      </c>
      <c r="B2565" s="82" t="n">
        <v>0.5097222222222222</v>
      </c>
      <c r="C2565" s="5" t="inlineStr">
        <is>
          <t>Walgreens</t>
        </is>
      </c>
      <c r="E2565" s="5" t="n">
        <v>1</v>
      </c>
      <c r="F2565" s="6" t="inlineStr">
        <is>
          <t>150 1661 0022</t>
        </is>
      </c>
      <c r="G2565" s="17" t="n"/>
      <c r="H2565" s="9" t="inlineStr">
        <is>
          <t>**DISCOUNT** MotherLove</t>
        </is>
      </c>
      <c r="I2565" s="5" t="n">
        <v>60</v>
      </c>
      <c r="J2565" s="5" t="inlineStr">
        <is>
          <t>cnt</t>
        </is>
      </c>
      <c r="K2565" s="5" t="n">
        <v>-31.5</v>
      </c>
    </row>
    <row r="2566" ht="15" customFormat="1" customHeight="1" s="5">
      <c r="A2566" s="81" t="n">
        <v>45836</v>
      </c>
      <c r="B2566" s="82" t="n">
        <v>0.5097222222222222</v>
      </c>
      <c r="C2566" s="5" t="inlineStr">
        <is>
          <t>Walgreens</t>
        </is>
      </c>
      <c r="E2566" s="5" t="n">
        <v>1</v>
      </c>
      <c r="F2566" s="6" t="inlineStr">
        <is>
          <t>150 1661 0022</t>
        </is>
      </c>
      <c r="G2566" s="17" t="n"/>
      <c r="H2566" s="9" t="inlineStr">
        <is>
          <t>Tax A 4.5%</t>
        </is>
      </c>
      <c r="I2566" s="5" t="n">
        <v>2</v>
      </c>
      <c r="J2566" s="5" t="inlineStr">
        <is>
          <t>cnt</t>
        </is>
      </c>
      <c r="K2566" s="5" t="n">
        <v>0.31</v>
      </c>
    </row>
    <row r="2567" ht="15" customFormat="1" customHeight="1" s="5">
      <c r="A2567" s="81" t="n">
        <v>45835</v>
      </c>
      <c r="B2567" s="82" t="n">
        <v>0.8069444444444445</v>
      </c>
      <c r="C2567" s="5" t="inlineStr">
        <is>
          <t>Andy's</t>
        </is>
      </c>
      <c r="E2567" s="5" t="n">
        <v>1</v>
      </c>
      <c r="F2567" s="16" t="inlineStr">
        <is>
          <t>na_noReceipt</t>
        </is>
      </c>
      <c r="G2567" s="10" t="n"/>
      <c r="H2567" s="9" t="inlineStr">
        <is>
          <t>Small Jitterbug Concrete</t>
        </is>
      </c>
      <c r="I2567" s="9" t="n">
        <v>12</v>
      </c>
      <c r="J2567" s="9" t="inlineStr">
        <is>
          <t>oz</t>
        </is>
      </c>
      <c r="K2567" s="9" t="n">
        <v>6.49</v>
      </c>
    </row>
    <row r="2568" ht="15" customFormat="1" customHeight="1" s="5">
      <c r="A2568" s="81" t="n">
        <v>45835</v>
      </c>
      <c r="B2568" s="82" t="n">
        <v>0.8069444444444445</v>
      </c>
      <c r="C2568" s="5" t="inlineStr">
        <is>
          <t>Andy's</t>
        </is>
      </c>
      <c r="E2568" s="5" t="n">
        <v>1</v>
      </c>
      <c r="F2568" s="16" t="inlineStr">
        <is>
          <t>na_noReceipt</t>
        </is>
      </c>
      <c r="G2568" s="10" t="n"/>
      <c r="H2568" s="9" t="inlineStr">
        <is>
          <t>Medium Blackberry Concrete with collectible cup</t>
        </is>
      </c>
      <c r="I2568" s="9" t="n">
        <v>16</v>
      </c>
      <c r="J2568" s="9" t="inlineStr">
        <is>
          <t>oz</t>
        </is>
      </c>
      <c r="K2568" s="9" t="n">
        <v>7.49</v>
      </c>
    </row>
    <row r="2569" ht="15" customFormat="1" customHeight="1" s="5">
      <c r="A2569" s="81" t="n">
        <v>45835</v>
      </c>
      <c r="B2569" s="82" t="n">
        <v>0.8069444444444445</v>
      </c>
      <c r="C2569" s="5" t="inlineStr">
        <is>
          <t>Andy's</t>
        </is>
      </c>
      <c r="E2569" s="5" t="n">
        <v>1</v>
      </c>
      <c r="F2569" s="16" t="inlineStr">
        <is>
          <t>na_noReceipt</t>
        </is>
      </c>
      <c r="G2569" s="10" t="n"/>
      <c r="H2569" s="9" t="inlineStr">
        <is>
          <t>Tax ($15.20 total, so I'm guessing at the other prices)</t>
        </is>
      </c>
      <c r="I2569" s="9" t="n">
        <v>2</v>
      </c>
      <c r="J2569" s="9" t="inlineStr">
        <is>
          <t>cnt</t>
        </is>
      </c>
      <c r="K2569" s="9" t="n">
        <v>1.22</v>
      </c>
    </row>
    <row r="2570" ht="15" customFormat="1" customHeight="1" s="5">
      <c r="A2570" s="81" t="n">
        <v>45835</v>
      </c>
      <c r="B2570" s="82" t="n">
        <v>0.5263888888888889</v>
      </c>
      <c r="C2570" s="5" t="inlineStr">
        <is>
          <t>Safeway</t>
        </is>
      </c>
      <c r="E2570" s="5" t="n">
        <v>1</v>
      </c>
      <c r="F2570" s="6" t="inlineStr">
        <is>
          <t>2612 52 44 8852</t>
        </is>
      </c>
      <c r="G2570" s="15" t="inlineStr">
        <is>
          <t>3384400509</t>
        </is>
      </c>
      <c r="H2570" s="9" t="inlineStr">
        <is>
          <t>Badia Chili Powder</t>
        </is>
      </c>
      <c r="I2570" s="9" t="n">
        <v>16</v>
      </c>
      <c r="J2570" s="9" t="inlineStr">
        <is>
          <t>oz</t>
        </is>
      </c>
      <c r="K2570" s="9" t="n">
        <v>11.69</v>
      </c>
    </row>
    <row r="2571" ht="15" customFormat="1" customHeight="1" s="5">
      <c r="A2571" s="81" t="n">
        <v>45835</v>
      </c>
      <c r="B2571" s="82" t="n">
        <v>0.5263888888888889</v>
      </c>
      <c r="C2571" s="5" t="inlineStr">
        <is>
          <t>Safeway</t>
        </is>
      </c>
      <c r="E2571" s="5" t="n">
        <v>1</v>
      </c>
      <c r="F2571" s="6" t="inlineStr">
        <is>
          <t>2612 52 44 8852</t>
        </is>
      </c>
      <c r="G2571" s="10" t="n"/>
      <c r="H2571" s="9" t="inlineStr">
        <is>
          <t>Tax</t>
        </is>
      </c>
      <c r="I2571" s="9" t="n">
        <v>16</v>
      </c>
      <c r="J2571" s="9" t="inlineStr">
        <is>
          <t>oz</t>
        </is>
      </c>
      <c r="K2571" s="9" t="n">
        <v>0</v>
      </c>
    </row>
    <row r="2572" ht="15" customFormat="1" customHeight="1" s="5">
      <c r="A2572" s="81" t="n">
        <v>45834</v>
      </c>
      <c r="B2572" s="82" t="n">
        <v>0.5833333333333334</v>
      </c>
      <c r="C2572" s="5" t="inlineStr">
        <is>
          <t>Costco</t>
        </is>
      </c>
      <c r="E2572" s="5" t="n">
        <v>1</v>
      </c>
      <c r="F2572" s="16" t="inlineStr">
        <is>
          <t>439 206 149 706</t>
        </is>
      </c>
      <c r="G2572" s="10" t="inlineStr">
        <is>
          <t>E 761486</t>
        </is>
      </c>
      <c r="H2572" s="9" t="inlineStr">
        <is>
          <t>Garofalo Organic Spaghetti 8 x 17.6 oz</t>
        </is>
      </c>
      <c r="I2572" s="9" t="n">
        <v>140.8</v>
      </c>
      <c r="J2572" s="9" t="inlineStr">
        <is>
          <t>oz</t>
        </is>
      </c>
      <c r="K2572" s="9" t="n">
        <v>11.79</v>
      </c>
    </row>
    <row r="2573" ht="15" customFormat="1" customHeight="1" s="5">
      <c r="A2573" s="81" t="n">
        <v>45834</v>
      </c>
      <c r="B2573" s="82" t="n">
        <v>0.5833333333333334</v>
      </c>
      <c r="C2573" s="5" t="inlineStr">
        <is>
          <t>Costco</t>
        </is>
      </c>
      <c r="E2573" s="5" t="n">
        <v>1</v>
      </c>
      <c r="F2573" s="16" t="inlineStr">
        <is>
          <t>439 206 149 706</t>
        </is>
      </c>
      <c r="G2573" s="10" t="inlineStr">
        <is>
          <t>E 7445</t>
        </is>
      </c>
      <c r="H2573" s="9" t="inlineStr">
        <is>
          <t>Baker's Russet Potatoes</t>
        </is>
      </c>
      <c r="I2573" s="9" t="n">
        <v>10</v>
      </c>
      <c r="J2573" s="9" t="inlineStr">
        <is>
          <t>lb</t>
        </is>
      </c>
      <c r="K2573" s="9" t="n">
        <v>4.99</v>
      </c>
    </row>
    <row r="2574" ht="15" customFormat="1" customHeight="1" s="5">
      <c r="A2574" s="81" t="n">
        <v>45834</v>
      </c>
      <c r="B2574" s="82" t="n">
        <v>0.5833333333333334</v>
      </c>
      <c r="C2574" s="5" t="inlineStr">
        <is>
          <t>Costco</t>
        </is>
      </c>
      <c r="E2574" s="5" t="n">
        <v>1</v>
      </c>
      <c r="F2574" s="16" t="inlineStr">
        <is>
          <t>439 206 149 706</t>
        </is>
      </c>
      <c r="G2574" s="10" t="inlineStr">
        <is>
          <t>E 1312849</t>
        </is>
      </c>
      <c r="H2574" s="9" t="inlineStr">
        <is>
          <t>Grillo's Pickles Chips classic dill</t>
        </is>
      </c>
      <c r="I2574" s="9" t="n">
        <v>32</v>
      </c>
      <c r="J2574" s="9" t="inlineStr">
        <is>
          <t>fl oz</t>
        </is>
      </c>
      <c r="K2574" s="9" t="n">
        <v>5.99</v>
      </c>
    </row>
    <row r="2575" ht="15" customFormat="1" customHeight="1" s="5">
      <c r="A2575" s="81" t="n">
        <v>45834</v>
      </c>
      <c r="B2575" s="82" t="n">
        <v>0.5833333333333334</v>
      </c>
      <c r="C2575" s="5" t="inlineStr">
        <is>
          <t>Costco</t>
        </is>
      </c>
      <c r="E2575" s="5" t="n">
        <v>1</v>
      </c>
      <c r="F2575" s="16" t="inlineStr">
        <is>
          <t>439 206 149 706</t>
        </is>
      </c>
      <c r="G2575" s="10" t="inlineStr">
        <is>
          <t>E 21046</t>
        </is>
      </c>
      <c r="H2575" s="9" t="inlineStr">
        <is>
          <t>Multi-color tomato medley, mexico</t>
        </is>
      </c>
      <c r="I2575" s="9" t="n">
        <v>2</v>
      </c>
      <c r="J2575" s="9" t="inlineStr">
        <is>
          <t>lb</t>
        </is>
      </c>
      <c r="K2575" s="9" t="n">
        <v>5.99</v>
      </c>
    </row>
    <row r="2576" ht="15" customFormat="1" customHeight="1" s="5">
      <c r="A2576" s="81" t="n">
        <v>45834</v>
      </c>
      <c r="B2576" s="82" t="n">
        <v>0.5833333333333334</v>
      </c>
      <c r="C2576" s="5" t="inlineStr">
        <is>
          <t>Costco</t>
        </is>
      </c>
      <c r="E2576" s="5" t="n">
        <v>1</v>
      </c>
      <c r="F2576" s="16" t="inlineStr">
        <is>
          <t>439 206 149 706</t>
        </is>
      </c>
      <c r="G2576" s="10" t="inlineStr">
        <is>
          <t>E 24587</t>
        </is>
      </c>
      <c r="H2576" s="9" t="inlineStr">
        <is>
          <t>Organic Romaine Lettuce Hearts 6 count</t>
        </is>
      </c>
      <c r="I2576" s="9" t="n">
        <v>6</v>
      </c>
      <c r="J2576" s="9" t="inlineStr">
        <is>
          <t>cnt</t>
        </is>
      </c>
      <c r="K2576" s="9" t="n">
        <v>5.99</v>
      </c>
    </row>
    <row r="2577" ht="15" customFormat="1" customHeight="1" s="5">
      <c r="A2577" s="81" t="n">
        <v>45834</v>
      </c>
      <c r="B2577" s="82" t="n">
        <v>0.5833333333333334</v>
      </c>
      <c r="C2577" s="5" t="inlineStr">
        <is>
          <t>Costco</t>
        </is>
      </c>
      <c r="E2577" s="5" t="n">
        <v>1</v>
      </c>
      <c r="F2577" s="16" t="inlineStr">
        <is>
          <t>439 206 149 706</t>
        </is>
      </c>
      <c r="G2577" s="15" t="inlineStr">
        <is>
          <t>87745</t>
        </is>
      </c>
      <c r="H2577" s="9" t="inlineStr">
        <is>
          <t>Seasoned Rotisserie Chicken</t>
        </is>
      </c>
      <c r="I2577" s="9" t="n">
        <v>3</v>
      </c>
      <c r="J2577" s="9" t="inlineStr">
        <is>
          <t>lb</t>
        </is>
      </c>
      <c r="K2577" s="9" t="inlineStr">
        <is>
          <t>4.99 A</t>
        </is>
      </c>
    </row>
    <row r="2578" ht="15" customFormat="1" customHeight="1" s="5">
      <c r="A2578" s="81" t="n">
        <v>45834</v>
      </c>
      <c r="B2578" s="82" t="n">
        <v>0.5833333333333334</v>
      </c>
      <c r="C2578" s="5" t="inlineStr">
        <is>
          <t>Costco</t>
        </is>
      </c>
      <c r="E2578" s="5" t="n">
        <v>1</v>
      </c>
      <c r="F2578" s="16" t="inlineStr">
        <is>
          <t>439 206 149 706</t>
        </is>
      </c>
      <c r="G2578" s="10" t="inlineStr">
        <is>
          <t>E 1564153</t>
        </is>
      </c>
      <c r="H2578" s="9" t="inlineStr">
        <is>
          <t>Avocado Mayo Chosen Foods</t>
        </is>
      </c>
      <c r="I2578" s="9" t="n">
        <v>32</v>
      </c>
      <c r="J2578" s="9" t="inlineStr">
        <is>
          <t>fl oz</t>
        </is>
      </c>
      <c r="K2578" s="9" t="n">
        <v>8.890000000000001</v>
      </c>
    </row>
    <row r="2579" ht="15" customFormat="1" customHeight="1" s="5">
      <c r="A2579" s="81" t="n">
        <v>45834</v>
      </c>
      <c r="B2579" s="82" t="n">
        <v>0.5833333333333334</v>
      </c>
      <c r="C2579" s="5" t="inlineStr">
        <is>
          <t>Costco</t>
        </is>
      </c>
      <c r="E2579" s="5" t="n">
        <v>1</v>
      </c>
      <c r="F2579" s="16" t="inlineStr">
        <is>
          <t>439 206 149 706</t>
        </is>
      </c>
      <c r="G2579" s="10" t="inlineStr">
        <is>
          <t>E 388467</t>
        </is>
      </c>
      <c r="H2579" s="9" t="inlineStr">
        <is>
          <t>Boursin 2 x Garlic and Fine herbs (5.3 oz), 1 x Shallot and Chive (5.3 oz)</t>
        </is>
      </c>
      <c r="I2579" s="9" t="n">
        <v>15.9</v>
      </c>
      <c r="J2579" s="9" t="inlineStr">
        <is>
          <t>oz</t>
        </is>
      </c>
      <c r="K2579" s="9" t="n">
        <v>9.99</v>
      </c>
    </row>
    <row r="2580" ht="15" customFormat="1" customHeight="1" s="5">
      <c r="A2580" s="81" t="n">
        <v>45834</v>
      </c>
      <c r="B2580" s="82" t="n">
        <v>0.5833333333333334</v>
      </c>
      <c r="C2580" s="5" t="inlineStr">
        <is>
          <t>Costco</t>
        </is>
      </c>
      <c r="E2580" s="5" t="n">
        <v>1</v>
      </c>
      <c r="F2580" s="16" t="inlineStr">
        <is>
          <t>439 206 149 706</t>
        </is>
      </c>
      <c r="G2580" s="10" t="inlineStr">
        <is>
          <t>E 0000355126</t>
        </is>
      </c>
      <c r="H2580" s="9" t="inlineStr">
        <is>
          <t>**DISCOUNT** /38847 Boursin 3 pack of cheese</t>
        </is>
      </c>
      <c r="I2580" s="9" t="n">
        <v>15.9</v>
      </c>
      <c r="J2580" s="9" t="inlineStr">
        <is>
          <t>oz</t>
        </is>
      </c>
      <c r="K2580" s="9" t="inlineStr">
        <is>
          <t>3.00-</t>
        </is>
      </c>
    </row>
    <row r="2581" ht="15" customFormat="1" customHeight="1" s="5">
      <c r="A2581" s="81" t="n">
        <v>45834</v>
      </c>
      <c r="B2581" s="82" t="n">
        <v>0.5833333333333334</v>
      </c>
      <c r="C2581" s="5" t="inlineStr">
        <is>
          <t>Costco</t>
        </is>
      </c>
      <c r="E2581" s="5" t="n">
        <v>1</v>
      </c>
      <c r="F2581" s="16" t="inlineStr">
        <is>
          <t>439 206 149 706</t>
        </is>
      </c>
      <c r="G2581" s="10" t="inlineStr">
        <is>
          <t>E 33841</t>
        </is>
      </c>
      <c r="H2581" s="9" t="inlineStr">
        <is>
          <t>BNLS/SL boneless skinless chicken breast @$2.99/lb</t>
        </is>
      </c>
      <c r="I2581" s="9" t="n">
        <v>10.14</v>
      </c>
      <c r="J2581" s="9" t="inlineStr">
        <is>
          <t>lb</t>
        </is>
      </c>
      <c r="K2581" s="9" t="n">
        <v>30.32</v>
      </c>
    </row>
    <row r="2582" ht="15" customFormat="1" customHeight="1" s="5">
      <c r="A2582" s="81" t="n">
        <v>45834</v>
      </c>
      <c r="B2582" s="82" t="n">
        <v>0.5833333333333334</v>
      </c>
      <c r="C2582" s="5" t="inlineStr">
        <is>
          <t>Costco</t>
        </is>
      </c>
      <c r="E2582" s="5" t="n">
        <v>1</v>
      </c>
      <c r="F2582" s="16" t="inlineStr">
        <is>
          <t>439 206 149 706</t>
        </is>
      </c>
      <c r="G2582" s="10" t="inlineStr">
        <is>
          <t>E 1015237</t>
        </is>
      </c>
      <c r="H2582" s="9" t="inlineStr">
        <is>
          <t>KS Stir Fry Vegetable Blend</t>
        </is>
      </c>
      <c r="I2582" s="9" t="n">
        <v>5.5</v>
      </c>
      <c r="J2582" s="9" t="inlineStr">
        <is>
          <t>lb</t>
        </is>
      </c>
      <c r="K2582" s="9" t="n">
        <v>9.59</v>
      </c>
    </row>
    <row r="2583" ht="15" customFormat="1" customHeight="1" s="5">
      <c r="A2583" s="81" t="n">
        <v>45834</v>
      </c>
      <c r="B2583" s="82" t="n">
        <v>0.5833333333333334</v>
      </c>
      <c r="C2583" s="5" t="inlineStr">
        <is>
          <t>Costco</t>
        </is>
      </c>
      <c r="E2583" s="5" t="n">
        <v>1</v>
      </c>
      <c r="F2583" s="16" t="inlineStr">
        <is>
          <t>439 206 149 706</t>
        </is>
      </c>
      <c r="G2583" s="10" t="inlineStr">
        <is>
          <t>E 1125156</t>
        </is>
      </c>
      <c r="H2583" s="9" t="inlineStr">
        <is>
          <t>Organic Late July Tortilla Chips</t>
        </is>
      </c>
      <c r="I2583" s="9" t="n">
        <v>28</v>
      </c>
      <c r="J2583" s="9" t="inlineStr">
        <is>
          <t>oz</t>
        </is>
      </c>
      <c r="K2583" s="9" t="n">
        <v>7.99</v>
      </c>
    </row>
    <row r="2584" ht="15" customFormat="1" customHeight="1" s="5">
      <c r="A2584" s="81" t="n">
        <v>45834</v>
      </c>
      <c r="B2584" s="82" t="n">
        <v>0.5833333333333334</v>
      </c>
      <c r="C2584" s="5" t="inlineStr">
        <is>
          <t>Costco</t>
        </is>
      </c>
      <c r="E2584" s="5" t="n">
        <v>1</v>
      </c>
      <c r="F2584" s="16" t="inlineStr">
        <is>
          <t>439 206 149 706</t>
        </is>
      </c>
      <c r="G2584" s="10" t="inlineStr">
        <is>
          <t>E 0000355112</t>
        </is>
      </c>
      <c r="H2584" s="9" t="inlineStr">
        <is>
          <t>**DISCOUNT** /1125156 Chips</t>
        </is>
      </c>
      <c r="I2584" s="9" t="n">
        <v>28</v>
      </c>
      <c r="J2584" s="9" t="inlineStr">
        <is>
          <t>oz</t>
        </is>
      </c>
      <c r="K2584" s="9" t="inlineStr">
        <is>
          <t>2.00-</t>
        </is>
      </c>
    </row>
    <row r="2585" ht="15" customFormat="1" customHeight="1" s="5">
      <c r="A2585" s="81" t="n">
        <v>45834</v>
      </c>
      <c r="B2585" s="82" t="n">
        <v>0.5833333333333334</v>
      </c>
      <c r="C2585" s="5" t="inlineStr">
        <is>
          <t>Costco</t>
        </is>
      </c>
      <c r="E2585" s="5" t="n">
        <v>1</v>
      </c>
      <c r="F2585" s="16" t="inlineStr">
        <is>
          <t>439 206 149 706</t>
        </is>
      </c>
      <c r="G2585" s="10" t="inlineStr">
        <is>
          <t>E 96716</t>
        </is>
      </c>
      <c r="H2585" s="9" t="inlineStr">
        <is>
          <t>Organic Spinach Box</t>
        </is>
      </c>
      <c r="I2585" s="9" t="n">
        <v>16</v>
      </c>
      <c r="J2585" s="9" t="inlineStr">
        <is>
          <t>oz</t>
        </is>
      </c>
      <c r="K2585" s="9" t="n">
        <v>3.89</v>
      </c>
    </row>
    <row r="2586" ht="15" customFormat="1" customHeight="1" s="5">
      <c r="A2586" s="81" t="n">
        <v>45834</v>
      </c>
      <c r="B2586" s="82" t="n">
        <v>0.5833333333333334</v>
      </c>
      <c r="C2586" s="5" t="inlineStr">
        <is>
          <t>Costco</t>
        </is>
      </c>
      <c r="E2586" s="5" t="n">
        <v>1</v>
      </c>
      <c r="F2586" s="16" t="inlineStr">
        <is>
          <t>439 206 149 706</t>
        </is>
      </c>
      <c r="G2586" s="10" t="inlineStr">
        <is>
          <t>E 512447</t>
        </is>
      </c>
      <c r="H2586" s="9" t="inlineStr">
        <is>
          <t>Dave's Killer Gread: 21 Whole Grains and Seeds x 2 loaves</t>
        </is>
      </c>
      <c r="I2586" s="9" t="n">
        <v>54</v>
      </c>
      <c r="J2586" s="9" t="inlineStr">
        <is>
          <t>oz</t>
        </is>
      </c>
      <c r="K2586" s="9" t="n">
        <v>9.59</v>
      </c>
    </row>
    <row r="2587" ht="15" customFormat="1" customHeight="1" s="5">
      <c r="A2587" s="81" t="n">
        <v>45834</v>
      </c>
      <c r="B2587" s="82" t="n">
        <v>0.5833333333333334</v>
      </c>
      <c r="C2587" s="5" t="inlineStr">
        <is>
          <t>Costco</t>
        </is>
      </c>
      <c r="E2587" s="5" t="n">
        <v>1</v>
      </c>
      <c r="F2587" s="16" t="inlineStr">
        <is>
          <t>439 206 149 706</t>
        </is>
      </c>
      <c r="G2587" s="10" t="inlineStr">
        <is>
          <t>E 1014484</t>
        </is>
      </c>
      <c r="H2587" s="9" t="inlineStr">
        <is>
          <t>Two Sweet Melons Cantaloupes</t>
        </is>
      </c>
      <c r="I2587" s="9" t="n">
        <v>2</v>
      </c>
      <c r="J2587" s="9" t="inlineStr">
        <is>
          <t>cnt</t>
        </is>
      </c>
      <c r="K2587" s="9" t="n">
        <v>5.69</v>
      </c>
    </row>
    <row r="2588" ht="15" customFormat="1" customHeight="1" s="5">
      <c r="A2588" s="81" t="n">
        <v>45834</v>
      </c>
      <c r="B2588" s="82" t="n">
        <v>0.5833333333333334</v>
      </c>
      <c r="C2588" s="5" t="inlineStr">
        <is>
          <t>Costco</t>
        </is>
      </c>
      <c r="E2588" s="5" t="n">
        <v>1</v>
      </c>
      <c r="F2588" s="16" t="inlineStr">
        <is>
          <t>439 206 149 706</t>
        </is>
      </c>
      <c r="G2588" s="10" t="inlineStr">
        <is>
          <t>E 67072</t>
        </is>
      </c>
      <c r="H2588" s="9" t="inlineStr">
        <is>
          <t>Navel Oranges</t>
        </is>
      </c>
      <c r="I2588" s="9" t="n">
        <v>8</v>
      </c>
      <c r="J2588" s="9" t="inlineStr">
        <is>
          <t>lb</t>
        </is>
      </c>
      <c r="K2588" s="9" t="n">
        <v>7.89</v>
      </c>
    </row>
    <row r="2589" ht="15" customFormat="1" customHeight="1" s="5">
      <c r="A2589" s="81" t="n">
        <v>45834</v>
      </c>
      <c r="B2589" s="82" t="n">
        <v>0.5833333333333334</v>
      </c>
      <c r="C2589" s="5" t="inlineStr">
        <is>
          <t>Costco</t>
        </is>
      </c>
      <c r="E2589" s="5" t="n">
        <v>1</v>
      </c>
      <c r="F2589" s="16" t="inlineStr">
        <is>
          <t>439 206 149 706</t>
        </is>
      </c>
      <c r="G2589" s="10" t="inlineStr">
        <is>
          <t>E 4164501</t>
        </is>
      </c>
      <c r="H2589" s="9" t="inlineStr">
        <is>
          <t>KS Sparkling Water 35 x 12 fl oz cans</t>
        </is>
      </c>
      <c r="I2589" s="9" t="n">
        <v>12.42</v>
      </c>
      <c r="J2589" s="9" t="inlineStr">
        <is>
          <t>L</t>
        </is>
      </c>
      <c r="K2589" s="9" t="inlineStr">
        <is>
          <t>11.99 A</t>
        </is>
      </c>
    </row>
    <row r="2590" ht="15" customFormat="1" customHeight="1" s="5">
      <c r="A2590" s="81" t="n">
        <v>45834</v>
      </c>
      <c r="B2590" s="82" t="n">
        <v>0.5833333333333334</v>
      </c>
      <c r="C2590" s="5" t="inlineStr">
        <is>
          <t>Costco</t>
        </is>
      </c>
      <c r="E2590" s="5" t="n">
        <v>1</v>
      </c>
      <c r="F2590" s="16" t="inlineStr">
        <is>
          <t>439 206 149 706</t>
        </is>
      </c>
      <c r="G2590" s="10" t="inlineStr">
        <is>
          <t>E 844333</t>
        </is>
      </c>
      <c r="H2590" s="9" t="inlineStr">
        <is>
          <t>KS Sliced Oven Roasted Turkey Breast 98% fat free 3 pack</t>
        </is>
      </c>
      <c r="I2590" s="9" t="n">
        <v>42</v>
      </c>
      <c r="J2590" s="9" t="inlineStr">
        <is>
          <t>oz</t>
        </is>
      </c>
      <c r="K2590" s="9" t="n">
        <v>12.69</v>
      </c>
    </row>
    <row r="2591" ht="15" customFormat="1" customHeight="1" s="5">
      <c r="A2591" s="81" t="n">
        <v>45834</v>
      </c>
      <c r="B2591" s="82" t="n">
        <v>0.5833333333333334</v>
      </c>
      <c r="C2591" s="5" t="inlineStr">
        <is>
          <t>Costco</t>
        </is>
      </c>
      <c r="E2591" s="5" t="n">
        <v>1</v>
      </c>
      <c r="F2591" s="16" t="inlineStr">
        <is>
          <t>439 206 149 706</t>
        </is>
      </c>
      <c r="G2591" s="15" t="inlineStr">
        <is>
          <t>561532</t>
        </is>
      </c>
      <c r="H2591" s="9" t="inlineStr">
        <is>
          <t>Fast-Acting Lactase enzyme 180 caplets, 1 caplet per serving</t>
        </is>
      </c>
      <c r="I2591" s="9" t="n">
        <v>180</v>
      </c>
      <c r="J2591" s="9" t="inlineStr">
        <is>
          <t>cnt</t>
        </is>
      </c>
      <c r="K2591" s="9" t="inlineStr">
        <is>
          <t>15.99 A</t>
        </is>
      </c>
    </row>
    <row r="2592" ht="15" customFormat="1" customHeight="1" s="5">
      <c r="A2592" s="81" t="n">
        <v>45834</v>
      </c>
      <c r="B2592" s="82" t="n">
        <v>0.5833333333333334</v>
      </c>
      <c r="C2592" s="5" t="inlineStr">
        <is>
          <t>Costco</t>
        </is>
      </c>
      <c r="E2592" s="5" t="n">
        <v>1</v>
      </c>
      <c r="F2592" s="16" t="inlineStr">
        <is>
          <t>439 206 149 706</t>
        </is>
      </c>
      <c r="G2592" s="10" t="n"/>
      <c r="H2592" s="9" t="inlineStr">
        <is>
          <t>TAX A 8.00%</t>
        </is>
      </c>
      <c r="I2592" s="9" t="n">
        <v>18</v>
      </c>
      <c r="J2592" s="9" t="inlineStr">
        <is>
          <t>cnt</t>
        </is>
      </c>
      <c r="K2592" s="9" t="n">
        <v>2.64</v>
      </c>
    </row>
    <row r="2593" ht="15" customFormat="1" customHeight="1" s="5">
      <c r="A2593" s="81" t="n">
        <v>45834</v>
      </c>
      <c r="B2593" s="82" t="n">
        <v>0.3763888888888889</v>
      </c>
      <c r="C2593" s="5" t="inlineStr">
        <is>
          <t>Walmart</t>
        </is>
      </c>
      <c r="D2593" s="5" t="n">
        <v>1</v>
      </c>
      <c r="F2593" s="6" t="inlineStr">
        <is>
          <t>2000135-76160827</t>
        </is>
      </c>
      <c r="G2593" s="10" t="n"/>
      <c r="H2593" s="9" t="inlineStr">
        <is>
          <t>Fresh Red Seedless Grapes, Bag (2.25 lbs/Bag Est.) $2.67/lb</t>
        </is>
      </c>
      <c r="I2593" s="9" t="n">
        <v>2.16</v>
      </c>
      <c r="J2593" s="9" t="inlineStr">
        <is>
          <t>lb</t>
        </is>
      </c>
      <c r="K2593" s="9" t="n">
        <v>5.78</v>
      </c>
    </row>
    <row r="2594" ht="15" customFormat="1" customHeight="1" s="5">
      <c r="A2594" s="81" t="n">
        <v>45834</v>
      </c>
      <c r="B2594" s="82" t="n">
        <v>0.3763888888888889</v>
      </c>
      <c r="C2594" s="5" t="inlineStr">
        <is>
          <t>Walmart</t>
        </is>
      </c>
      <c r="D2594" s="5" t="n">
        <v>1</v>
      </c>
      <c r="F2594" s="6" t="inlineStr">
        <is>
          <t>2000135-76160827</t>
        </is>
      </c>
      <c r="G2594" s="10" t="n"/>
      <c r="H2594" s="9" t="inlineStr">
        <is>
          <t>Fresh Slicing Tomato, Each $1.98/lb -- 2 cnt</t>
        </is>
      </c>
      <c r="I2594" s="9" t="n">
        <v>1.05</v>
      </c>
      <c r="J2594" s="9" t="inlineStr">
        <is>
          <t>lb</t>
        </is>
      </c>
      <c r="K2594" s="9" t="n">
        <v>2.09</v>
      </c>
    </row>
    <row r="2595" ht="15" customFormat="1" customHeight="1" s="5">
      <c r="A2595" s="81" t="n">
        <v>45834</v>
      </c>
      <c r="B2595" s="82" t="n">
        <v>0.3763888888888889</v>
      </c>
      <c r="C2595" s="5" t="inlineStr">
        <is>
          <t>Walmart</t>
        </is>
      </c>
      <c r="D2595" s="5" t="n">
        <v>1</v>
      </c>
      <c r="F2595" s="6" t="inlineStr">
        <is>
          <t>2000135-76160827</t>
        </is>
      </c>
      <c r="G2595" s="10" t="n"/>
      <c r="H2595" s="9" t="inlineStr">
        <is>
          <t>Fresh Whole Yellow Onion, Each $1.06/lb -- 2 cnt</t>
        </is>
      </c>
      <c r="I2595" s="9" t="n">
        <v>2.18</v>
      </c>
      <c r="J2595" s="9" t="inlineStr">
        <is>
          <t>lb</t>
        </is>
      </c>
      <c r="K2595" s="9" t="n">
        <v>2.31</v>
      </c>
    </row>
    <row r="2596" ht="15" customFormat="1" customHeight="1" s="5">
      <c r="A2596" s="81" t="n">
        <v>45834</v>
      </c>
      <c r="B2596" s="82" t="n">
        <v>0.3763888888888889</v>
      </c>
      <c r="C2596" s="5" t="inlineStr">
        <is>
          <t>Walmart</t>
        </is>
      </c>
      <c r="D2596" s="5" t="n">
        <v>1</v>
      </c>
      <c r="F2596" s="6" t="inlineStr">
        <is>
          <t>2000135-76160827</t>
        </is>
      </c>
      <c r="G2596" s="10" t="n"/>
      <c r="H2596" s="9" t="inlineStr">
        <is>
          <t>Cape Cod Potato Chips, Sea Salt &amp; Vinegar Kettle Chips, 13 oz 38.3¢/oz</t>
        </is>
      </c>
      <c r="I2596" s="9" t="n">
        <v>13</v>
      </c>
      <c r="J2596" s="9" t="inlineStr">
        <is>
          <t>oz</t>
        </is>
      </c>
      <c r="K2596" s="9" t="n">
        <v>4.98</v>
      </c>
    </row>
    <row r="2597" ht="15" customFormat="1" customHeight="1" s="5">
      <c r="A2597" s="81" t="n">
        <v>45834</v>
      </c>
      <c r="B2597" s="82" t="n">
        <v>0.3763888888888889</v>
      </c>
      <c r="C2597" s="5" t="inlineStr">
        <is>
          <t>Walmart</t>
        </is>
      </c>
      <c r="D2597" s="5" t="n">
        <v>1</v>
      </c>
      <c r="F2597" s="6" t="inlineStr">
        <is>
          <t>2000135-76160827</t>
        </is>
      </c>
      <c r="G2597" s="10" t="n"/>
      <c r="H2597" s="9" t="inlineStr">
        <is>
          <t>Organic Fresh Whole Carrots, 2 lb Bag 7.5¢/oz</t>
        </is>
      </c>
      <c r="I2597" s="9" t="n">
        <v>2</v>
      </c>
      <c r="J2597" s="9" t="inlineStr">
        <is>
          <t>lb</t>
        </is>
      </c>
      <c r="K2597" s="9" t="n">
        <v>2.4</v>
      </c>
    </row>
    <row r="2598" ht="15" customFormat="1" customHeight="1" s="5">
      <c r="A2598" s="81" t="n">
        <v>45834</v>
      </c>
      <c r="B2598" s="82" t="n">
        <v>0.3763888888888889</v>
      </c>
      <c r="C2598" s="5" t="inlineStr">
        <is>
          <t>Walmart</t>
        </is>
      </c>
      <c r="D2598" s="5" t="n">
        <v>1</v>
      </c>
      <c r="F2598" s="6" t="inlineStr">
        <is>
          <t>2000135-76160827</t>
        </is>
      </c>
      <c r="G2598" s="10" t="n"/>
      <c r="H2598" s="9" t="inlineStr">
        <is>
          <t>Great Value Cannellini Beans, 15.5 oz 5.9¢/oz</t>
        </is>
      </c>
      <c r="I2598" s="9" t="n">
        <v>15.5</v>
      </c>
      <c r="J2598" s="9" t="inlineStr">
        <is>
          <t>oz</t>
        </is>
      </c>
      <c r="K2598" s="9" t="n">
        <v>0.92</v>
      </c>
    </row>
    <row r="2599" ht="15" customFormat="1" customHeight="1" s="5">
      <c r="A2599" s="81" t="n">
        <v>45834</v>
      </c>
      <c r="B2599" s="82" t="n">
        <v>0.3763888888888889</v>
      </c>
      <c r="C2599" s="5" t="inlineStr">
        <is>
          <t>Walmart</t>
        </is>
      </c>
      <c r="D2599" s="5" t="n">
        <v>1</v>
      </c>
      <c r="F2599" s="6" t="inlineStr">
        <is>
          <t>2000135-76160827</t>
        </is>
      </c>
      <c r="G2599" s="10" t="n"/>
      <c r="H2599" s="9" t="inlineStr">
        <is>
          <t>Great Value, No Salt Added, Canned Black Beans, 15 oz Can 6.1¢/oz</t>
        </is>
      </c>
      <c r="I2599" s="9" t="n">
        <v>15</v>
      </c>
      <c r="J2599" s="9" t="inlineStr">
        <is>
          <t>oz</t>
        </is>
      </c>
      <c r="K2599" s="9" t="n">
        <v>0.92</v>
      </c>
    </row>
    <row r="2600" ht="15" customFormat="1" customHeight="1" s="5">
      <c r="A2600" s="81" t="n">
        <v>45834</v>
      </c>
      <c r="B2600" s="82" t="n">
        <v>0.3763888888888889</v>
      </c>
      <c r="C2600" s="5" t="inlineStr">
        <is>
          <t>Walmart</t>
        </is>
      </c>
      <c r="D2600" s="5" t="n">
        <v>1</v>
      </c>
      <c r="F2600" s="6" t="inlineStr">
        <is>
          <t>2000135-76160827</t>
        </is>
      </c>
      <c r="G2600" s="10" t="n"/>
      <c r="H2600" s="9" t="inlineStr">
        <is>
          <t>Organic Marketside Fresh Bagged Green Kale, 1 lb Bag 18.0¢/oz</t>
        </is>
      </c>
      <c r="I2600" s="9" t="n">
        <v>1</v>
      </c>
      <c r="J2600" s="9" t="inlineStr">
        <is>
          <t>lb</t>
        </is>
      </c>
      <c r="K2600" s="9" t="n">
        <v>2.88</v>
      </c>
    </row>
    <row r="2601" ht="15" customFormat="1" customHeight="1" s="5">
      <c r="A2601" s="81" t="n">
        <v>45834</v>
      </c>
      <c r="B2601" s="82" t="n">
        <v>0.3763888888888889</v>
      </c>
      <c r="C2601" s="5" t="inlineStr">
        <is>
          <t>Walmart</t>
        </is>
      </c>
      <c r="D2601" s="5" t="n">
        <v>1</v>
      </c>
      <c r="F2601" s="6" t="inlineStr">
        <is>
          <t>2000135-76160827</t>
        </is>
      </c>
      <c r="G2601" s="10" t="n"/>
      <c r="H2601" s="9" t="inlineStr">
        <is>
          <t>Fresh Thyme, 0.5 oz Clamshell $3.56/oz</t>
        </is>
      </c>
      <c r="I2601" s="9" t="n">
        <v>0.5</v>
      </c>
      <c r="J2601" s="9" t="inlineStr">
        <is>
          <t>oz</t>
        </is>
      </c>
      <c r="K2601" s="9" t="n">
        <v>1.78</v>
      </c>
    </row>
    <row r="2602" ht="15" customFormat="1" customHeight="1" s="5">
      <c r="A2602" s="81" t="n">
        <v>45834</v>
      </c>
      <c r="B2602" s="82" t="n">
        <v>0.3763888888888889</v>
      </c>
      <c r="C2602" s="5" t="inlineStr">
        <is>
          <t>Walmart</t>
        </is>
      </c>
      <c r="D2602" s="5" t="n">
        <v>1</v>
      </c>
      <c r="F2602" s="6" t="inlineStr">
        <is>
          <t>2000135-76160827</t>
        </is>
      </c>
      <c r="G2602" s="10" t="n"/>
      <c r="H2602" s="9" t="inlineStr">
        <is>
          <t>Green Bell Pepper, 1 each 62.0¢/ea Qty 1</t>
        </is>
      </c>
      <c r="I2602" s="9" t="n">
        <v>1</v>
      </c>
      <c r="J2602" s="9" t="inlineStr">
        <is>
          <t>cnt</t>
        </is>
      </c>
      <c r="K2602" s="9" t="n">
        <v>0.62</v>
      </c>
    </row>
    <row r="2603" ht="15" customFormat="1" customHeight="1" s="5">
      <c r="A2603" s="81" t="n">
        <v>45834</v>
      </c>
      <c r="B2603" s="82" t="n">
        <v>0.3763888888888889</v>
      </c>
      <c r="C2603" s="5" t="inlineStr">
        <is>
          <t>Walmart</t>
        </is>
      </c>
      <c r="D2603" s="5" t="n">
        <v>1</v>
      </c>
      <c r="F2603" s="6" t="inlineStr">
        <is>
          <t>2000135-76160827</t>
        </is>
      </c>
      <c r="G2603" s="10" t="n"/>
      <c r="H2603" s="9" t="inlineStr">
        <is>
          <t>Fresh Cucumber, Each 58.0¢/ea Qty 3</t>
        </is>
      </c>
      <c r="I2603" s="9" t="n">
        <v>3</v>
      </c>
      <c r="J2603" s="9" t="inlineStr">
        <is>
          <t>cnt</t>
        </is>
      </c>
      <c r="K2603" s="9" t="n">
        <v>1.74</v>
      </c>
    </row>
    <row r="2604" ht="15" customFormat="1" customHeight="1" s="5">
      <c r="A2604" s="81" t="n">
        <v>45834</v>
      </c>
      <c r="B2604" s="82" t="n">
        <v>0.3763888888888889</v>
      </c>
      <c r="C2604" s="5" t="inlineStr">
        <is>
          <t>Walmart</t>
        </is>
      </c>
      <c r="D2604" s="5" t="n">
        <v>1</v>
      </c>
      <c r="F2604" s="6" t="inlineStr">
        <is>
          <t>2000135-76160827</t>
        </is>
      </c>
      <c r="G2604" s="10" t="n"/>
      <c r="H2604" s="9" t="inlineStr">
        <is>
          <t>Fresh Strawberries, 2 lb, Container 14.3¢/oz</t>
        </is>
      </c>
      <c r="I2604" s="9" t="n">
        <v>2</v>
      </c>
      <c r="J2604" s="9" t="inlineStr">
        <is>
          <t>lb</t>
        </is>
      </c>
      <c r="K2604" s="9" t="n">
        <v>4.58</v>
      </c>
    </row>
    <row r="2605" ht="15" customFormat="1" customHeight="1" s="5">
      <c r="A2605" s="81" t="n">
        <v>45834</v>
      </c>
      <c r="B2605" s="82" t="n">
        <v>0.3763888888888889</v>
      </c>
      <c r="C2605" s="5" t="inlineStr">
        <is>
          <t>Walmart</t>
        </is>
      </c>
      <c r="D2605" s="5" t="n">
        <v>1</v>
      </c>
      <c r="F2605" s="6" t="inlineStr">
        <is>
          <t>2000135-76160827</t>
        </is>
      </c>
      <c r="G2605" s="10" t="n"/>
      <c r="H2605" s="9" t="inlineStr">
        <is>
          <t>Fresh Cilantro, Bunch 20.8¢/oz Qty 2</t>
        </is>
      </c>
      <c r="I2605" s="9" t="n">
        <v>2</v>
      </c>
      <c r="J2605" s="9" t="inlineStr">
        <is>
          <t>cnt</t>
        </is>
      </c>
      <c r="K2605" s="9" t="n">
        <v>1.66</v>
      </c>
    </row>
    <row r="2606" ht="15" customFormat="1" customHeight="1" s="5">
      <c r="A2606" s="81" t="n">
        <v>45834</v>
      </c>
      <c r="B2606" s="82" t="n">
        <v>0.3763888888888889</v>
      </c>
      <c r="C2606" s="5" t="inlineStr">
        <is>
          <t>Walmart</t>
        </is>
      </c>
      <c r="D2606" s="5" t="n">
        <v>1</v>
      </c>
      <c r="F2606" s="6" t="inlineStr">
        <is>
          <t>2000135-76160827</t>
        </is>
      </c>
      <c r="G2606" s="10" t="n"/>
      <c r="H2606" s="9" t="inlineStr">
        <is>
          <t>Bag Fee</t>
        </is>
      </c>
      <c r="I2606" s="9" t="n">
        <v>1</v>
      </c>
      <c r="J2606" s="9" t="inlineStr">
        <is>
          <t>cnt</t>
        </is>
      </c>
      <c r="K2606" s="9" t="n">
        <v>0.1</v>
      </c>
    </row>
    <row r="2607" ht="15" customFormat="1" customHeight="1" s="5">
      <c r="A2607" s="81" t="n">
        <v>45834</v>
      </c>
      <c r="B2607" s="82" t="n">
        <v>0.3763888888888889</v>
      </c>
      <c r="C2607" s="5" t="inlineStr">
        <is>
          <t>Walmart</t>
        </is>
      </c>
      <c r="D2607" s="5" t="n">
        <v>1</v>
      </c>
      <c r="F2607" s="6" t="inlineStr">
        <is>
          <t>2000135-76160827</t>
        </is>
      </c>
      <c r="G2607" s="10" t="n"/>
      <c r="H2607" s="9" t="inlineStr">
        <is>
          <t>Tax</t>
        </is>
      </c>
      <c r="I2607" s="9" t="n">
        <v>18</v>
      </c>
      <c r="J2607" s="9" t="inlineStr">
        <is>
          <t>cnt</t>
        </is>
      </c>
      <c r="K2607" s="9" t="n">
        <v>0</v>
      </c>
    </row>
    <row r="2608" ht="15" customFormat="1" customHeight="1" s="5">
      <c r="A2608" s="81" t="n">
        <v>45834</v>
      </c>
      <c r="B2608" s="82" t="n">
        <v>0.2916666666666667</v>
      </c>
      <c r="C2608" s="5" t="inlineStr">
        <is>
          <t>US Tax Witholding</t>
        </is>
      </c>
      <c r="D2608" s="5" t="n">
        <v>1</v>
      </c>
      <c r="F2608" s="6" t="inlineStr">
        <is>
          <t>RTX_Paycheck_25_39</t>
        </is>
      </c>
      <c r="G2608" s="7" t="n"/>
      <c r="H2608" s="9" t="inlineStr">
        <is>
          <t>Federal Income Tax</t>
        </is>
      </c>
      <c r="I2608" s="9" t="n"/>
      <c r="J2608" s="9" t="n"/>
      <c r="K2608" s="9" t="n">
        <v>467.37</v>
      </c>
    </row>
    <row r="2609" ht="15" customFormat="1" customHeight="1" s="5">
      <c r="A2609" s="81" t="n">
        <v>45834</v>
      </c>
      <c r="B2609" s="82" t="n">
        <v>0.2916666666666667</v>
      </c>
      <c r="C2609" s="5" t="inlineStr">
        <is>
          <t>US Tax Witholding</t>
        </is>
      </c>
      <c r="D2609" s="5" t="n">
        <v>1</v>
      </c>
      <c r="F2609" s="6" t="inlineStr">
        <is>
          <t>RTX_Paycheck_25_39</t>
        </is>
      </c>
      <c r="G2609" s="7" t="n"/>
      <c r="H2609" s="9" t="inlineStr">
        <is>
          <t>Social Security Tax</t>
        </is>
      </c>
      <c r="I2609" s="9" t="n"/>
      <c r="J2609" s="9" t="n"/>
      <c r="K2609" s="9" t="n">
        <v>268.72</v>
      </c>
    </row>
    <row r="2610" ht="15" customFormat="1" customHeight="1" s="5">
      <c r="A2610" s="81" t="n">
        <v>45834</v>
      </c>
      <c r="B2610" s="82" t="n">
        <v>0.2916666666666667</v>
      </c>
      <c r="C2610" s="5" t="inlineStr">
        <is>
          <t>US Tax Witholding</t>
        </is>
      </c>
      <c r="D2610" s="5" t="n">
        <v>1</v>
      </c>
      <c r="F2610" s="6" t="inlineStr">
        <is>
          <t>RTX_Paycheck_25_39</t>
        </is>
      </c>
      <c r="G2610" s="7" t="n"/>
      <c r="H2610" s="9" t="inlineStr">
        <is>
          <t>Medicare Tax</t>
        </is>
      </c>
      <c r="I2610" s="9" t="n"/>
      <c r="J2610" s="9" t="n"/>
      <c r="K2610" s="9" t="n">
        <v>62.85</v>
      </c>
    </row>
    <row r="2611" ht="15" customFormat="1" customHeight="1" s="5">
      <c r="A2611" s="81" t="n">
        <v>45834</v>
      </c>
      <c r="B2611" s="82" t="n">
        <v>0.2916666666666667</v>
      </c>
      <c r="C2611" s="5" t="inlineStr">
        <is>
          <t>Raytheon</t>
        </is>
      </c>
      <c r="D2611" s="5" t="n">
        <v>1</v>
      </c>
      <c r="F2611" s="6" t="inlineStr">
        <is>
          <t>RTX_Paycheck_25_39</t>
        </is>
      </c>
      <c r="G2611" s="17" t="inlineStr">
        <is>
          <t>XXXX3523</t>
        </is>
      </c>
      <c r="H2611" s="9" t="inlineStr">
        <is>
          <t>Net Paycheck [Jun 07 - Jun 20]</t>
        </is>
      </c>
      <c r="I2611" s="9" t="n"/>
      <c r="J2611" s="9" t="n"/>
      <c r="K2611" s="9" t="n">
        <v>2387.33</v>
      </c>
    </row>
    <row r="2612" ht="15" customFormat="1" customHeight="1" s="5">
      <c r="A2612" s="81" t="n">
        <v>45834</v>
      </c>
      <c r="B2612" s="82" t="n">
        <v>0.2916666666666667</v>
      </c>
      <c r="C2612" s="5" t="inlineStr">
        <is>
          <t>Raytheon</t>
        </is>
      </c>
      <c r="D2612" s="5" t="n">
        <v>1</v>
      </c>
      <c r="F2612" s="6" t="inlineStr">
        <is>
          <t>RTX_Paycheck_25_39</t>
        </is>
      </c>
      <c r="G2612" s="7" t="n"/>
      <c r="H2612" s="9" t="inlineStr">
        <is>
          <t>RTX Direct Deposit -- cancelling offset</t>
        </is>
      </c>
      <c r="I2612" s="9" t="n"/>
      <c r="J2612" s="9" t="n"/>
      <c r="K2612" s="9" t="n">
        <v>-2387.34</v>
      </c>
    </row>
    <row r="2613" ht="15" customFormat="1" customHeight="1" s="5">
      <c r="A2613" s="81" t="n">
        <v>45834</v>
      </c>
      <c r="B2613" s="82" t="n">
        <v>0.2916666666666667</v>
      </c>
      <c r="C2613" s="5" t="inlineStr">
        <is>
          <t>Raytheon</t>
        </is>
      </c>
      <c r="D2613" s="5" t="n">
        <v>1</v>
      </c>
      <c r="F2613" s="6" t="inlineStr">
        <is>
          <t>RTX_Paycheck_25_39</t>
        </is>
      </c>
      <c r="G2613" s="7" t="n"/>
      <c r="H2613" s="9" t="inlineStr">
        <is>
          <t>Gross Paycheck [Jun 07 - Jun 20]</t>
        </is>
      </c>
      <c r="I2613" s="9" t="n"/>
      <c r="J2613" s="9" t="n"/>
      <c r="K2613" s="9" t="n">
        <v>-4708.06</v>
      </c>
    </row>
    <row r="2614" ht="15" customFormat="1" customHeight="1" s="5">
      <c r="A2614" s="81" t="n">
        <v>45834</v>
      </c>
      <c r="B2614" s="82" t="n">
        <v>0.2916666666666667</v>
      </c>
      <c r="C2614" s="5" t="inlineStr">
        <is>
          <t>Raytheon</t>
        </is>
      </c>
      <c r="D2614" s="5" t="n">
        <v>1</v>
      </c>
      <c r="F2614" s="6" t="inlineStr">
        <is>
          <t>RTX_Paycheck_25_39</t>
        </is>
      </c>
      <c r="G2614" s="7" t="n"/>
      <c r="H2614" s="9" t="inlineStr">
        <is>
          <t>Ed(ucation) Assi(tance) Offset</t>
        </is>
      </c>
      <c r="I2614" s="9" t="n"/>
      <c r="J2614" s="9" t="n"/>
      <c r="K2614" s="9" t="n">
        <v>711.63</v>
      </c>
    </row>
    <row r="2615" ht="15" customFormat="1" customHeight="1" s="5">
      <c r="A2615" s="81" t="n">
        <v>45834</v>
      </c>
      <c r="B2615" s="82" t="n">
        <v>0.2916666666666667</v>
      </c>
      <c r="C2615" s="5" t="inlineStr">
        <is>
          <t>Parents Gift Account</t>
        </is>
      </c>
      <c r="D2615" s="5" t="n">
        <v>1</v>
      </c>
      <c r="F2615" s="6" t="inlineStr">
        <is>
          <t>RTX_Paycheck_25_39</t>
        </is>
      </c>
      <c r="G2615" s="17" t="inlineStr">
        <is>
          <t>XXXX7146</t>
        </is>
      </c>
      <c r="H2615" s="9" t="inlineStr">
        <is>
          <t>Contribution to Parents Gift Account</t>
        </is>
      </c>
      <c r="I2615" s="9" t="n"/>
      <c r="J2615" s="9" t="n"/>
      <c r="K2615" s="9" t="n">
        <v>0.01</v>
      </c>
    </row>
    <row r="2616" ht="15" customFormat="1" customHeight="1" s="5">
      <c r="A2616" s="81" t="n">
        <v>45834</v>
      </c>
      <c r="B2616" s="82" t="n">
        <v>0.2916666666666667</v>
      </c>
      <c r="C2616" s="5" t="inlineStr">
        <is>
          <t>HSA</t>
        </is>
      </c>
      <c r="D2616" s="5" t="n">
        <v>1</v>
      </c>
      <c r="F2616" s="6" t="inlineStr">
        <is>
          <t>RTX_Paycheck_25_39</t>
        </is>
      </c>
      <c r="G2616" s="7" t="n"/>
      <c r="H2616" s="9" t="inlineStr">
        <is>
          <t>Personal contribution to HSA</t>
        </is>
      </c>
      <c r="I2616" s="9" t="n"/>
      <c r="J2616" s="9" t="n"/>
      <c r="K2616" s="9" t="n">
        <v>239.93</v>
      </c>
    </row>
    <row r="2617" ht="15" customFormat="1" customHeight="1" s="5">
      <c r="A2617" s="81" t="n">
        <v>45834</v>
      </c>
      <c r="B2617" s="82" t="n">
        <v>0.2916666666666667</v>
      </c>
      <c r="C2617" s="5" t="inlineStr">
        <is>
          <t>Delta Dental</t>
        </is>
      </c>
      <c r="D2617" s="5" t="n">
        <v>1</v>
      </c>
      <c r="F2617" s="6" t="inlineStr">
        <is>
          <t>RTX_Paycheck_25_39</t>
        </is>
      </c>
      <c r="G2617" s="10" t="n"/>
      <c r="H2617" s="9" t="inlineStr">
        <is>
          <t>Dental Insurance</t>
        </is>
      </c>
      <c r="I2617" s="9" t="n"/>
      <c r="J2617" s="9" t="n"/>
      <c r="K2617" s="9" t="n">
        <v>4.26</v>
      </c>
    </row>
    <row r="2618" ht="15" customFormat="1" customHeight="1" s="5">
      <c r="A2618" s="81" t="n">
        <v>45834</v>
      </c>
      <c r="B2618" s="82" t="n">
        <v>0.2916666666666667</v>
      </c>
      <c r="C2618" s="5" t="inlineStr">
        <is>
          <t>CO Tax Witholding</t>
        </is>
      </c>
      <c r="D2618" s="5" t="n">
        <v>1</v>
      </c>
      <c r="F2618" s="6" t="inlineStr">
        <is>
          <t>RTX_Paycheck_25_39</t>
        </is>
      </c>
      <c r="G2618" s="7" t="n"/>
      <c r="H2618" s="9" t="inlineStr">
        <is>
          <t>CO State Income Tax</t>
        </is>
      </c>
      <c r="I2618" s="9" t="n"/>
      <c r="J2618" s="9" t="n"/>
      <c r="K2618" s="9" t="n">
        <v>173.71</v>
      </c>
    </row>
    <row r="2619" ht="15" customFormat="1" customHeight="1" s="5">
      <c r="A2619" s="81" t="n">
        <v>45834</v>
      </c>
      <c r="B2619" s="82" t="n">
        <v>0.2916666666666667</v>
      </c>
      <c r="C2619" s="5" t="inlineStr">
        <is>
          <t>CO Tax Witholding</t>
        </is>
      </c>
      <c r="D2619" s="5" t="n">
        <v>1</v>
      </c>
      <c r="F2619" s="6" t="inlineStr">
        <is>
          <t>RTX_Paycheck_25_39</t>
        </is>
      </c>
      <c r="G2619" s="7" t="n"/>
      <c r="H2619" s="9" t="inlineStr">
        <is>
          <t>CO Paid Family Leave Insurance</t>
        </is>
      </c>
      <c r="I2619" s="9" t="n"/>
      <c r="J2619" s="9" t="n"/>
      <c r="K2619" s="9" t="n">
        <v>21.18</v>
      </c>
    </row>
    <row r="2620" ht="15" customFormat="1" customHeight="1" s="5">
      <c r="A2620" s="81" t="n">
        <v>45834</v>
      </c>
      <c r="B2620" s="82" t="n">
        <v>0.2916666666666667</v>
      </c>
      <c r="C2620" s="5" t="inlineStr">
        <is>
          <t>Anthem BcBs</t>
        </is>
      </c>
      <c r="D2620" s="5" t="n">
        <v>1</v>
      </c>
      <c r="F2620" s="6" t="inlineStr">
        <is>
          <t>RTX_Paycheck_25_39</t>
        </is>
      </c>
      <c r="G2620" s="7" t="n"/>
      <c r="H2620" s="9" t="inlineStr">
        <is>
          <t>Medical Insurance</t>
        </is>
      </c>
      <c r="I2620" s="9" t="n"/>
      <c r="J2620" s="9" t="n"/>
      <c r="K2620" s="9" t="n">
        <v>131.28</v>
      </c>
    </row>
    <row r="2621" ht="15" customFormat="1" customHeight="1" s="5">
      <c r="A2621" s="81" t="n">
        <v>45834</v>
      </c>
      <c r="B2621" s="82" t="n">
        <v>0.2916666666666667</v>
      </c>
      <c r="C2621" s="5" t="inlineStr">
        <is>
          <t>Alight</t>
        </is>
      </c>
      <c r="D2621" s="5" t="n">
        <v>1</v>
      </c>
      <c r="F2621" s="6" t="inlineStr">
        <is>
          <t>RTX_Paycheck_25_39</t>
        </is>
      </c>
      <c r="G2621" s="7" t="n"/>
      <c r="H2621" s="9" t="inlineStr">
        <is>
          <t>401k Basic -- Traditional</t>
        </is>
      </c>
      <c r="I2621" s="9" t="n"/>
      <c r="J2621" s="9" t="n"/>
      <c r="K2621" s="9" t="n">
        <v>0</v>
      </c>
    </row>
    <row r="2622" ht="15" customFormat="1" customHeight="1" s="5">
      <c r="A2622" s="81" t="n">
        <v>45834</v>
      </c>
      <c r="B2622" s="82" t="n">
        <v>0.2916666666666667</v>
      </c>
      <c r="C2622" s="5" t="inlineStr">
        <is>
          <t>Alight</t>
        </is>
      </c>
      <c r="D2622" s="5" t="n">
        <v>1</v>
      </c>
      <c r="F2622" s="6" t="inlineStr">
        <is>
          <t>RTX_Paycheck_25_39</t>
        </is>
      </c>
      <c r="G2622" s="7" t="n"/>
      <c r="H2622" s="9" t="inlineStr">
        <is>
          <t>Roth 401k Basic</t>
        </is>
      </c>
      <c r="I2622" s="9" t="n"/>
      <c r="J2622" s="9" t="n"/>
      <c r="K2622" s="9" t="n">
        <v>239.79</v>
      </c>
    </row>
    <row r="2623" ht="15" customFormat="1" customHeight="1" s="5">
      <c r="A2623" s="81" t="n">
        <v>45832</v>
      </c>
      <c r="B2623" s="82" t="n">
        <v>0.5020833333333333</v>
      </c>
      <c r="C2623" s="5" t="inlineStr">
        <is>
          <t>Intermountain Health</t>
        </is>
      </c>
      <c r="D2623" s="5" t="n">
        <v>1</v>
      </c>
      <c r="F2623" s="6" t="inlineStr">
        <is>
          <t>246248786</t>
        </is>
      </c>
      <c r="G2623" s="10" t="n"/>
      <c r="H2623" s="18" t="inlineStr">
        <is>
          <t>1 x CPR &amp; Baby Safe - 7/19/2025 1:30 PM</t>
        </is>
      </c>
      <c r="I2623" s="9" t="n">
        <v>1</v>
      </c>
      <c r="J2623" s="9" t="inlineStr">
        <is>
          <t>cnt</t>
        </is>
      </c>
      <c r="K2623" s="9" t="n">
        <v>35</v>
      </c>
    </row>
    <row r="2624" ht="15" customFormat="1" customHeight="1" s="5">
      <c r="A2624" s="81" t="n">
        <v>45831</v>
      </c>
      <c r="B2624" s="82" t="n">
        <v>0.8576388888888888</v>
      </c>
      <c r="C2624" s="5" t="inlineStr">
        <is>
          <t>In Person</t>
        </is>
      </c>
      <c r="D2624" s="5" t="n">
        <v>1</v>
      </c>
      <c r="F2624" s="16" t="n"/>
      <c r="G2624" s="10" t="n"/>
      <c r="H2624" s="9" t="inlineStr">
        <is>
          <t>Azul Board Game from Facebook Marketplace -- 330 S Krameria St</t>
        </is>
      </c>
      <c r="I2624" s="9" t="n">
        <v>1</v>
      </c>
      <c r="J2624" s="9" t="inlineStr">
        <is>
          <t>cnt</t>
        </is>
      </c>
      <c r="K2624" s="9" t="n">
        <v>15</v>
      </c>
    </row>
    <row r="2625" ht="15" customFormat="1" customHeight="1" s="5">
      <c r="A2625" s="81" t="n">
        <v>45831</v>
      </c>
      <c r="B2625" s="82" t="n">
        <v>0.4340277777777778</v>
      </c>
      <c r="C2625" s="5" t="inlineStr">
        <is>
          <t>Walmart</t>
        </is>
      </c>
      <c r="D2625" s="5" t="n">
        <v>1</v>
      </c>
      <c r="F2625" s="6" t="inlineStr">
        <is>
          <t>2000133-25946906</t>
        </is>
      </c>
      <c r="G2625" s="10" t="n"/>
      <c r="H2625" s="9" t="inlineStr">
        <is>
          <t>Fleischmann's Active Dry Yeast, 4 oz; $1.37/oz</t>
        </is>
      </c>
      <c r="I2625" s="9" t="n">
        <v>4</v>
      </c>
      <c r="J2625" s="9" t="inlineStr">
        <is>
          <t>oz</t>
        </is>
      </c>
      <c r="K2625" s="9" t="n">
        <v>5.48</v>
      </c>
    </row>
    <row r="2626" ht="15" customFormat="1" customHeight="1" s="5">
      <c r="A2626" s="81" t="n">
        <v>45831</v>
      </c>
      <c r="B2626" s="82" t="n">
        <v>0.4340277777777778</v>
      </c>
      <c r="C2626" s="5" t="inlineStr">
        <is>
          <t>Walmart</t>
        </is>
      </c>
      <c r="D2626" s="5" t="n">
        <v>1</v>
      </c>
      <c r="F2626" s="6" t="inlineStr">
        <is>
          <t>2000133-25946906</t>
        </is>
      </c>
      <c r="G2626" s="10" t="n"/>
      <c r="H2626" s="9" t="inlineStr">
        <is>
          <t>King Arthur, Unbleached Bread Flour, Non-GMO Project Verified, Certified Kosher, No Preservatives, 5 lbs; 7.0¢/oz</t>
        </is>
      </c>
      <c r="I2626" s="9" t="n">
        <v>5</v>
      </c>
      <c r="J2626" s="9" t="inlineStr">
        <is>
          <t>lb</t>
        </is>
      </c>
      <c r="K2626" s="9" t="n">
        <v>5.58</v>
      </c>
    </row>
    <row r="2627" ht="15" customFormat="1" customHeight="1" s="5">
      <c r="A2627" s="81" t="n">
        <v>45831</v>
      </c>
      <c r="B2627" s="82" t="n">
        <v>0.4340277777777778</v>
      </c>
      <c r="C2627" s="5" t="inlineStr">
        <is>
          <t>Walmart</t>
        </is>
      </c>
      <c r="D2627" s="5" t="n">
        <v>1</v>
      </c>
      <c r="F2627" s="6" t="inlineStr">
        <is>
          <t>2000133-25946906</t>
        </is>
      </c>
      <c r="G2627" s="10" t="n"/>
      <c r="H2627" s="9" t="inlineStr">
        <is>
          <t>Grandma's Original Molasses, Unsulphured, 12 fl oz Jar; 32.8¢/fl oz</t>
        </is>
      </c>
      <c r="I2627" s="9" t="n">
        <v>12</v>
      </c>
      <c r="J2627" s="9" t="inlineStr">
        <is>
          <t>fl oz</t>
        </is>
      </c>
      <c r="K2627" s="9" t="n">
        <v>3.94</v>
      </c>
    </row>
    <row r="2628" ht="15" customFormat="1" customHeight="1" s="5">
      <c r="A2628" s="81" t="n">
        <v>45831</v>
      </c>
      <c r="B2628" s="82" t="n">
        <v>0.4340277777777778</v>
      </c>
      <c r="C2628" s="5" t="inlineStr">
        <is>
          <t>Walmart</t>
        </is>
      </c>
      <c r="D2628" s="5" t="n">
        <v>1</v>
      </c>
      <c r="F2628" s="6" t="inlineStr">
        <is>
          <t>2000133-25946906</t>
        </is>
      </c>
      <c r="G2628" s="10" t="n"/>
      <c r="H2628" s="9" t="inlineStr">
        <is>
          <t>Great Value Organic Unsweetened Coconut Flakes, 7 oz (198g); 41.9¢/oz</t>
        </is>
      </c>
      <c r="I2628" s="9" t="n">
        <v>7</v>
      </c>
      <c r="J2628" s="9" t="inlineStr">
        <is>
          <t>oz</t>
        </is>
      </c>
      <c r="K2628" s="9" t="n">
        <v>2.93</v>
      </c>
    </row>
    <row r="2629" ht="15" customFormat="1" customHeight="1" s="5">
      <c r="A2629" s="81" t="n">
        <v>45831</v>
      </c>
      <c r="B2629" s="82" t="n">
        <v>0.4340277777777778</v>
      </c>
      <c r="C2629" s="5" t="inlineStr">
        <is>
          <t>Walmart</t>
        </is>
      </c>
      <c r="D2629" s="5" t="n">
        <v>1</v>
      </c>
      <c r="F2629" s="6" t="inlineStr">
        <is>
          <t>2000133-25946906</t>
        </is>
      </c>
      <c r="G2629" s="10" t="n"/>
      <c r="H2629" s="9" t="inlineStr">
        <is>
          <t>Great Value Basil Leaves, 0.8 oz $1.55/oz</t>
        </is>
      </c>
      <c r="I2629" s="9" t="n">
        <v>0.8</v>
      </c>
      <c r="J2629" s="9" t="inlineStr">
        <is>
          <t>oz</t>
        </is>
      </c>
      <c r="K2629" s="9" t="n">
        <v>1.24</v>
      </c>
    </row>
    <row r="2630" ht="15" customFormat="1" customHeight="1" s="5">
      <c r="A2630" s="81" t="n">
        <v>45831</v>
      </c>
      <c r="B2630" s="82" t="n">
        <v>0.4340277777777778</v>
      </c>
      <c r="C2630" s="5" t="inlineStr">
        <is>
          <t>Walmart</t>
        </is>
      </c>
      <c r="D2630" s="5" t="n">
        <v>1</v>
      </c>
      <c r="F2630" s="6" t="inlineStr">
        <is>
          <t>2000133-25946906</t>
        </is>
      </c>
      <c r="G2630" s="10" t="n"/>
      <c r="H2630" s="9" t="inlineStr">
        <is>
          <t>Great Value Basil Leaves, 0.8 oz $1.55/oz</t>
        </is>
      </c>
      <c r="I2630" s="9" t="n">
        <v>0.8</v>
      </c>
      <c r="J2630" s="9" t="inlineStr">
        <is>
          <t>oz</t>
        </is>
      </c>
      <c r="K2630" s="9" t="n">
        <v>1.24</v>
      </c>
    </row>
    <row r="2631" ht="15" customFormat="1" customHeight="1" s="5">
      <c r="A2631" s="81" t="n">
        <v>45831</v>
      </c>
      <c r="B2631" s="82" t="n">
        <v>0.4340277777777778</v>
      </c>
      <c r="C2631" s="5" t="inlineStr">
        <is>
          <t>Walmart</t>
        </is>
      </c>
      <c r="D2631" s="5" t="n">
        <v>1</v>
      </c>
      <c r="F2631" s="6" t="inlineStr">
        <is>
          <t>2000133-25946906</t>
        </is>
      </c>
      <c r="G2631" s="10" t="n"/>
      <c r="H2631" s="9" t="inlineStr">
        <is>
          <t>Great Value Basil Leaves, 0.8 oz $1.55/oz</t>
        </is>
      </c>
      <c r="I2631" s="9" t="n">
        <v>0.8</v>
      </c>
      <c r="J2631" s="9" t="inlineStr">
        <is>
          <t>oz</t>
        </is>
      </c>
      <c r="K2631" s="9" t="n">
        <v>1.24</v>
      </c>
    </row>
    <row r="2632" ht="15" customFormat="1" customHeight="1" s="5">
      <c r="A2632" s="81" t="n">
        <v>45831</v>
      </c>
      <c r="B2632" s="82" t="n">
        <v>0.4340277777777778</v>
      </c>
      <c r="C2632" s="5" t="inlineStr">
        <is>
          <t>Walmart</t>
        </is>
      </c>
      <c r="D2632" s="5" t="n">
        <v>1</v>
      </c>
      <c r="F2632" s="6" t="inlineStr">
        <is>
          <t>2000133-25946906</t>
        </is>
      </c>
      <c r="G2632" s="10" t="n"/>
      <c r="H2632" s="9" t="inlineStr">
        <is>
          <t>Bumble Bee Wild Pink Salmon, Ready to Eat Salmon, High Protein Food, 14.75oz Can; 28.7¢/oz</t>
        </is>
      </c>
      <c r="I2632" s="9" t="n">
        <v>14.75</v>
      </c>
      <c r="J2632" s="9" t="inlineStr">
        <is>
          <t>oz</t>
        </is>
      </c>
      <c r="K2632" s="9" t="n">
        <v>4.24</v>
      </c>
    </row>
    <row r="2633" ht="15" customFormat="1" customHeight="1" s="5">
      <c r="A2633" s="81" t="n">
        <v>45831</v>
      </c>
      <c r="B2633" s="82" t="n">
        <v>0.4340277777777778</v>
      </c>
      <c r="C2633" s="5" t="inlineStr">
        <is>
          <t>Walmart</t>
        </is>
      </c>
      <c r="D2633" s="5" t="n">
        <v>1</v>
      </c>
      <c r="F2633" s="6" t="inlineStr">
        <is>
          <t>2000133-25946906</t>
        </is>
      </c>
      <c r="G2633" s="10" t="n"/>
      <c r="H2633" s="9" t="inlineStr">
        <is>
          <t>Bumble Bee Wild Pink Salmon, Ready to Eat Salmon, High Protein Food, 14.75oz Can; 28.7¢/oz</t>
        </is>
      </c>
      <c r="I2633" s="9" t="n">
        <v>14.75</v>
      </c>
      <c r="J2633" s="9" t="inlineStr">
        <is>
          <t>oz</t>
        </is>
      </c>
      <c r="K2633" s="9" t="n">
        <v>4.24</v>
      </c>
    </row>
    <row r="2634" ht="15" customFormat="1" customHeight="1" s="5">
      <c r="A2634" s="81" t="n">
        <v>45831</v>
      </c>
      <c r="B2634" s="82" t="n">
        <v>0.4340277777777778</v>
      </c>
      <c r="C2634" s="5" t="inlineStr">
        <is>
          <t>Walmart</t>
        </is>
      </c>
      <c r="D2634" s="5" t="n">
        <v>1</v>
      </c>
      <c r="F2634" s="6" t="inlineStr">
        <is>
          <t>2000133-25946906</t>
        </is>
      </c>
      <c r="G2634" s="10" t="n"/>
      <c r="H2634" s="9" t="inlineStr">
        <is>
          <t>Bumble Bee Wild Pink Salmon, Ready to Eat Salmon, High Protein Food, 14.75oz Can; 28.7¢/oz</t>
        </is>
      </c>
      <c r="I2634" s="9" t="n">
        <v>14.75</v>
      </c>
      <c r="J2634" s="9" t="inlineStr">
        <is>
          <t>oz</t>
        </is>
      </c>
      <c r="K2634" s="9" t="n">
        <v>4.24</v>
      </c>
    </row>
    <row r="2635" ht="15" customFormat="1" customHeight="1" s="5">
      <c r="A2635" s="81" t="n">
        <v>45831</v>
      </c>
      <c r="B2635" s="82" t="n">
        <v>0.4340277777777778</v>
      </c>
      <c r="C2635" s="5" t="inlineStr">
        <is>
          <t>Walmart</t>
        </is>
      </c>
      <c r="D2635" s="5" t="n">
        <v>1</v>
      </c>
      <c r="F2635" s="6" t="inlineStr">
        <is>
          <t>2000133-25946906</t>
        </is>
      </c>
      <c r="G2635" s="10" t="n"/>
      <c r="H2635" s="9" t="inlineStr">
        <is>
          <t>Bumble Bee Wild Pink Salmon, Ready to Eat Salmon, High Protein Food, 14.75oz Can; 28.7¢/oz</t>
        </is>
      </c>
      <c r="I2635" s="9" t="n">
        <v>14.75</v>
      </c>
      <c r="J2635" s="9" t="inlineStr">
        <is>
          <t>oz</t>
        </is>
      </c>
      <c r="K2635" s="9" t="n">
        <v>4.24</v>
      </c>
    </row>
    <row r="2636" ht="15" customFormat="1" customHeight="1" s="5">
      <c r="A2636" s="81" t="n">
        <v>45831</v>
      </c>
      <c r="B2636" s="82" t="n">
        <v>0.4340277777777778</v>
      </c>
      <c r="C2636" s="5" t="inlineStr">
        <is>
          <t>Walmart</t>
        </is>
      </c>
      <c r="D2636" s="5" t="n">
        <v>1</v>
      </c>
      <c r="F2636" s="6" t="inlineStr">
        <is>
          <t>2000133-25946906</t>
        </is>
      </c>
      <c r="G2636" s="10" t="n"/>
      <c r="H2636" s="9" t="inlineStr">
        <is>
          <t>Bumble Bee Wild Pink Salmon, Ready to Eat Salmon, High Protein Food, 14.75oz Can; 28.7¢/oz</t>
        </is>
      </c>
      <c r="I2636" s="9" t="n">
        <v>14.75</v>
      </c>
      <c r="J2636" s="9" t="inlineStr">
        <is>
          <t>oz</t>
        </is>
      </c>
      <c r="K2636" s="9" t="n">
        <v>4.24</v>
      </c>
    </row>
    <row r="2637" ht="15" customFormat="1" customHeight="1" s="5">
      <c r="A2637" s="81" t="n">
        <v>45831</v>
      </c>
      <c r="B2637" s="82" t="n">
        <v>0.4340277777777778</v>
      </c>
      <c r="C2637" s="5" t="inlineStr">
        <is>
          <t>Walmart</t>
        </is>
      </c>
      <c r="D2637" s="5" t="n">
        <v>1</v>
      </c>
      <c r="F2637" s="6" t="inlineStr">
        <is>
          <t>2000133-25946906</t>
        </is>
      </c>
      <c r="G2637" s="10" t="n"/>
      <c r="H2637" s="9" t="inlineStr">
        <is>
          <t>Bag fee (confirmed 6/28 in NFCU transaction history)</t>
        </is>
      </c>
      <c r="I2637" s="9" t="n"/>
      <c r="J2637" s="9" t="n"/>
      <c r="K2637" s="9" t="n">
        <v>0</v>
      </c>
    </row>
    <row r="2638" ht="15" customFormat="1" customHeight="1" s="5">
      <c r="A2638" s="81" t="n">
        <v>45831</v>
      </c>
      <c r="B2638" s="82" t="n">
        <v>0.4340277777777778</v>
      </c>
      <c r="C2638" s="5" t="inlineStr">
        <is>
          <t>Walmart</t>
        </is>
      </c>
      <c r="D2638" s="5" t="n">
        <v>1</v>
      </c>
      <c r="F2638" s="6" t="inlineStr">
        <is>
          <t>2000133-25946906</t>
        </is>
      </c>
      <c r="G2638" s="10" t="n"/>
      <c r="H2638" s="9" t="inlineStr">
        <is>
          <t>Tax</t>
        </is>
      </c>
      <c r="I2638" s="9" t="n">
        <v>12</v>
      </c>
      <c r="J2638" s="9" t="inlineStr">
        <is>
          <t>cnt</t>
        </is>
      </c>
      <c r="K2638" s="9" t="n">
        <v>0</v>
      </c>
    </row>
    <row r="2639" ht="15" customFormat="1" customHeight="1" s="5">
      <c r="A2639" s="81" t="n">
        <v>45831</v>
      </c>
      <c r="B2639" s="82" t="n">
        <v>0.38125</v>
      </c>
      <c r="C2639" s="5" t="inlineStr">
        <is>
          <t>Safeway</t>
        </is>
      </c>
      <c r="E2639" s="5" t="n">
        <v>1</v>
      </c>
      <c r="F2639" s="16" t="inlineStr">
        <is>
          <t>2612 124 34 7805</t>
        </is>
      </c>
      <c r="G2639" s="15" t="inlineStr">
        <is>
          <t>76101004051</t>
        </is>
      </c>
      <c r="H2639" s="9" t="inlineStr">
        <is>
          <t>Mangos Small</t>
        </is>
      </c>
      <c r="I2639" s="9" t="n">
        <v>3</v>
      </c>
      <c r="J2639" s="9" t="inlineStr">
        <is>
          <t>cnt</t>
        </is>
      </c>
      <c r="K2639" s="9" t="n">
        <v>4.17</v>
      </c>
    </row>
    <row r="2640" ht="15" customFormat="1" customHeight="1" s="5">
      <c r="A2640" s="81" t="n">
        <v>45831</v>
      </c>
      <c r="B2640" s="82" t="n">
        <v>0.38125</v>
      </c>
      <c r="C2640" s="5" t="inlineStr">
        <is>
          <t>Safeway</t>
        </is>
      </c>
      <c r="E2640" s="5" t="n">
        <v>1</v>
      </c>
      <c r="F2640" s="16" t="inlineStr">
        <is>
          <t>2612 124 34 7805</t>
        </is>
      </c>
      <c r="G2640" s="15" t="inlineStr">
        <is>
          <t>76101004051</t>
        </is>
      </c>
      <c r="H2640" s="9" t="inlineStr">
        <is>
          <t>**DISCOUNT** Member Savings</t>
        </is>
      </c>
      <c r="I2640" s="9" t="n">
        <v>3</v>
      </c>
      <c r="J2640" s="9" t="inlineStr">
        <is>
          <t>cnt</t>
        </is>
      </c>
      <c r="K2640" s="9" t="n">
        <v>-1.86</v>
      </c>
    </row>
    <row r="2641" ht="15" customFormat="1" customHeight="1" s="5">
      <c r="A2641" s="81" t="n">
        <v>45831</v>
      </c>
      <c r="B2641" s="82" t="n">
        <v>0.38125</v>
      </c>
      <c r="C2641" s="5" t="inlineStr">
        <is>
          <t>Safeway</t>
        </is>
      </c>
      <c r="E2641" s="5" t="n">
        <v>1</v>
      </c>
      <c r="F2641" s="16" t="inlineStr">
        <is>
          <t>2612 124 34 7805</t>
        </is>
      </c>
      <c r="G2641" s="15" t="inlineStr">
        <is>
          <t>85920700301</t>
        </is>
      </c>
      <c r="H2641" s="9" t="inlineStr">
        <is>
          <t>Medium Hass Avocados</t>
        </is>
      </c>
      <c r="I2641" s="9" t="n">
        <v>7</v>
      </c>
      <c r="J2641" s="9" t="inlineStr">
        <is>
          <t>cnt</t>
        </is>
      </c>
      <c r="K2641" s="9" t="n">
        <v>11.69</v>
      </c>
    </row>
    <row r="2642" ht="15" customFormat="1" customHeight="1" s="5">
      <c r="A2642" s="81" t="n">
        <v>45831</v>
      </c>
      <c r="B2642" s="82" t="n">
        <v>0.38125</v>
      </c>
      <c r="C2642" s="5" t="inlineStr">
        <is>
          <t>Safeway</t>
        </is>
      </c>
      <c r="E2642" s="5" t="n">
        <v>1</v>
      </c>
      <c r="F2642" s="16" t="inlineStr">
        <is>
          <t>2612 124 34 7805</t>
        </is>
      </c>
      <c r="G2642" s="15" t="inlineStr">
        <is>
          <t>85920700301</t>
        </is>
      </c>
      <c r="H2642" s="9" t="inlineStr">
        <is>
          <t>**DISCOUNT** Member Savings</t>
        </is>
      </c>
      <c r="I2642" s="9" t="n">
        <v>7</v>
      </c>
      <c r="J2642" s="9" t="inlineStr">
        <is>
          <t>cnt</t>
        </is>
      </c>
      <c r="K2642" s="9" t="n">
        <v>-6.3</v>
      </c>
    </row>
    <row r="2643" ht="15" customFormat="1" customHeight="1" s="5">
      <c r="A2643" s="81" t="n">
        <v>45831</v>
      </c>
      <c r="B2643" s="82" t="n">
        <v>0.38125</v>
      </c>
      <c r="C2643" s="5" t="inlineStr">
        <is>
          <t>Safeway</t>
        </is>
      </c>
      <c r="E2643" s="5" t="n">
        <v>1</v>
      </c>
      <c r="F2643" s="16" t="inlineStr">
        <is>
          <t>2612 124 34 7805</t>
        </is>
      </c>
      <c r="G2643" s="10" t="n"/>
      <c r="H2643" s="9" t="inlineStr">
        <is>
          <t>Tax</t>
        </is>
      </c>
      <c r="I2643" s="9" t="n">
        <v>5</v>
      </c>
      <c r="J2643" s="9" t="inlineStr">
        <is>
          <t>cnt</t>
        </is>
      </c>
      <c r="K2643" s="9" t="n">
        <v>0</v>
      </c>
    </row>
    <row r="2644" ht="15" customFormat="1" customHeight="1" s="5">
      <c r="A2644" s="81" t="n">
        <v>45831</v>
      </c>
      <c r="B2644" s="82" t="n">
        <v>0.38125</v>
      </c>
      <c r="C2644" s="5" t="inlineStr">
        <is>
          <t>Safeway</t>
        </is>
      </c>
      <c r="E2644" s="5" t="n">
        <v>1</v>
      </c>
      <c r="F2644" s="16" t="inlineStr">
        <is>
          <t>2612 124 34 7805</t>
        </is>
      </c>
      <c r="G2644" s="15" t="inlineStr">
        <is>
          <t>2113009029</t>
        </is>
      </c>
      <c r="H2644" s="9" t="inlineStr">
        <is>
          <t>Signature Select Green Peas Frozen</t>
        </is>
      </c>
      <c r="I2644" s="9" t="n">
        <v>32</v>
      </c>
      <c r="J2644" s="9" t="inlineStr">
        <is>
          <t>oz</t>
        </is>
      </c>
      <c r="K2644" s="9" t="n">
        <v>3.99</v>
      </c>
    </row>
    <row r="2645" ht="15" customFormat="1" customHeight="1" s="5">
      <c r="A2645" s="81" t="n">
        <v>45831</v>
      </c>
      <c r="B2645" s="82" t="n">
        <v>0.38125</v>
      </c>
      <c r="C2645" s="5" t="inlineStr">
        <is>
          <t>Safeway</t>
        </is>
      </c>
      <c r="E2645" s="5" t="n">
        <v>1</v>
      </c>
      <c r="F2645" s="16" t="inlineStr">
        <is>
          <t>2612 124 34 7805</t>
        </is>
      </c>
      <c r="G2645" s="15" t="inlineStr">
        <is>
          <t>2113034062</t>
        </is>
      </c>
      <c r="H2645" s="9" t="inlineStr">
        <is>
          <t>Signature Select Crinkle Cut Carrots Frozen</t>
        </is>
      </c>
      <c r="I2645" s="9" t="n">
        <v>12</v>
      </c>
      <c r="J2645" s="9" t="inlineStr">
        <is>
          <t>oz</t>
        </is>
      </c>
      <c r="K2645" s="9" t="n">
        <v>1.99</v>
      </c>
    </row>
    <row r="2646" ht="15" customFormat="1" customHeight="1" s="5">
      <c r="A2646" s="81" t="n">
        <v>45831</v>
      </c>
      <c r="B2646" s="82" t="n">
        <v>0.38125</v>
      </c>
      <c r="C2646" s="5" t="inlineStr">
        <is>
          <t>Safeway</t>
        </is>
      </c>
      <c r="E2646" s="5" t="n">
        <v>1</v>
      </c>
      <c r="F2646" s="16" t="inlineStr">
        <is>
          <t>2612 124 34 7805</t>
        </is>
      </c>
      <c r="G2646" s="15" t="inlineStr">
        <is>
          <t>2113034062</t>
        </is>
      </c>
      <c r="H2646" s="9" t="inlineStr">
        <is>
          <t>**DISCOUNT** Member Savings</t>
        </is>
      </c>
      <c r="I2646" s="9" t="n">
        <v>12</v>
      </c>
      <c r="J2646" s="9" t="inlineStr">
        <is>
          <t>oz</t>
        </is>
      </c>
      <c r="K2646" s="9" t="n">
        <v>-0.32</v>
      </c>
    </row>
    <row r="2647" ht="15" customFormat="1" customHeight="1" s="5">
      <c r="A2647" s="81" t="n">
        <v>45831</v>
      </c>
      <c r="B2647" s="82" t="n">
        <v>0.38125</v>
      </c>
      <c r="C2647" s="5" t="inlineStr">
        <is>
          <t>Safeway</t>
        </is>
      </c>
      <c r="E2647" s="5" t="n">
        <v>1</v>
      </c>
      <c r="F2647" s="16" t="inlineStr">
        <is>
          <t>2612 124 34 7805</t>
        </is>
      </c>
      <c r="G2647" s="15" t="inlineStr">
        <is>
          <t>4550</t>
        </is>
      </c>
      <c r="H2647" s="9" t="inlineStr">
        <is>
          <t>Brussels Sprouts @$2.99/lb</t>
        </is>
      </c>
      <c r="I2647" s="9" t="n">
        <v>2.38</v>
      </c>
      <c r="J2647" s="9" t="inlineStr">
        <is>
          <t>lb</t>
        </is>
      </c>
      <c r="K2647" s="9" t="n">
        <v>9.5</v>
      </c>
    </row>
    <row r="2648" ht="15" customFormat="1" customHeight="1" s="5">
      <c r="A2648" s="81" t="n">
        <v>45831</v>
      </c>
      <c r="B2648" s="82" t="n">
        <v>0.38125</v>
      </c>
      <c r="C2648" s="5" t="inlineStr">
        <is>
          <t>Safeway</t>
        </is>
      </c>
      <c r="E2648" s="5" t="n">
        <v>1</v>
      </c>
      <c r="F2648" s="16" t="inlineStr">
        <is>
          <t>2612 124 34 7805</t>
        </is>
      </c>
      <c r="G2648" s="15" t="inlineStr">
        <is>
          <t>4550</t>
        </is>
      </c>
      <c r="H2648" s="9" t="inlineStr">
        <is>
          <t>**DISCOUNT** Member Savings</t>
        </is>
      </c>
      <c r="I2648" s="9" t="n">
        <v>2.38</v>
      </c>
      <c r="J2648" s="9" t="inlineStr">
        <is>
          <t>lb</t>
        </is>
      </c>
      <c r="K2648" s="9" t="n">
        <v>-2.38</v>
      </c>
    </row>
    <row r="2649" ht="15" customFormat="1" customHeight="1" s="5">
      <c r="A2649" s="81" t="n">
        <v>45831</v>
      </c>
      <c r="B2649" s="82" t="n">
        <v>0.38125</v>
      </c>
      <c r="C2649" s="5" t="inlineStr">
        <is>
          <t>Safeway</t>
        </is>
      </c>
      <c r="E2649" s="5" t="n">
        <v>1</v>
      </c>
      <c r="F2649" s="16" t="inlineStr">
        <is>
          <t>2612 124 34 7805</t>
        </is>
      </c>
      <c r="G2649" s="10" t="n"/>
      <c r="H2649" s="9" t="inlineStr">
        <is>
          <t>Safeway gift cards from Denver Post</t>
        </is>
      </c>
      <c r="I2649" s="9" t="n">
        <v>3</v>
      </c>
      <c r="J2649" s="9" t="inlineStr">
        <is>
          <t>cnt</t>
        </is>
      </c>
      <c r="K2649" s="9" t="n">
        <v>-20</v>
      </c>
    </row>
    <row r="2650" ht="15" customFormat="1" customHeight="1" s="5">
      <c r="A2650" s="81" t="n">
        <v>45831</v>
      </c>
      <c r="B2650" s="82" t="n">
        <v>0.38125</v>
      </c>
      <c r="C2650" s="5" t="inlineStr">
        <is>
          <t>Safeway</t>
        </is>
      </c>
      <c r="E2650" s="5" t="n">
        <v>1</v>
      </c>
      <c r="F2650" s="16" t="inlineStr">
        <is>
          <t>2612 124 34 7805</t>
        </is>
      </c>
      <c r="G2650" s="10" t="n"/>
      <c r="H2650" s="9" t="inlineStr">
        <is>
          <t>Safeway gift cards from Denver Post OFFSET</t>
        </is>
      </c>
      <c r="I2650" s="9" t="n">
        <v>3</v>
      </c>
      <c r="J2650" s="9" t="inlineStr">
        <is>
          <t>cnt</t>
        </is>
      </c>
      <c r="K2650" s="9" t="n">
        <v>20</v>
      </c>
    </row>
    <row r="2651" ht="15" customFormat="1" customHeight="1" s="5">
      <c r="A2651" s="81" t="n">
        <v>45830</v>
      </c>
      <c r="B2651" s="82" t="n">
        <v>0.675</v>
      </c>
      <c r="C2651" s="5" t="inlineStr">
        <is>
          <t>Dollar Tree, The</t>
        </is>
      </c>
      <c r="E2651" s="5" t="n">
        <v>1</v>
      </c>
      <c r="F2651" s="16" t="inlineStr">
        <is>
          <t>6409 02580 01 001 27052291</t>
        </is>
      </c>
      <c r="G2651" s="10" t="n"/>
      <c r="H2651" s="9" t="inlineStr">
        <is>
          <t>Play-Doh Super Gold Pack 6 x 3oz jars (green, blue, purple, pink, white, gold)</t>
        </is>
      </c>
      <c r="I2651" s="9" t="n">
        <v>18</v>
      </c>
      <c r="J2651" s="9" t="inlineStr">
        <is>
          <t>oz</t>
        </is>
      </c>
      <c r="K2651" s="9" t="n">
        <v>3</v>
      </c>
    </row>
    <row r="2652" ht="15" customFormat="1" customHeight="1" s="5">
      <c r="A2652" s="81" t="n">
        <v>45830</v>
      </c>
      <c r="B2652" s="82" t="n">
        <v>0.675</v>
      </c>
      <c r="C2652" s="5" t="inlineStr">
        <is>
          <t>Dollar Tree, The</t>
        </is>
      </c>
      <c r="E2652" s="5" t="n">
        <v>1</v>
      </c>
      <c r="F2652" s="16" t="inlineStr">
        <is>
          <t>6409 02580 01 001 27052291</t>
        </is>
      </c>
      <c r="G2652" s="10" t="n"/>
      <c r="H2652" s="9" t="inlineStr">
        <is>
          <t>Play-Doh Super Gold Pack 6 x 3oz jars (green, blue, purple, pink, white, gold)</t>
        </is>
      </c>
      <c r="I2652" s="9" t="n">
        <v>18</v>
      </c>
      <c r="J2652" s="9" t="inlineStr">
        <is>
          <t>oz</t>
        </is>
      </c>
      <c r="K2652" s="9" t="n">
        <v>3</v>
      </c>
    </row>
    <row r="2653" ht="15" customFormat="1" customHeight="1" s="5">
      <c r="A2653" s="81" t="n">
        <v>45830</v>
      </c>
      <c r="B2653" s="82" t="n">
        <v>0.675</v>
      </c>
      <c r="C2653" s="5" t="inlineStr">
        <is>
          <t>Dollar Tree, The</t>
        </is>
      </c>
      <c r="E2653" s="5" t="n">
        <v>1</v>
      </c>
      <c r="F2653" s="16" t="inlineStr">
        <is>
          <t>6409 02580 01 001 27052291</t>
        </is>
      </c>
      <c r="G2653" s="10" t="n"/>
      <c r="H2653" s="9" t="inlineStr">
        <is>
          <t>Play-Doh Foodie Set: "Kitchen  creations: Juicer"</t>
        </is>
      </c>
      <c r="I2653" s="9" t="n">
        <v>4</v>
      </c>
      <c r="J2653" s="9" t="inlineStr">
        <is>
          <t>oz</t>
        </is>
      </c>
      <c r="K2653" s="9" t="n">
        <v>5</v>
      </c>
    </row>
    <row r="2654" ht="15" customFormat="1" customHeight="1" s="5">
      <c r="A2654" s="81" t="n">
        <v>45830</v>
      </c>
      <c r="B2654" s="82" t="n">
        <v>0.675</v>
      </c>
      <c r="C2654" s="5" t="inlineStr">
        <is>
          <t>Dollar Tree, The</t>
        </is>
      </c>
      <c r="E2654" s="5" t="n">
        <v>1</v>
      </c>
      <c r="F2654" s="16" t="inlineStr">
        <is>
          <t>6409 02580 01 001 27052291</t>
        </is>
      </c>
      <c r="G2654" s="10" t="n"/>
      <c r="H2654" s="9" t="inlineStr">
        <is>
          <t>Play-Doh Teeth Set: "mini doctor drill and fill"</t>
        </is>
      </c>
      <c r="I2654" s="9" t="n">
        <v>4</v>
      </c>
      <c r="J2654" s="9" t="inlineStr">
        <is>
          <t>oz</t>
        </is>
      </c>
      <c r="K2654" s="9" t="n">
        <v>5</v>
      </c>
    </row>
    <row r="2655" ht="15" customFormat="1" customHeight="1" s="5">
      <c r="A2655" s="81" t="n">
        <v>45830</v>
      </c>
      <c r="B2655" s="82" t="n">
        <v>0.675</v>
      </c>
      <c r="C2655" s="5" t="inlineStr">
        <is>
          <t>Dollar Tree, The</t>
        </is>
      </c>
      <c r="E2655" s="5" t="n">
        <v>1</v>
      </c>
      <c r="F2655" s="16" t="inlineStr">
        <is>
          <t>6409 02580 01 001 27052291</t>
        </is>
      </c>
      <c r="G2655" s="10" t="n"/>
      <c r="H2655" s="9" t="inlineStr">
        <is>
          <t>Sales Tax</t>
        </is>
      </c>
      <c r="I2655" s="9" t="n">
        <v>4</v>
      </c>
      <c r="J2655" s="9" t="inlineStr">
        <is>
          <t>cnt</t>
        </is>
      </c>
      <c r="K2655" s="9" t="n">
        <v>1.28</v>
      </c>
    </row>
    <row r="2656" ht="15" customFormat="1" customHeight="1" s="5">
      <c r="A2656" s="81" t="n">
        <v>45830</v>
      </c>
      <c r="B2656" s="82" t="n">
        <v>0.6618055555555555</v>
      </c>
      <c r="C2656" s="5" t="inlineStr">
        <is>
          <t>Harbor Freight</t>
        </is>
      </c>
      <c r="E2656" s="5" t="n">
        <v>1</v>
      </c>
      <c r="F2656" s="6" t="inlineStr">
        <is>
          <t>896879</t>
        </is>
      </c>
      <c r="G2656" s="10" t="inlineStr">
        <is>
          <t>SKU 744</t>
        </is>
      </c>
      <c r="H2656" s="9" t="inlineStr">
        <is>
          <t>HFT Funnel Set, 4-Piece, plastic, red; 2 in, 3 in, 4 in, 5 in. diameter funnels; Durable, thick-walled polypropylene construction; High-visibility color</t>
        </is>
      </c>
      <c r="I2656" s="9" t="n">
        <v>4</v>
      </c>
      <c r="J2656" s="9" t="inlineStr">
        <is>
          <t>cnt</t>
        </is>
      </c>
      <c r="K2656" s="9" t="n">
        <v>1.79</v>
      </c>
    </row>
    <row r="2657" ht="15" customFormat="1" customHeight="1" s="5">
      <c r="A2657" s="81" t="n">
        <v>45830</v>
      </c>
      <c r="B2657" s="82" t="n">
        <v>0.6618055555555555</v>
      </c>
      <c r="C2657" s="5" t="inlineStr">
        <is>
          <t>Harbor Freight</t>
        </is>
      </c>
      <c r="E2657" s="5" t="n">
        <v>1</v>
      </c>
      <c r="F2657" s="6" t="inlineStr">
        <is>
          <t>896879</t>
        </is>
      </c>
      <c r="G2657" s="10" t="inlineStr">
        <is>
          <t>SKU 744</t>
        </is>
      </c>
      <c r="H2657" s="9" t="inlineStr">
        <is>
          <t>**DISCOUNT** Harbor Freight Advertisement Email</t>
        </is>
      </c>
      <c r="I2657" s="9" t="n">
        <v>4</v>
      </c>
      <c r="J2657" s="9" t="inlineStr">
        <is>
          <t>cnt</t>
        </is>
      </c>
      <c r="K2657" s="9" t="n">
        <v>-0.79</v>
      </c>
    </row>
    <row r="2658" ht="15" customFormat="1" customHeight="1" s="5">
      <c r="A2658" s="81" t="n">
        <v>45830</v>
      </c>
      <c r="B2658" s="82" t="n">
        <v>0.6618055555555555</v>
      </c>
      <c r="C2658" s="5" t="inlineStr">
        <is>
          <t>Harbor Freight</t>
        </is>
      </c>
      <c r="E2658" s="5" t="n">
        <v>1</v>
      </c>
      <c r="F2658" s="6" t="inlineStr">
        <is>
          <t>896879</t>
        </is>
      </c>
      <c r="G2658" s="10" t="inlineStr">
        <is>
          <t>SKU 67971</t>
        </is>
      </c>
      <c r="H2658" s="9" t="inlineStr">
        <is>
          <t>PITTSBURGH Wobble Socket Extension Set, 9-Piece</t>
        </is>
      </c>
      <c r="I2658" s="9" t="n">
        <v>9</v>
      </c>
      <c r="J2658" s="9" t="inlineStr">
        <is>
          <t>cnt</t>
        </is>
      </c>
      <c r="K2658" s="9" t="n">
        <v>16.99</v>
      </c>
    </row>
    <row r="2659" ht="15" customFormat="1" customHeight="1" s="5">
      <c r="A2659" s="81" t="n">
        <v>45830</v>
      </c>
      <c r="B2659" s="82" t="n">
        <v>0.6618055555555555</v>
      </c>
      <c r="C2659" s="5" t="inlineStr">
        <is>
          <t>Harbor Freight</t>
        </is>
      </c>
      <c r="E2659" s="5" t="n">
        <v>1</v>
      </c>
      <c r="F2659" s="6" t="inlineStr">
        <is>
          <t>896879</t>
        </is>
      </c>
      <c r="G2659" s="10" t="inlineStr">
        <is>
          <t>SKU 67971</t>
        </is>
      </c>
      <c r="H2659" s="9" t="inlineStr">
        <is>
          <t>**DISCOUNT** Harbor Freight Advertisement Email</t>
        </is>
      </c>
      <c r="I2659" s="9" t="n">
        <v>9</v>
      </c>
      <c r="J2659" s="9" t="inlineStr">
        <is>
          <t>cnt</t>
        </is>
      </c>
      <c r="K2659" s="9" t="n">
        <v>-7.1</v>
      </c>
    </row>
    <row r="2660" ht="15" customFormat="1" customHeight="1" s="5">
      <c r="A2660" s="81" t="n">
        <v>45830</v>
      </c>
      <c r="B2660" s="82" t="n">
        <v>0.6618055555555555</v>
      </c>
      <c r="C2660" s="5" t="inlineStr">
        <is>
          <t>Harbor Freight</t>
        </is>
      </c>
      <c r="E2660" s="5" t="n">
        <v>1</v>
      </c>
      <c r="F2660" s="6" t="inlineStr">
        <is>
          <t>896879</t>
        </is>
      </c>
      <c r="G2660" s="10" t="n"/>
      <c r="H2660" s="9" t="inlineStr">
        <is>
          <t>Sales Tax</t>
        </is>
      </c>
      <c r="I2660" s="9" t="n">
        <v>2</v>
      </c>
      <c r="J2660" s="9" t="inlineStr">
        <is>
          <t>cnt</t>
        </is>
      </c>
      <c r="K2660" s="9" t="n">
        <v>0.87</v>
      </c>
    </row>
    <row r="2661" ht="15" customFormat="1" customHeight="1" s="5">
      <c r="A2661" s="81" t="n">
        <v>45829</v>
      </c>
      <c r="B2661" s="82" t="n">
        <v>0.4097222222222222</v>
      </c>
      <c r="C2661" s="5" t="inlineStr">
        <is>
          <t>Daiso</t>
        </is>
      </c>
      <c r="E2661" s="5" t="n">
        <v>1</v>
      </c>
      <c r="F2661" s="16" t="inlineStr">
        <is>
          <t>na_haveNotSeenReceipt</t>
        </is>
      </c>
      <c r="G2661" s="10" t="n"/>
      <c r="H2661" s="9" t="inlineStr">
        <is>
          <t xml:space="preserve">two small lego play sets </t>
        </is>
      </c>
      <c r="I2661" s="9" t="n">
        <v>2</v>
      </c>
      <c r="J2661" s="9" t="inlineStr">
        <is>
          <t>cnt</t>
        </is>
      </c>
      <c r="K2661" s="9" t="n">
        <v>4.5</v>
      </c>
    </row>
    <row r="2662" ht="15" customFormat="1" customHeight="1" s="5">
      <c r="A2662" s="81" t="n">
        <v>45829</v>
      </c>
      <c r="B2662" s="82" t="n">
        <v>0.4097222222222222</v>
      </c>
      <c r="C2662" s="5" t="inlineStr">
        <is>
          <t>Daiso</t>
        </is>
      </c>
      <c r="E2662" s="5" t="n">
        <v>1</v>
      </c>
      <c r="F2662" s="16" t="inlineStr">
        <is>
          <t>na_haveNotSeenReceipt</t>
        </is>
      </c>
      <c r="G2662" s="10" t="n"/>
      <c r="H2662" s="9" t="inlineStr">
        <is>
          <t>tax (I am assuming; haven't seen the receipt)</t>
        </is>
      </c>
      <c r="I2662" s="9" t="n">
        <v>2</v>
      </c>
      <c r="J2662" s="9" t="inlineStr">
        <is>
          <t>cnt</t>
        </is>
      </c>
      <c r="K2662" s="9" t="n">
        <v>0.36</v>
      </c>
    </row>
    <row r="2663" ht="15" customFormat="1" customHeight="1" s="5">
      <c r="A2663" s="81" t="n">
        <v>45828</v>
      </c>
      <c r="B2663" s="82" t="n">
        <v>0.6722222222222223</v>
      </c>
      <c r="C2663" s="5" t="inlineStr">
        <is>
          <t>Aurora Water</t>
        </is>
      </c>
      <c r="D2663" s="5" t="n">
        <v>1</v>
      </c>
      <c r="F2663" s="6" t="inlineStr">
        <is>
          <t>0003083588_4345697834</t>
        </is>
      </c>
      <c r="G2663" s="7" t="n"/>
      <c r="H2663" s="9" t="inlineStr">
        <is>
          <t>First 5K GAL @$5.63/KGal</t>
        </is>
      </c>
      <c r="I2663" s="9" t="n">
        <v>4</v>
      </c>
      <c r="J2663" s="9" t="inlineStr">
        <is>
          <t>KGal</t>
        </is>
      </c>
      <c r="K2663" s="9" t="n">
        <v>22.52</v>
      </c>
    </row>
    <row r="2664" ht="15" customFormat="1" customHeight="1" s="5">
      <c r="A2664" s="81" t="n">
        <v>45828</v>
      </c>
      <c r="B2664" s="82" t="n">
        <v>0.6722222222222223</v>
      </c>
      <c r="C2664" s="5" t="inlineStr">
        <is>
          <t>Aurora Water</t>
        </is>
      </c>
      <c r="D2664" s="5" t="n">
        <v>1</v>
      </c>
      <c r="F2664" s="6" t="inlineStr">
        <is>
          <t>0003083588_4345697834</t>
        </is>
      </c>
      <c r="G2664" s="7" t="n"/>
      <c r="H2664" s="9" t="inlineStr">
        <is>
          <t>Sewer Usage Chg @$5.06/Kgal</t>
        </is>
      </c>
      <c r="I2664" s="9" t="n">
        <v>3.33</v>
      </c>
      <c r="J2664" s="9" t="inlineStr">
        <is>
          <t>kGal</t>
        </is>
      </c>
      <c r="K2664" s="9" t="n">
        <v>16.85</v>
      </c>
    </row>
    <row r="2665" ht="15" customFormat="1" customHeight="1" s="5">
      <c r="A2665" s="81" t="n">
        <v>45828</v>
      </c>
      <c r="B2665" s="82" t="n">
        <v>0.6722222222222223</v>
      </c>
      <c r="C2665" s="5" t="inlineStr">
        <is>
          <t>Aurora Water</t>
        </is>
      </c>
      <c r="D2665" s="5" t="n">
        <v>1</v>
      </c>
      <c r="F2665" s="6" t="inlineStr">
        <is>
          <t>0003083588_4345697834</t>
        </is>
      </c>
      <c r="G2665" s="7" t="n"/>
      <c r="H2665" s="9" t="inlineStr">
        <is>
          <t>Water Monthly Svc Chg</t>
        </is>
      </c>
      <c r="I2665" s="9" t="n"/>
      <c r="J2665" s="9" t="n"/>
      <c r="K2665" s="9" t="n">
        <v>14.94</v>
      </c>
    </row>
    <row r="2666" ht="15" customFormat="1" customHeight="1" s="5">
      <c r="A2666" s="81" t="n">
        <v>45828</v>
      </c>
      <c r="B2666" s="82" t="n">
        <v>0.6722222222222223</v>
      </c>
      <c r="C2666" s="5" t="inlineStr">
        <is>
          <t>Aurora Water</t>
        </is>
      </c>
      <c r="D2666" s="5" t="n">
        <v>1</v>
      </c>
      <c r="F2666" s="6" t="inlineStr">
        <is>
          <t>0003083588_4345697834</t>
        </is>
      </c>
      <c r="G2666" s="7" t="n"/>
      <c r="H2666" s="9" t="inlineStr">
        <is>
          <t>Storm Drain Base</t>
        </is>
      </c>
      <c r="I2666" s="9" t="n"/>
      <c r="J2666" s="9" t="n"/>
      <c r="K2666" s="9" t="n">
        <v>11.6</v>
      </c>
    </row>
    <row r="2667" ht="15" customFormat="1" customHeight="1" s="5">
      <c r="A2667" s="81" t="n">
        <v>45828</v>
      </c>
      <c r="B2667" s="82" t="n">
        <v>0.6722222222222223</v>
      </c>
      <c r="C2667" s="5" t="inlineStr">
        <is>
          <t>Aurora Water</t>
        </is>
      </c>
      <c r="D2667" s="5" t="n">
        <v>1</v>
      </c>
      <c r="F2667" s="6" t="inlineStr">
        <is>
          <t>0003083588_4345697834</t>
        </is>
      </c>
      <c r="G2667" s="7" t="n"/>
      <c r="H2667" s="9" t="inlineStr">
        <is>
          <t>Sewer Monthly Svc Chg</t>
        </is>
      </c>
      <c r="I2667" s="9" t="n"/>
      <c r="J2667" s="9" t="n"/>
      <c r="K2667" s="9" t="n">
        <v>5.51</v>
      </c>
    </row>
    <row r="2668" ht="15" customFormat="1" customHeight="1" s="5">
      <c r="A2668" s="81" t="n">
        <v>45828</v>
      </c>
      <c r="B2668" s="82" t="n">
        <v>0.5180555555555556</v>
      </c>
      <c r="C2668" s="5" t="inlineStr">
        <is>
          <t>Amazon</t>
        </is>
      </c>
      <c r="D2668" s="5" t="n">
        <v>1</v>
      </c>
      <c r="F2668" s="16" t="inlineStr">
        <is>
          <t>111-5739060-8215430</t>
        </is>
      </c>
      <c r="G2668" s="10" t="n"/>
      <c r="H2668" s="9" t="inlineStr">
        <is>
          <t>Helium Pickleball Paddles Set of 4 - USAPA Certified - Graphite Fiberglass Surface, Lightweight Honeycomb Core</t>
        </is>
      </c>
      <c r="I2668" s="9" t="n">
        <v>4</v>
      </c>
      <c r="J2668" s="9" t="inlineStr">
        <is>
          <t>cnt</t>
        </is>
      </c>
      <c r="K2668" s="9" t="n">
        <v>44.99</v>
      </c>
    </row>
    <row r="2669" ht="15" customFormat="1" customHeight="1" s="5">
      <c r="A2669" s="81" t="n">
        <v>45828</v>
      </c>
      <c r="B2669" s="82" t="n">
        <v>0.5180555555555556</v>
      </c>
      <c r="C2669" s="5" t="inlineStr">
        <is>
          <t>Amazon</t>
        </is>
      </c>
      <c r="D2669" s="5" t="n">
        <v>1</v>
      </c>
      <c r="F2669" s="16" t="inlineStr">
        <is>
          <t>111-5739060-8215430</t>
        </is>
      </c>
      <c r="G2669" s="10" t="n"/>
      <c r="H2669" s="9" t="inlineStr">
        <is>
          <t>Tax</t>
        </is>
      </c>
      <c r="I2669" s="9" t="n">
        <v>3</v>
      </c>
      <c r="J2669" s="9" t="inlineStr">
        <is>
          <t>cnt</t>
        </is>
      </c>
      <c r="K2669" s="9" t="n">
        <v>7.45</v>
      </c>
    </row>
    <row r="2670" ht="15" customFormat="1" customHeight="1" s="5">
      <c r="A2670" s="81" t="n">
        <v>45828</v>
      </c>
      <c r="B2670" s="82" t="n">
        <v>0.5180555555555556</v>
      </c>
      <c r="C2670" s="5" t="inlineStr">
        <is>
          <t>Amazon</t>
        </is>
      </c>
      <c r="D2670" s="5" t="n">
        <v>1</v>
      </c>
      <c r="F2670" s="16" t="inlineStr">
        <is>
          <t>111-5739060-8215430</t>
        </is>
      </c>
      <c r="G2670" s="10" t="n"/>
      <c r="H2670" s="9" t="inlineStr">
        <is>
          <t>20 Pack Magnetic Cabinet Locks Baby Proofing - Vmaisi Children Proof Cupboard Drawers Latches - Adhesive Easy Installation</t>
        </is>
      </c>
      <c r="I2670" s="9" t="n">
        <v>20</v>
      </c>
      <c r="J2670" s="9" t="inlineStr">
        <is>
          <t>cnt</t>
        </is>
      </c>
      <c r="K2670" s="9" t="n">
        <v>39.99</v>
      </c>
    </row>
    <row r="2671" ht="15" customFormat="1" customHeight="1" s="5">
      <c r="A2671" s="81" t="n">
        <v>45828</v>
      </c>
      <c r="B2671" s="82" t="n">
        <v>0.5180555555555556</v>
      </c>
      <c r="C2671" s="5" t="inlineStr">
        <is>
          <t>Amazon</t>
        </is>
      </c>
      <c r="D2671" s="5" t="n">
        <v>1</v>
      </c>
      <c r="F2671" s="16" t="inlineStr">
        <is>
          <t>111-5739060-8215430</t>
        </is>
      </c>
      <c r="G2671" s="10" t="n"/>
      <c r="H2671" s="9" t="inlineStr">
        <is>
          <t>NOW Foods Solutions, Vegetable Glycerin, 100% Pure, Versatile Skin Care, Softening and Moisturizing, 16-Ounce</t>
        </is>
      </c>
      <c r="I2671" s="9" t="n">
        <v>16</v>
      </c>
      <c r="J2671" s="9" t="inlineStr">
        <is>
          <t>oz</t>
        </is>
      </c>
      <c r="K2671" s="9" t="n">
        <v>8.08</v>
      </c>
    </row>
    <row r="2672" ht="15" customFormat="1" customHeight="1" s="5">
      <c r="A2672" s="81" t="n">
        <v>45828</v>
      </c>
      <c r="B2672" s="82" t="n">
        <v>0.5180555555555556</v>
      </c>
      <c r="C2672" s="5" t="inlineStr">
        <is>
          <t>Amazon</t>
        </is>
      </c>
      <c r="D2672" s="5" t="n">
        <v>1</v>
      </c>
      <c r="F2672" s="16" t="inlineStr">
        <is>
          <t>111-6766867-4209064</t>
        </is>
      </c>
      <c r="G2672" s="10" t="n"/>
      <c r="H2672" s="9" t="inlineStr">
        <is>
          <t>Pandasaurus Games The Mind - Family-Friendly Board Games - Game Night - Card Games for Adults, Teens &amp; Kids (2-4 Players)</t>
        </is>
      </c>
      <c r="I2672" s="9" t="n">
        <v>1</v>
      </c>
      <c r="J2672" s="9" t="inlineStr">
        <is>
          <t>cnt</t>
        </is>
      </c>
      <c r="K2672" s="9" t="n">
        <v>13.49</v>
      </c>
    </row>
    <row r="2673" ht="15" customFormat="1" customHeight="1" s="5">
      <c r="A2673" s="81" t="n">
        <v>45828</v>
      </c>
      <c r="B2673" s="82" t="n">
        <v>0.5180555555555556</v>
      </c>
      <c r="C2673" s="5" t="inlineStr">
        <is>
          <t>Amazon</t>
        </is>
      </c>
      <c r="D2673" s="5" t="n">
        <v>1</v>
      </c>
      <c r="F2673" s="16" t="inlineStr">
        <is>
          <t>111-6766867-4209064</t>
        </is>
      </c>
      <c r="G2673" s="10" t="n"/>
      <c r="H2673" s="9" t="inlineStr">
        <is>
          <t>Cheese Grater with Handle, Vituer Stainless Steel Graters for Kitchen, Cheese Grater Lemon Zester Handheld, Great for Cheese, Ginger, Chocolate, Spices and More, Dishwasher Safe</t>
        </is>
      </c>
      <c r="I2673" s="9" t="n">
        <v>1</v>
      </c>
      <c r="J2673" s="9" t="inlineStr">
        <is>
          <t>cnt</t>
        </is>
      </c>
      <c r="K2673" s="9" t="n">
        <v>4.99</v>
      </c>
    </row>
    <row r="2674" ht="15" customFormat="1" customHeight="1" s="5">
      <c r="A2674" s="81" t="n">
        <v>45828</v>
      </c>
      <c r="B2674" s="82" t="n">
        <v>0.5180555555555556</v>
      </c>
      <c r="C2674" s="5" t="inlineStr">
        <is>
          <t>Amazon</t>
        </is>
      </c>
      <c r="D2674" s="5" t="n">
        <v>1</v>
      </c>
      <c r="F2674" s="16" t="inlineStr">
        <is>
          <t>111-6766867-4209064</t>
        </is>
      </c>
      <c r="G2674" s="10" t="n"/>
      <c r="H2674" s="9" t="inlineStr">
        <is>
          <t>Tax</t>
        </is>
      </c>
      <c r="I2674" s="9" t="n">
        <v>2</v>
      </c>
      <c r="J2674" s="9" t="inlineStr">
        <is>
          <t>cnt</t>
        </is>
      </c>
      <c r="K2674" s="9" t="n">
        <v>1.48</v>
      </c>
    </row>
    <row r="2675" ht="15" customFormat="1" customHeight="1" s="5">
      <c r="A2675" s="79" t="n">
        <v>45828</v>
      </c>
      <c r="B2675" s="78" t="n">
        <v>0.4965277777777778</v>
      </c>
      <c r="C2675" s="35" t="inlineStr">
        <is>
          <t>Children's Eye Physicians</t>
        </is>
      </c>
      <c r="D2675" s="35" t="n">
        <v>1</v>
      </c>
      <c r="E2675" s="35" t="n"/>
      <c r="F2675" s="47" t="inlineStr">
        <is>
          <t>160819479</t>
        </is>
      </c>
      <c r="G2675" s="53" t="inlineStr">
        <is>
          <t>2025156DX6513</t>
        </is>
      </c>
      <c r="H2675" s="49" t="inlineStr">
        <is>
          <t>5/28 Elisheva Eye exam</t>
        </is>
      </c>
      <c r="I2675" s="49" t="n">
        <v>1</v>
      </c>
      <c r="J2675" s="49" t="inlineStr">
        <is>
          <t>cnt</t>
        </is>
      </c>
      <c r="K2675" s="49" t="n">
        <v>145</v>
      </c>
    </row>
    <row r="2676" ht="15" customFormat="1" customHeight="1" s="5">
      <c r="A2676" s="79" t="n">
        <v>45828</v>
      </c>
      <c r="B2676" s="78" t="n">
        <v>0.4965277777777778</v>
      </c>
      <c r="C2676" s="35" t="inlineStr">
        <is>
          <t>Children's Eye Physicians</t>
        </is>
      </c>
      <c r="D2676" s="35" t="n">
        <v>1</v>
      </c>
      <c r="E2676" s="35" t="n"/>
      <c r="F2676" s="47" t="inlineStr">
        <is>
          <t>160819479</t>
        </is>
      </c>
      <c r="G2676" s="53" t="n"/>
      <c r="H2676" s="49" t="inlineStr">
        <is>
          <t>**DISCOUNT** BCBS</t>
        </is>
      </c>
      <c r="I2676" s="49" t="n">
        <v>1</v>
      </c>
      <c r="J2676" s="49" t="inlineStr">
        <is>
          <t>cnt</t>
        </is>
      </c>
      <c r="K2676" s="49" t="n">
        <v>-33.31</v>
      </c>
    </row>
    <row r="2677" ht="15" customFormat="1" customHeight="1" s="5">
      <c r="A2677" s="81" t="n">
        <v>45828</v>
      </c>
      <c r="B2677" s="82" t="n">
        <v>0.2916666666666667</v>
      </c>
      <c r="C2677" s="5" t="inlineStr">
        <is>
          <t>Xcel Energy</t>
        </is>
      </c>
      <c r="D2677" s="5" t="n">
        <v>1</v>
      </c>
      <c r="F2677" s="6" t="inlineStr">
        <is>
          <t>925751125_</t>
        </is>
      </c>
      <c r="G2677" s="7" t="n"/>
      <c r="H2677" s="9" t="inlineStr">
        <is>
          <t>Electricity 04/29/25 - 05/29/25</t>
        </is>
      </c>
      <c r="I2677" s="9" t="n">
        <v>268</v>
      </c>
      <c r="J2677" s="9" t="inlineStr">
        <is>
          <t>kWh</t>
        </is>
      </c>
      <c r="K2677" s="9" t="n">
        <v>46.4</v>
      </c>
    </row>
    <row r="2678" ht="15" customFormat="1" customHeight="1" s="5">
      <c r="A2678" s="81" t="n">
        <v>45828</v>
      </c>
      <c r="B2678" s="82" t="n">
        <v>0.2916666666666667</v>
      </c>
      <c r="C2678" s="5" t="inlineStr">
        <is>
          <t>Xcel Energy</t>
        </is>
      </c>
      <c r="D2678" s="5" t="n">
        <v>1</v>
      </c>
      <c r="F2678" s="6" t="inlineStr">
        <is>
          <t>925751125_</t>
        </is>
      </c>
      <c r="G2678" s="7" t="n"/>
      <c r="H2678" s="9" t="inlineStr">
        <is>
          <t>Natural Gas 04/30/25 - 05/30/25</t>
        </is>
      </c>
      <c r="I2678" s="9" t="n">
        <v>12</v>
      </c>
      <c r="J2678" s="9" t="inlineStr">
        <is>
          <t>therms</t>
        </is>
      </c>
      <c r="K2678" s="9" t="n">
        <v>22.71</v>
      </c>
    </row>
    <row r="2679" ht="15" customFormat="1" customHeight="1" s="5">
      <c r="A2679" s="81" t="n">
        <v>45828</v>
      </c>
      <c r="B2679" s="82" t="n">
        <v>0.2916666666666667</v>
      </c>
      <c r="C2679" s="5" t="inlineStr">
        <is>
          <t>Xcel Energy</t>
        </is>
      </c>
      <c r="D2679" s="5" t="n">
        <v>1</v>
      </c>
      <c r="F2679" s="6" t="inlineStr">
        <is>
          <t>925751125_</t>
        </is>
      </c>
      <c r="G2679" s="7" t="n"/>
      <c r="H2679" s="9" t="inlineStr">
        <is>
          <t>Sales Tax</t>
        </is>
      </c>
      <c r="I2679" s="9" t="n"/>
      <c r="J2679" s="9" t="n"/>
      <c r="K2679" s="9">
        <f>1.79+0.88</f>
        <v/>
      </c>
    </row>
    <row r="2680" ht="15" customFormat="1" customHeight="1" s="5">
      <c r="A2680" s="81" t="n">
        <v>45828</v>
      </c>
      <c r="B2680" s="82" t="n">
        <v>0.2916666666666667</v>
      </c>
      <c r="C2680" s="5" t="inlineStr">
        <is>
          <t>Xcel Energy</t>
        </is>
      </c>
      <c r="D2680" s="5" t="n">
        <v>1</v>
      </c>
      <c r="F2680" s="6" t="inlineStr">
        <is>
          <t>925751125_</t>
        </is>
      </c>
      <c r="G2680" s="7" t="n"/>
      <c r="H2680" s="9" t="inlineStr">
        <is>
          <t>Franchise Fee 3.00%</t>
        </is>
      </c>
      <c r="I2680" s="9" t="n"/>
      <c r="J2680" s="9" t="n"/>
      <c r="K2680" s="9">
        <f>1.39+0.69</f>
        <v/>
      </c>
    </row>
    <row r="2681" ht="15" customFormat="1" customHeight="1" s="5">
      <c r="A2681" s="81" t="n">
        <v>45826</v>
      </c>
      <c r="B2681" s="82" t="n">
        <v>0.8236111111111111</v>
      </c>
      <c r="C2681" s="5" t="inlineStr">
        <is>
          <t>Costco</t>
        </is>
      </c>
      <c r="E2681" s="5" t="n">
        <v>1</v>
      </c>
      <c r="F2681" s="6" t="inlineStr">
        <is>
          <t>439 201 241 701</t>
        </is>
      </c>
      <c r="G2681" s="7" t="inlineStr">
        <is>
          <t>E 9090</t>
        </is>
      </c>
      <c r="H2681" s="9" t="inlineStr">
        <is>
          <t>2 x Goat Cheese Logs</t>
        </is>
      </c>
      <c r="I2681" s="9" t="n">
        <v>21</v>
      </c>
      <c r="J2681" s="9" t="inlineStr">
        <is>
          <t>oz</t>
        </is>
      </c>
      <c r="K2681" s="9" t="n">
        <v>8.289999999999999</v>
      </c>
    </row>
    <row r="2682" ht="15" customFormat="1" customHeight="1" s="5">
      <c r="A2682" s="81" t="n">
        <v>45826</v>
      </c>
      <c r="B2682" s="82" t="n">
        <v>0.8236111111111111</v>
      </c>
      <c r="C2682" s="5" t="inlineStr">
        <is>
          <t>Costco</t>
        </is>
      </c>
      <c r="E2682" s="5" t="n">
        <v>1</v>
      </c>
      <c r="F2682" s="6" t="inlineStr">
        <is>
          <t>439 201 241 701</t>
        </is>
      </c>
      <c r="G2682" s="7" t="inlineStr">
        <is>
          <t>E 1296507</t>
        </is>
      </c>
      <c r="H2682" s="9" t="inlineStr">
        <is>
          <t>Organic Madras Lentils Packs</t>
        </is>
      </c>
      <c r="I2682" s="9" t="n">
        <v>5</v>
      </c>
      <c r="J2682" s="9" t="inlineStr">
        <is>
          <t>lb</t>
        </is>
      </c>
      <c r="K2682" s="9" t="n">
        <v>14.79</v>
      </c>
    </row>
    <row r="2683" ht="15" customFormat="1" customHeight="1" s="5">
      <c r="A2683" s="81" t="n">
        <v>45826</v>
      </c>
      <c r="B2683" s="82" t="n">
        <v>0.8236111111111111</v>
      </c>
      <c r="C2683" s="5" t="inlineStr">
        <is>
          <t>Costco</t>
        </is>
      </c>
      <c r="E2683" s="5" t="n">
        <v>1</v>
      </c>
      <c r="F2683" s="6" t="inlineStr">
        <is>
          <t>439 201 241 701</t>
        </is>
      </c>
      <c r="G2683" s="7" t="inlineStr">
        <is>
          <t>E 47739</t>
        </is>
      </c>
      <c r="H2683" s="9" t="inlineStr">
        <is>
          <t>Young Chicken Drumsticks @$0.99/lb</t>
        </is>
      </c>
      <c r="I2683" s="9" t="n">
        <v>8</v>
      </c>
      <c r="J2683" s="9" t="inlineStr">
        <is>
          <t>lb</t>
        </is>
      </c>
      <c r="K2683" s="9" t="n">
        <v>7.92</v>
      </c>
    </row>
    <row r="2684" ht="15" customFormat="1" customHeight="1" s="5">
      <c r="A2684" s="81" t="n">
        <v>45826</v>
      </c>
      <c r="B2684" s="82" t="n">
        <v>0.8236111111111111</v>
      </c>
      <c r="C2684" s="5" t="inlineStr">
        <is>
          <t>Costco</t>
        </is>
      </c>
      <c r="E2684" s="5" t="n">
        <v>1</v>
      </c>
      <c r="F2684" s="6" t="inlineStr">
        <is>
          <t>439 201 241 701</t>
        </is>
      </c>
      <c r="G2684" s="7" t="inlineStr">
        <is>
          <t>E199652</t>
        </is>
      </c>
      <c r="H2684" s="9" t="inlineStr">
        <is>
          <t>Butter Croissants, 12 count</t>
        </is>
      </c>
      <c r="I2684" s="9" t="n">
        <v>28</v>
      </c>
      <c r="J2684" s="9" t="inlineStr">
        <is>
          <t>oz</t>
        </is>
      </c>
      <c r="K2684" s="9" t="n">
        <v>5.99</v>
      </c>
    </row>
    <row r="2685" ht="15" customFormat="1" customHeight="1" s="5">
      <c r="A2685" s="81" t="n">
        <v>45826</v>
      </c>
      <c r="B2685" s="82" t="n">
        <v>0.8236111111111111</v>
      </c>
      <c r="C2685" s="5" t="inlineStr">
        <is>
          <t>Costco</t>
        </is>
      </c>
      <c r="E2685" s="5" t="n">
        <v>1</v>
      </c>
      <c r="F2685" s="6" t="inlineStr">
        <is>
          <t>439 201 241 701</t>
        </is>
      </c>
      <c r="G2685" s="7" t="inlineStr">
        <is>
          <t>E 23917</t>
        </is>
      </c>
      <c r="H2685" s="9" t="inlineStr">
        <is>
          <t>Ivy's Reserve Vintage Somerset Cheddar Cheese Aged for 18 months, made in great britain @$6.99/lb</t>
        </is>
      </c>
      <c r="I2685" s="9" t="n">
        <v>1.04</v>
      </c>
      <c r="J2685" s="9" t="inlineStr">
        <is>
          <t>lb</t>
        </is>
      </c>
      <c r="K2685" s="9" t="n">
        <v>7.27</v>
      </c>
    </row>
    <row r="2686" ht="15" customFormat="1" customHeight="1" s="5">
      <c r="A2686" s="81" t="n">
        <v>45826</v>
      </c>
      <c r="B2686" s="82" t="n">
        <v>0.8236111111111111</v>
      </c>
      <c r="C2686" s="5" t="inlineStr">
        <is>
          <t>Costco</t>
        </is>
      </c>
      <c r="E2686" s="5" t="n">
        <v>1</v>
      </c>
      <c r="F2686" s="6" t="inlineStr">
        <is>
          <t>439 201 241 701</t>
        </is>
      </c>
      <c r="G2686" s="7" t="inlineStr">
        <is>
          <t>E 1251702</t>
        </is>
      </c>
      <c r="H2686" s="9" t="inlineStr">
        <is>
          <t>Kirkland Tempura Shrimp 30 count</t>
        </is>
      </c>
      <c r="I2686" s="9" t="n">
        <v>2.54</v>
      </c>
      <c r="J2686" s="9" t="inlineStr">
        <is>
          <t>lb</t>
        </is>
      </c>
      <c r="K2686" s="9" t="n">
        <v>18.49</v>
      </c>
    </row>
    <row r="2687" ht="15" customFormat="1" customHeight="1" s="5">
      <c r="A2687" s="81" t="n">
        <v>45826</v>
      </c>
      <c r="B2687" s="82" t="n">
        <v>0.8236111111111111</v>
      </c>
      <c r="C2687" s="5" t="inlineStr">
        <is>
          <t>Costco</t>
        </is>
      </c>
      <c r="E2687" s="5" t="n">
        <v>1</v>
      </c>
      <c r="F2687" s="6" t="inlineStr">
        <is>
          <t>439 201 241 701</t>
        </is>
      </c>
      <c r="G2687" s="7" t="inlineStr">
        <is>
          <t>E 1025795</t>
        </is>
      </c>
      <c r="H2687" s="9" t="inlineStr">
        <is>
          <t>KS 5 Dozen Eggs</t>
        </is>
      </c>
      <c r="I2687" s="9" t="n">
        <v>120</v>
      </c>
      <c r="J2687" s="9" t="inlineStr">
        <is>
          <t>oz</t>
        </is>
      </c>
      <c r="K2687" s="9" t="n">
        <v>14.29</v>
      </c>
    </row>
    <row r="2688" ht="15" customFormat="1" customHeight="1" s="5">
      <c r="A2688" s="81" t="n">
        <v>45826</v>
      </c>
      <c r="B2688" s="82" t="n">
        <v>0.8236111111111111</v>
      </c>
      <c r="C2688" s="5" t="inlineStr">
        <is>
          <t>Costco</t>
        </is>
      </c>
      <c r="E2688" s="5" t="n">
        <v>1</v>
      </c>
      <c r="F2688" s="6" t="inlineStr">
        <is>
          <t>439 201 241 701</t>
        </is>
      </c>
      <c r="G2688" s="7" t="inlineStr">
        <is>
          <t>E 982859</t>
        </is>
      </c>
      <c r="H2688" s="9" t="inlineStr">
        <is>
          <t>Chicken Potstickers Ling Ling</t>
        </is>
      </c>
      <c r="I2688" s="9" t="n">
        <v>4.2</v>
      </c>
      <c r="J2688" s="9" t="inlineStr">
        <is>
          <t>lb</t>
        </is>
      </c>
      <c r="K2688" s="9" t="n">
        <v>9.970000000000001</v>
      </c>
    </row>
    <row r="2689" ht="15" customFormat="1" customHeight="1" s="5">
      <c r="A2689" s="81" t="n">
        <v>45826</v>
      </c>
      <c r="B2689" s="82" t="n">
        <v>0.8236111111111111</v>
      </c>
      <c r="C2689" s="5" t="inlineStr">
        <is>
          <t>Costco</t>
        </is>
      </c>
      <c r="E2689" s="5" t="n">
        <v>1</v>
      </c>
      <c r="F2689" s="6" t="inlineStr">
        <is>
          <t>439 201 241 701</t>
        </is>
      </c>
      <c r="G2689" s="7" t="inlineStr">
        <is>
          <t>E 88739</t>
        </is>
      </c>
      <c r="H2689" s="9" t="inlineStr">
        <is>
          <t>Beef Chubs</t>
        </is>
      </c>
      <c r="I2689" s="9" t="n">
        <v>5</v>
      </c>
      <c r="J2689" s="9" t="inlineStr">
        <is>
          <t>lb</t>
        </is>
      </c>
      <c r="K2689" s="9" t="n">
        <v>27.99</v>
      </c>
    </row>
    <row r="2690" ht="15" customFormat="1" customHeight="1" s="5">
      <c r="A2690" s="81" t="n">
        <v>45826</v>
      </c>
      <c r="B2690" s="82" t="n">
        <v>0.8236111111111111</v>
      </c>
      <c r="C2690" s="5" t="inlineStr">
        <is>
          <t>Costco</t>
        </is>
      </c>
      <c r="E2690" s="5" t="n">
        <v>1</v>
      </c>
      <c r="F2690" s="6" t="inlineStr">
        <is>
          <t>439 201 241 701</t>
        </is>
      </c>
      <c r="G2690" s="7" t="inlineStr">
        <is>
          <t>E 550505</t>
        </is>
      </c>
      <c r="H2690" s="9" t="inlineStr">
        <is>
          <t>505 Southwestern Flame Roasted Hatch Valley Green Chile Medium Spice</t>
        </is>
      </c>
      <c r="I2690" s="9" t="n">
        <v>40</v>
      </c>
      <c r="J2690" s="9" t="inlineStr">
        <is>
          <t>oz</t>
        </is>
      </c>
      <c r="K2690" s="9" t="n">
        <v>8.789999999999999</v>
      </c>
    </row>
    <row r="2691" ht="15" customFormat="1" customHeight="1" s="5">
      <c r="A2691" s="81" t="n">
        <v>45826</v>
      </c>
      <c r="B2691" s="82" t="n">
        <v>0.8236111111111111</v>
      </c>
      <c r="C2691" s="5" t="inlineStr">
        <is>
          <t>Costco</t>
        </is>
      </c>
      <c r="E2691" s="5" t="n">
        <v>1</v>
      </c>
      <c r="F2691" s="6" t="inlineStr">
        <is>
          <t>439 201 241 701</t>
        </is>
      </c>
      <c r="G2691" s="7" t="inlineStr">
        <is>
          <t>E 1336068</t>
        </is>
      </c>
      <c r="H2691" s="9" t="inlineStr">
        <is>
          <t>Organic Avocado Cups, 16 x 2 oz cups</t>
        </is>
      </c>
      <c r="I2691" s="9" t="n">
        <v>32</v>
      </c>
      <c r="J2691" s="9" t="inlineStr">
        <is>
          <t>oz</t>
        </is>
      </c>
      <c r="K2691" s="9" t="n">
        <v>13.99</v>
      </c>
    </row>
    <row r="2692" ht="15" customFormat="1" customHeight="1" s="5">
      <c r="A2692" s="81" t="n">
        <v>45826</v>
      </c>
      <c r="B2692" s="82" t="n">
        <v>0.8236111111111111</v>
      </c>
      <c r="C2692" s="5" t="inlineStr">
        <is>
          <t>Costco</t>
        </is>
      </c>
      <c r="E2692" s="5" t="n">
        <v>1</v>
      </c>
      <c r="F2692" s="6" t="inlineStr">
        <is>
          <t>439 201 241 701</t>
        </is>
      </c>
      <c r="G2692" s="7" t="inlineStr">
        <is>
          <t>E 568915</t>
        </is>
      </c>
      <c r="H2692" s="9" t="inlineStr">
        <is>
          <t>Organic Cucumber</t>
        </is>
      </c>
      <c r="I2692" s="9" t="n">
        <v>3</v>
      </c>
      <c r="J2692" s="9" t="inlineStr">
        <is>
          <t>lb</t>
        </is>
      </c>
      <c r="K2692" s="9" t="n">
        <v>6.99</v>
      </c>
    </row>
    <row r="2693" ht="15" customFormat="1" customHeight="1" s="5">
      <c r="A2693" s="81" t="n">
        <v>45826</v>
      </c>
      <c r="B2693" s="82" t="n">
        <v>0.8236111111111111</v>
      </c>
      <c r="C2693" s="5" t="inlineStr">
        <is>
          <t>Costco</t>
        </is>
      </c>
      <c r="E2693" s="5" t="n">
        <v>1</v>
      </c>
      <c r="F2693" s="6" t="inlineStr">
        <is>
          <t>439 201 241 701</t>
        </is>
      </c>
      <c r="G2693" s="17" t="inlineStr">
        <is>
          <t>2000531</t>
        </is>
      </c>
      <c r="H2693" s="9" t="inlineStr">
        <is>
          <t>Child PFD Life Jacket for Water, infant-sized</t>
        </is>
      </c>
      <c r="I2693" s="9" t="n">
        <v>1</v>
      </c>
      <c r="J2693" s="9" t="inlineStr">
        <is>
          <t>cnt</t>
        </is>
      </c>
      <c r="K2693" s="9" t="inlineStr">
        <is>
          <t>19.99 A</t>
        </is>
      </c>
    </row>
    <row r="2694" ht="15" customFormat="1" customHeight="1" s="5">
      <c r="A2694" s="81" t="n">
        <v>45826</v>
      </c>
      <c r="B2694" s="82" t="n">
        <v>0.8236111111111111</v>
      </c>
      <c r="C2694" s="5" t="inlineStr">
        <is>
          <t>Costco</t>
        </is>
      </c>
      <c r="E2694" s="5" t="n">
        <v>1</v>
      </c>
      <c r="F2694" s="6" t="inlineStr">
        <is>
          <t>439 201 241 701</t>
        </is>
      </c>
      <c r="G2694" s="17" t="inlineStr">
        <is>
          <t>0000357290</t>
        </is>
      </c>
      <c r="H2694" s="9" t="inlineStr">
        <is>
          <t>**DISCOUNT** /2000531 Child Life Jacket</t>
        </is>
      </c>
      <c r="I2694" s="9" t="n">
        <v>1</v>
      </c>
      <c r="J2694" s="9" t="inlineStr">
        <is>
          <t>cnt</t>
        </is>
      </c>
      <c r="K2694" s="9" t="inlineStr">
        <is>
          <t>4.00-A</t>
        </is>
      </c>
    </row>
    <row r="2695" ht="15" customFormat="1" customHeight="1" s="5">
      <c r="A2695" s="81" t="n">
        <v>45826</v>
      </c>
      <c r="B2695" s="82" t="n">
        <v>0.8236111111111111</v>
      </c>
      <c r="C2695" s="5" t="inlineStr">
        <is>
          <t>Costco</t>
        </is>
      </c>
      <c r="E2695" s="5" t="n">
        <v>1</v>
      </c>
      <c r="F2695" s="6" t="inlineStr">
        <is>
          <t>439 201 241 701</t>
        </is>
      </c>
      <c r="G2695" s="7" t="n"/>
      <c r="H2695" s="9" t="inlineStr">
        <is>
          <t>TAX A 8.00%</t>
        </is>
      </c>
      <c r="I2695" s="9" t="n">
        <v>13</v>
      </c>
      <c r="J2695" s="9" t="inlineStr">
        <is>
          <t>cnt</t>
        </is>
      </c>
      <c r="K2695" s="9" t="n">
        <v>1.28</v>
      </c>
    </row>
    <row r="2696" ht="15" customFormat="1" customHeight="1" s="5">
      <c r="A2696" s="81" t="n">
        <v>45826</v>
      </c>
      <c r="B2696" s="82" t="n">
        <v>0.5694444444444444</v>
      </c>
      <c r="C2696" s="5" t="inlineStr">
        <is>
          <t>Walmart</t>
        </is>
      </c>
      <c r="D2696" s="5" t="n">
        <v>1</v>
      </c>
      <c r="F2696" s="6" t="inlineStr">
        <is>
          <t>200013254039381</t>
        </is>
      </c>
      <c r="G2696" s="10" t="n"/>
      <c r="H2696" s="9" t="inlineStr">
        <is>
          <t>Fresh Green Bell Pepper</t>
        </is>
      </c>
      <c r="I2696" s="9" t="n">
        <v>2</v>
      </c>
      <c r="J2696" s="9" t="inlineStr">
        <is>
          <t>cnt</t>
        </is>
      </c>
      <c r="K2696" s="9" t="n">
        <v>1.24</v>
      </c>
    </row>
    <row r="2697" ht="15" customFormat="1" customHeight="1" s="5">
      <c r="A2697" s="81" t="n">
        <v>45826</v>
      </c>
      <c r="B2697" s="82" t="n">
        <v>0.5694444444444444</v>
      </c>
      <c r="C2697" s="5" t="inlineStr">
        <is>
          <t>Walmart</t>
        </is>
      </c>
      <c r="D2697" s="5" t="n">
        <v>1</v>
      </c>
      <c r="F2697" s="6" t="inlineStr">
        <is>
          <t>200013254039381</t>
        </is>
      </c>
      <c r="G2697" s="10" t="n"/>
      <c r="H2697" s="9" t="inlineStr">
        <is>
          <t>La Banderita Yellow Corn Tortilla 30 Count 9.1¢/oz</t>
        </is>
      </c>
      <c r="I2697" s="9" t="n">
        <v>25.05</v>
      </c>
      <c r="J2697" s="9" t="inlineStr">
        <is>
          <t>oz</t>
        </is>
      </c>
      <c r="K2697" s="9" t="n">
        <v>2.28</v>
      </c>
    </row>
    <row r="2698" ht="15" customFormat="1" customHeight="1" s="5">
      <c r="A2698" s="81" t="n">
        <v>45826</v>
      </c>
      <c r="B2698" s="82" t="n">
        <v>0.5694444444444444</v>
      </c>
      <c r="C2698" s="5" t="inlineStr">
        <is>
          <t>Walmart</t>
        </is>
      </c>
      <c r="D2698" s="5" t="n">
        <v>1</v>
      </c>
      <c r="F2698" s="6" t="inlineStr">
        <is>
          <t>200013254039381</t>
        </is>
      </c>
      <c r="G2698" s="10" t="n"/>
      <c r="H2698" s="9" t="inlineStr">
        <is>
          <t>Las Palmas Medium Red Enchilada Sauce, 10 oz 15.4¢/oz</t>
        </is>
      </c>
      <c r="I2698" s="9" t="n">
        <v>10</v>
      </c>
      <c r="J2698" s="9" t="inlineStr">
        <is>
          <t>oz</t>
        </is>
      </c>
      <c r="K2698" s="9" t="n">
        <v>1.54</v>
      </c>
    </row>
    <row r="2699" ht="15" customFormat="1" customHeight="1" s="5">
      <c r="A2699" s="81" t="n">
        <v>45826</v>
      </c>
      <c r="B2699" s="82" t="n">
        <v>0.5694444444444444</v>
      </c>
      <c r="C2699" s="5" t="inlineStr">
        <is>
          <t>Walmart</t>
        </is>
      </c>
      <c r="D2699" s="5" t="n">
        <v>1</v>
      </c>
      <c r="F2699" s="6" t="inlineStr">
        <is>
          <t>200013254039381</t>
        </is>
      </c>
      <c r="G2699" s="10" t="n"/>
      <c r="H2699" s="9" t="inlineStr">
        <is>
          <t>Las Palmas Medium Red Enchilada Sauce, 10 oz 15.4¢/oz</t>
        </is>
      </c>
      <c r="I2699" s="9" t="n">
        <v>10</v>
      </c>
      <c r="J2699" s="9" t="inlineStr">
        <is>
          <t>oz</t>
        </is>
      </c>
      <c r="K2699" s="9" t="n">
        <v>1.54</v>
      </c>
    </row>
    <row r="2700" ht="15" customFormat="1" customHeight="1" s="5">
      <c r="A2700" s="81" t="n">
        <v>45826</v>
      </c>
      <c r="B2700" s="82" t="n">
        <v>0.5694444444444444</v>
      </c>
      <c r="C2700" s="5" t="inlineStr">
        <is>
          <t>Walmart</t>
        </is>
      </c>
      <c r="D2700" s="5" t="n">
        <v>1</v>
      </c>
      <c r="F2700" s="6" t="inlineStr">
        <is>
          <t>200013254039381</t>
        </is>
      </c>
      <c r="G2700" s="10" t="n"/>
      <c r="H2700" s="9" t="inlineStr">
        <is>
          <t>Great Value Italian-Style Stewed Tomatoes with Basil, Garlic &amp; Oregano, 14.5 oz 6.6¢/oz</t>
        </is>
      </c>
      <c r="I2700" s="9" t="n">
        <v>14.5</v>
      </c>
      <c r="J2700" s="9" t="inlineStr">
        <is>
          <t>oz</t>
        </is>
      </c>
      <c r="K2700" s="9" t="n">
        <v>0.96</v>
      </c>
    </row>
    <row r="2701" ht="15" customFormat="1" customHeight="1" s="5">
      <c r="A2701" s="81" t="n">
        <v>45826</v>
      </c>
      <c r="B2701" s="82" t="n">
        <v>0.5694444444444444</v>
      </c>
      <c r="C2701" s="5" t="inlineStr">
        <is>
          <t>Walmart</t>
        </is>
      </c>
      <c r="D2701" s="5" t="n">
        <v>1</v>
      </c>
      <c r="F2701" s="6" t="inlineStr">
        <is>
          <t>200013254039381</t>
        </is>
      </c>
      <c r="G2701" s="10" t="n"/>
      <c r="H2701" s="9" t="inlineStr">
        <is>
          <t>Great Value Sliced Stewed Tomatoes, 14.5 oz 6.6¢/oz</t>
        </is>
      </c>
      <c r="I2701" s="9" t="n">
        <v>14.5</v>
      </c>
      <c r="J2701" s="9" t="inlineStr">
        <is>
          <t>oz</t>
        </is>
      </c>
      <c r="K2701" s="9" t="n">
        <v>0.96</v>
      </c>
    </row>
    <row r="2702" ht="15" customFormat="1" customHeight="1" s="5">
      <c r="A2702" s="81" t="n">
        <v>45826</v>
      </c>
      <c r="B2702" s="82" t="n">
        <v>0.5694444444444444</v>
      </c>
      <c r="C2702" s="5" t="inlineStr">
        <is>
          <t>Walmart</t>
        </is>
      </c>
      <c r="D2702" s="5" t="n">
        <v>1</v>
      </c>
      <c r="F2702" s="6" t="inlineStr">
        <is>
          <t>200013254039381</t>
        </is>
      </c>
      <c r="G2702" s="10" t="n"/>
      <c r="H2702" s="9" t="inlineStr">
        <is>
          <t>Great Value Cream Cheese Brick 8 oz, 2 Count 20.4¢/oz</t>
        </is>
      </c>
      <c r="I2702" s="9" t="n">
        <v>16</v>
      </c>
      <c r="J2702" s="9" t="inlineStr">
        <is>
          <t>oz</t>
        </is>
      </c>
      <c r="K2702" s="9" t="n">
        <v>3.26</v>
      </c>
    </row>
    <row r="2703" ht="15" customFormat="1" customHeight="1" s="5">
      <c r="A2703" s="81" t="n">
        <v>45826</v>
      </c>
      <c r="B2703" s="82" t="n">
        <v>0.5694444444444444</v>
      </c>
      <c r="C2703" s="5" t="inlineStr">
        <is>
          <t>Walmart</t>
        </is>
      </c>
      <c r="D2703" s="5" t="n">
        <v>1</v>
      </c>
      <c r="F2703" s="6" t="inlineStr">
        <is>
          <t>200013254039381</t>
        </is>
      </c>
      <c r="G2703" s="10" t="n"/>
      <c r="H2703" s="9" t="inlineStr">
        <is>
          <t>Great Value Baking Soda, 64 Oz Multipack Quantity: 1 5.1¢/oz</t>
        </is>
      </c>
      <c r="I2703" s="9" t="n">
        <v>64</v>
      </c>
      <c r="J2703" s="9" t="inlineStr">
        <is>
          <t>oz</t>
        </is>
      </c>
      <c r="K2703" s="9" t="n">
        <v>3.24</v>
      </c>
    </row>
    <row r="2704" ht="15" customFormat="1" customHeight="1" s="5">
      <c r="A2704" s="81" t="n">
        <v>45826</v>
      </c>
      <c r="B2704" s="82" t="n">
        <v>0.5694444444444444</v>
      </c>
      <c r="C2704" s="5" t="inlineStr">
        <is>
          <t>Walmart</t>
        </is>
      </c>
      <c r="D2704" s="5" t="n">
        <v>1</v>
      </c>
      <c r="F2704" s="6" t="inlineStr">
        <is>
          <t>200013254039381</t>
        </is>
      </c>
      <c r="G2704" s="10" t="n"/>
      <c r="H2704" s="9" t="inlineStr">
        <is>
          <t>Great Value Distilled White Vinegar, 128 fl oz -- 3.1¢/fl oz</t>
        </is>
      </c>
      <c r="I2704" s="9" t="n">
        <v>128</v>
      </c>
      <c r="J2704" s="9" t="inlineStr">
        <is>
          <t>fl oz</t>
        </is>
      </c>
      <c r="K2704" s="9" t="n">
        <v>3.94</v>
      </c>
    </row>
    <row r="2705" ht="15" customFormat="1" customHeight="1" s="5">
      <c r="A2705" s="81" t="n">
        <v>45826</v>
      </c>
      <c r="B2705" s="82" t="n">
        <v>0.5694444444444444</v>
      </c>
      <c r="C2705" s="5" t="inlineStr">
        <is>
          <t>Walmart</t>
        </is>
      </c>
      <c r="D2705" s="5" t="n">
        <v>1</v>
      </c>
      <c r="F2705" s="6" t="inlineStr">
        <is>
          <t>200013254039381</t>
        </is>
      </c>
      <c r="G2705" s="10" t="n"/>
      <c r="H2705" s="9" t="inlineStr">
        <is>
          <t>Great Value Distilled White Vinegar, 128 fl oz -- 3.1¢/fl oz</t>
        </is>
      </c>
      <c r="I2705" s="9" t="n">
        <v>128</v>
      </c>
      <c r="J2705" s="9" t="inlineStr">
        <is>
          <t>fl oz</t>
        </is>
      </c>
      <c r="K2705" s="9" t="n">
        <v>3.94</v>
      </c>
    </row>
    <row r="2706" ht="15" customFormat="1" customHeight="1" s="5">
      <c r="A2706" s="81" t="n">
        <v>45826</v>
      </c>
      <c r="B2706" s="82" t="n">
        <v>0.5694444444444444</v>
      </c>
      <c r="C2706" s="5" t="inlineStr">
        <is>
          <t>Walmart</t>
        </is>
      </c>
      <c r="D2706" s="5" t="n">
        <v>1</v>
      </c>
      <c r="F2706" s="6" t="inlineStr">
        <is>
          <t>200013254039381</t>
        </is>
      </c>
      <c r="G2706" s="10" t="n"/>
      <c r="H2706" s="9" t="inlineStr">
        <is>
          <t>Great Value Distilled White Vinegar, 128 fl oz -- 3.1¢/fl oz</t>
        </is>
      </c>
      <c r="I2706" s="9" t="n">
        <v>128</v>
      </c>
      <c r="J2706" s="9" t="inlineStr">
        <is>
          <t>fl oz</t>
        </is>
      </c>
      <c r="K2706" s="9" t="n">
        <v>3.94</v>
      </c>
    </row>
    <row r="2707" ht="15" customFormat="1" customHeight="1" s="5">
      <c r="A2707" s="81" t="n">
        <v>45826</v>
      </c>
      <c r="B2707" s="82" t="n">
        <v>0.5694444444444444</v>
      </c>
      <c r="C2707" s="5" t="inlineStr">
        <is>
          <t>Walmart</t>
        </is>
      </c>
      <c r="D2707" s="5" t="n">
        <v>1</v>
      </c>
      <c r="F2707" s="6" t="inlineStr">
        <is>
          <t>200013254039381</t>
        </is>
      </c>
      <c r="G2707" s="10" t="n"/>
      <c r="H2707" s="9" t="inlineStr">
        <is>
          <t>Great Value Distilled White Vinegar, 128 fl oz -- 3.1¢/fl oz</t>
        </is>
      </c>
      <c r="I2707" s="9" t="n">
        <v>128</v>
      </c>
      <c r="J2707" s="9" t="inlineStr">
        <is>
          <t>fl oz</t>
        </is>
      </c>
      <c r="K2707" s="9" t="n">
        <v>3.94</v>
      </c>
    </row>
    <row r="2708" ht="15" customFormat="1" customHeight="1" s="5">
      <c r="A2708" s="81" t="n">
        <v>45826</v>
      </c>
      <c r="B2708" s="82" t="n">
        <v>0.5694444444444444</v>
      </c>
      <c r="C2708" s="5" t="inlineStr">
        <is>
          <t>Walmart</t>
        </is>
      </c>
      <c r="D2708" s="5" t="n">
        <v>1</v>
      </c>
      <c r="F2708" s="6" t="inlineStr">
        <is>
          <t>200013254039381</t>
        </is>
      </c>
      <c r="G2708" s="10" t="n"/>
      <c r="H2708" s="9" t="inlineStr">
        <is>
          <t>Kirk's Castile Bar Soap - Made With Premium Coconut Oil, Fragrance Free, 4 oz. Bars, 4 Pack 33.6¢/oz</t>
        </is>
      </c>
      <c r="I2708" s="9" t="n">
        <v>16</v>
      </c>
      <c r="J2708" s="9" t="inlineStr">
        <is>
          <t>oz</t>
        </is>
      </c>
      <c r="K2708" s="9" t="n">
        <v>5.37</v>
      </c>
    </row>
    <row r="2709" ht="15" customFormat="1" customHeight="1" s="5">
      <c r="A2709" s="81" t="n">
        <v>45826</v>
      </c>
      <c r="B2709" s="82" t="n">
        <v>0.5694444444444444</v>
      </c>
      <c r="C2709" s="5" t="inlineStr">
        <is>
          <t>Walmart</t>
        </is>
      </c>
      <c r="D2709" s="5" t="n">
        <v>1</v>
      </c>
      <c r="F2709" s="6" t="inlineStr">
        <is>
          <t>200013254039381</t>
        </is>
      </c>
      <c r="G2709" s="10" t="n"/>
      <c r="H2709" s="9" t="inlineStr">
        <is>
          <t>Regulatory Fees</t>
        </is>
      </c>
      <c r="I2709" s="9" t="n"/>
      <c r="J2709" s="9" t="n"/>
      <c r="K2709" s="9" t="n">
        <v>0.29</v>
      </c>
    </row>
    <row r="2710" ht="15" customFormat="1" customHeight="1" s="5">
      <c r="A2710" s="81" t="n">
        <v>45826</v>
      </c>
      <c r="B2710" s="82" t="n">
        <v>0.5694444444444444</v>
      </c>
      <c r="C2710" s="5" t="inlineStr">
        <is>
          <t>Walmart</t>
        </is>
      </c>
      <c r="D2710" s="5" t="n">
        <v>1</v>
      </c>
      <c r="F2710" s="6" t="inlineStr">
        <is>
          <t>200013254039381</t>
        </is>
      </c>
      <c r="G2710" s="10" t="n"/>
      <c r="H2710" s="9" t="inlineStr">
        <is>
          <t>Tax</t>
        </is>
      </c>
      <c r="I2710" s="9" t="n"/>
      <c r="J2710" s="9" t="n"/>
      <c r="K2710" s="9" t="n">
        <v>0.43</v>
      </c>
    </row>
    <row r="2711" ht="15" customFormat="1" customHeight="1" s="5">
      <c r="A2711" s="81" t="n">
        <v>45823</v>
      </c>
      <c r="B2711" s="82" t="n">
        <v>0.7729166666666667</v>
      </c>
      <c r="C2711" s="5" t="inlineStr">
        <is>
          <t>Carl's Jr</t>
        </is>
      </c>
      <c r="D2711" s="5" t="n">
        <v>1</v>
      </c>
      <c r="F2711" s="6" t="inlineStr">
        <is>
          <t>na_onlineOrder</t>
        </is>
      </c>
      <c r="G2711" s="10" t="n"/>
      <c r="H2711" s="9" t="inlineStr">
        <is>
          <t>Two BYOB (but we actually got a chicken club, 2 chicken stars, chicken tenders, waffle fries, and 3 burgers)</t>
        </is>
      </c>
      <c r="I2711" s="9" t="n">
        <v>2</v>
      </c>
      <c r="J2711" s="9" t="inlineStr">
        <is>
          <t>cnt</t>
        </is>
      </c>
      <c r="K2711" s="85" t="n">
        <v>14.02</v>
      </c>
    </row>
    <row r="2712" ht="15" customFormat="1" customHeight="1" s="5">
      <c r="A2712" s="81" t="n">
        <v>45823</v>
      </c>
      <c r="B2712" s="82" t="n">
        <v>0.5305555555555556</v>
      </c>
      <c r="C2712" s="5" t="inlineStr">
        <is>
          <t>CO DMV</t>
        </is>
      </c>
      <c r="D2712" s="5" t="n">
        <v>1</v>
      </c>
      <c r="F2712" s="6" t="inlineStr">
        <is>
          <t>BXLM72_Registration</t>
        </is>
      </c>
      <c r="G2712" s="10" t="n"/>
      <c r="H2712" s="9" t="inlineStr">
        <is>
          <t>Specific Ownership Tax</t>
        </is>
      </c>
      <c r="I2712" s="9" t="n"/>
      <c r="J2712" s="9" t="n"/>
      <c r="K2712" s="85" t="n">
        <v>93.88</v>
      </c>
    </row>
    <row r="2713" ht="15" customFormat="1" customHeight="1" s="5">
      <c r="A2713" s="81" t="n">
        <v>45823</v>
      </c>
      <c r="B2713" s="82" t="n">
        <v>0.5305555555555556</v>
      </c>
      <c r="C2713" s="5" t="inlineStr">
        <is>
          <t>CO DMV</t>
        </is>
      </c>
      <c r="D2713" s="5" t="n">
        <v>1</v>
      </c>
      <c r="F2713" s="6" t="inlineStr">
        <is>
          <t>BXLM72_Registration</t>
        </is>
      </c>
      <c r="G2713" s="10" t="n"/>
      <c r="H2713" s="9" t="inlineStr">
        <is>
          <t>Material Fee (Year Tab)</t>
        </is>
      </c>
      <c r="I2713" s="9" t="n"/>
      <c r="J2713" s="9" t="n"/>
      <c r="K2713" s="85" t="n">
        <v>0.48</v>
      </c>
    </row>
    <row r="2714" ht="15" customFormat="1" customHeight="1" s="5">
      <c r="A2714" s="81" t="n">
        <v>45823</v>
      </c>
      <c r="B2714" s="82" t="n">
        <v>0.5305555555555556</v>
      </c>
      <c r="C2714" s="5" t="inlineStr">
        <is>
          <t>CO DMV</t>
        </is>
      </c>
      <c r="D2714" s="5" t="n">
        <v>1</v>
      </c>
      <c r="F2714" s="6" t="inlineStr">
        <is>
          <t>BXLM72_Registration</t>
        </is>
      </c>
      <c r="G2714" s="10" t="n"/>
      <c r="H2714" s="9" t="inlineStr">
        <is>
          <t>Road Safety Surcharge</t>
        </is>
      </c>
      <c r="I2714" s="9" t="n"/>
      <c r="J2714" s="9" t="n"/>
      <c r="K2714" s="85" t="n">
        <v>23</v>
      </c>
    </row>
    <row r="2715" ht="15" customFormat="1" customHeight="1" s="5">
      <c r="A2715" s="81" t="n">
        <v>45823</v>
      </c>
      <c r="B2715" s="82" t="n">
        <v>0.5305555555555556</v>
      </c>
      <c r="C2715" s="5" t="inlineStr">
        <is>
          <t>CO DMV</t>
        </is>
      </c>
      <c r="D2715" s="5" t="n">
        <v>1</v>
      </c>
      <c r="F2715" s="6" t="inlineStr">
        <is>
          <t>BXLM72_Registration</t>
        </is>
      </c>
      <c r="G2715" s="10" t="n"/>
      <c r="H2715" s="9" t="inlineStr">
        <is>
          <t>Bridge Safety Surcharge</t>
        </is>
      </c>
      <c r="I2715" s="9" t="n"/>
      <c r="J2715" s="9" t="n"/>
      <c r="K2715" s="85" t="n">
        <v>18</v>
      </c>
    </row>
    <row r="2716" ht="15" customFormat="1" customHeight="1" s="5">
      <c r="A2716" s="81" t="n">
        <v>45823</v>
      </c>
      <c r="B2716" s="82" t="n">
        <v>0.5305555555555556</v>
      </c>
      <c r="C2716" s="5" t="inlineStr">
        <is>
          <t>CO DMV</t>
        </is>
      </c>
      <c r="D2716" s="5" t="n">
        <v>1</v>
      </c>
      <c r="F2716" s="6" t="inlineStr">
        <is>
          <t>BXLM72_Registration</t>
        </is>
      </c>
      <c r="G2716" s="10" t="n"/>
      <c r="H2716" s="9" t="inlineStr">
        <is>
          <t>Age of Vehicle Add-on (LSCF)</t>
        </is>
      </c>
      <c r="I2716" s="9" t="n"/>
      <c r="J2716" s="9" t="n"/>
      <c r="K2716" s="85" t="n">
        <v>9</v>
      </c>
    </row>
    <row r="2717" ht="15" customFormat="1" customHeight="1" s="5">
      <c r="A2717" s="81" t="n">
        <v>45823</v>
      </c>
      <c r="B2717" s="82" t="n">
        <v>0.5305555555555556</v>
      </c>
      <c r="C2717" s="5" t="inlineStr">
        <is>
          <t>CO DMV</t>
        </is>
      </c>
      <c r="D2717" s="5" t="n">
        <v>1</v>
      </c>
      <c r="F2717" s="6" t="inlineStr">
        <is>
          <t>BXLM72_Registration</t>
        </is>
      </c>
      <c r="G2717" s="10" t="n"/>
      <c r="H2717" s="9" t="inlineStr">
        <is>
          <t>Registration Base Fee</t>
        </is>
      </c>
      <c r="I2717" s="9" t="n"/>
      <c r="J2717" s="9" t="n"/>
      <c r="K2717" s="85" t="n">
        <v>8.6</v>
      </c>
    </row>
    <row r="2718" ht="15" customFormat="1" customHeight="1" s="5">
      <c r="A2718" s="81" t="n">
        <v>45823</v>
      </c>
      <c r="B2718" s="82" t="n">
        <v>0.5305555555555556</v>
      </c>
      <c r="C2718" s="5" t="inlineStr">
        <is>
          <t>CO DMV</t>
        </is>
      </c>
      <c r="D2718" s="5" t="n">
        <v>1</v>
      </c>
      <c r="F2718" s="6" t="inlineStr">
        <is>
          <t>BXLM72_Registration</t>
        </is>
      </c>
      <c r="G2718" s="10" t="n"/>
      <c r="H2718" s="9" t="inlineStr">
        <is>
          <t>Clerk Hire Fee</t>
        </is>
      </c>
      <c r="I2718" s="9" t="n"/>
      <c r="J2718" s="9" t="n"/>
      <c r="K2718" s="85" t="n">
        <v>4</v>
      </c>
    </row>
    <row r="2719" ht="15" customFormat="1" customHeight="1" s="5">
      <c r="A2719" s="81" t="n">
        <v>45823</v>
      </c>
      <c r="B2719" s="82" t="n">
        <v>0.5305555555555556</v>
      </c>
      <c r="C2719" s="5" t="inlineStr">
        <is>
          <t>CO DMV</t>
        </is>
      </c>
      <c r="D2719" s="5" t="n">
        <v>1</v>
      </c>
      <c r="F2719" s="6" t="inlineStr">
        <is>
          <t>BXLM72_Registration</t>
        </is>
      </c>
      <c r="G2719" s="10" t="n"/>
      <c r="H2719" s="9" t="inlineStr">
        <is>
          <t>Emergency Medical Services</t>
        </is>
      </c>
      <c r="I2719" s="9" t="n"/>
      <c r="J2719" s="9" t="n"/>
      <c r="K2719" s="85" t="n">
        <v>2</v>
      </c>
    </row>
    <row r="2720" ht="15" customFormat="1" customHeight="1" s="5">
      <c r="A2720" s="81" t="n">
        <v>45823</v>
      </c>
      <c r="B2720" s="82" t="n">
        <v>0.5305555555555556</v>
      </c>
      <c r="C2720" s="5" t="inlineStr">
        <is>
          <t>CO DMV</t>
        </is>
      </c>
      <c r="D2720" s="5" t="n">
        <v>1</v>
      </c>
      <c r="F2720" s="6" t="inlineStr">
        <is>
          <t>BXLM72_Registration</t>
        </is>
      </c>
      <c r="G2720" s="10" t="n"/>
      <c r="H2720" s="9" t="inlineStr">
        <is>
          <t>Emissions - Area Air Account</t>
        </is>
      </c>
      <c r="I2720" s="9" t="n"/>
      <c r="J2720" s="9" t="n"/>
      <c r="K2720" s="85" t="n">
        <v>1.5</v>
      </c>
    </row>
    <row r="2721" ht="15" customFormat="1" customHeight="1" s="5">
      <c r="A2721" s="81" t="n">
        <v>45823</v>
      </c>
      <c r="B2721" s="82" t="n">
        <v>0.5305555555555556</v>
      </c>
      <c r="C2721" s="5" t="inlineStr">
        <is>
          <t>CO DMV</t>
        </is>
      </c>
      <c r="D2721" s="5" t="n">
        <v>1</v>
      </c>
      <c r="F2721" s="6" t="inlineStr">
        <is>
          <t>BXLM72_Registration</t>
        </is>
      </c>
      <c r="G2721" s="10" t="n"/>
      <c r="H2721" s="9" t="inlineStr">
        <is>
          <t>Peace Officer Standardized Training Fee</t>
        </is>
      </c>
      <c r="I2721" s="9" t="n"/>
      <c r="J2721" s="9" t="n"/>
      <c r="K2721" s="85" t="n">
        <v>1</v>
      </c>
    </row>
    <row r="2722" ht="15" customFormat="1" customHeight="1" s="5">
      <c r="A2722" s="81" t="n">
        <v>45823</v>
      </c>
      <c r="B2722" s="82" t="n">
        <v>0.5305555555555556</v>
      </c>
      <c r="C2722" s="5" t="inlineStr">
        <is>
          <t>CO DMV</t>
        </is>
      </c>
      <c r="D2722" s="5" t="n">
        <v>1</v>
      </c>
      <c r="F2722" s="6" t="inlineStr">
        <is>
          <t>BXLM72_Registration</t>
        </is>
      </c>
      <c r="G2722" s="10" t="n"/>
      <c r="H2722" s="9" t="inlineStr">
        <is>
          <t>County Road and Bridge</t>
        </is>
      </c>
      <c r="I2722" s="9" t="n"/>
      <c r="J2722" s="9" t="n"/>
      <c r="K2722" s="85" t="n">
        <v>0.9399999999999999</v>
      </c>
    </row>
    <row r="2723" ht="15" customFormat="1" customHeight="1" s="5">
      <c r="A2723" s="81" t="n">
        <v>45823</v>
      </c>
      <c r="B2723" s="82" t="n">
        <v>0.5305555555555556</v>
      </c>
      <c r="C2723" s="5" t="inlineStr">
        <is>
          <t>CO DMV</t>
        </is>
      </c>
      <c r="D2723" s="5" t="n">
        <v>1</v>
      </c>
      <c r="F2723" s="6" t="inlineStr">
        <is>
          <t>BXLM72_Registration</t>
        </is>
      </c>
      <c r="G2723" s="10" t="n"/>
      <c r="H2723" s="9" t="inlineStr">
        <is>
          <t>Emissions - Program Area County</t>
        </is>
      </c>
      <c r="I2723" s="9" t="n"/>
      <c r="J2723" s="9" t="n"/>
      <c r="K2723" s="85" t="n">
        <v>0.7</v>
      </c>
    </row>
    <row r="2724" ht="15" customFormat="1" customHeight="1" s="5">
      <c r="A2724" s="81" t="n">
        <v>45823</v>
      </c>
      <c r="B2724" s="82" t="n">
        <v>0.5305555555555556</v>
      </c>
      <c r="C2724" s="5" t="inlineStr">
        <is>
          <t>CO DMV</t>
        </is>
      </c>
      <c r="D2724" s="5" t="n">
        <v>1</v>
      </c>
      <c r="F2724" s="6" t="inlineStr">
        <is>
          <t>BXLM72_Registration</t>
        </is>
      </c>
      <c r="G2724" s="10" t="n"/>
      <c r="H2724" s="9" t="inlineStr">
        <is>
          <t>Emissions - Statewide Air Account</t>
        </is>
      </c>
      <c r="I2724" s="9" t="n"/>
      <c r="J2724" s="9" t="n"/>
      <c r="K2724" s="85" t="n">
        <v>0.5</v>
      </c>
    </row>
    <row r="2725" ht="15" customFormat="1" customHeight="1" s="5">
      <c r="A2725" s="81" t="n">
        <v>45823</v>
      </c>
      <c r="B2725" s="82" t="n">
        <v>0.5305555555555556</v>
      </c>
      <c r="C2725" s="5" t="inlineStr">
        <is>
          <t>CO DMV</t>
        </is>
      </c>
      <c r="D2725" s="5" t="n">
        <v>1</v>
      </c>
      <c r="F2725" s="6" t="inlineStr">
        <is>
          <t>BXLM72_Registration</t>
        </is>
      </c>
      <c r="G2725" s="10" t="n"/>
      <c r="H2725" s="9" t="inlineStr">
        <is>
          <t>Insurance Fee</t>
        </is>
      </c>
      <c r="I2725" s="9" t="n"/>
      <c r="J2725" s="9" t="n"/>
      <c r="K2725" s="85" t="n">
        <v>0.5</v>
      </c>
    </row>
    <row r="2726" ht="15" customFormat="1" customHeight="1" s="5">
      <c r="A2726" s="81" t="n">
        <v>45823</v>
      </c>
      <c r="B2726" s="82" t="n">
        <v>0.5305555555555556</v>
      </c>
      <c r="C2726" s="5" t="inlineStr">
        <is>
          <t>CO DMV</t>
        </is>
      </c>
      <c r="D2726" s="5" t="n">
        <v>1</v>
      </c>
      <c r="F2726" s="6" t="inlineStr">
        <is>
          <t>BXLM72_Registration</t>
        </is>
      </c>
      <c r="G2726" s="10" t="n"/>
      <c r="H2726" s="9" t="inlineStr">
        <is>
          <t>Motorist Insurance Database Fee</t>
        </is>
      </c>
      <c r="I2726" s="9" t="n"/>
      <c r="J2726" s="9" t="n"/>
      <c r="K2726" s="85" t="n">
        <v>0.1</v>
      </c>
    </row>
    <row r="2727" ht="15" customFormat="1" customHeight="1" s="5">
      <c r="A2727" s="81" t="n">
        <v>45823</v>
      </c>
      <c r="B2727" s="82" t="n">
        <v>0.5305555555555556</v>
      </c>
      <c r="C2727" s="5" t="inlineStr">
        <is>
          <t>CO DMV</t>
        </is>
      </c>
      <c r="D2727" s="5" t="n">
        <v>1</v>
      </c>
      <c r="F2727" s="6" t="inlineStr">
        <is>
          <t>BXLM72_Registration</t>
        </is>
      </c>
      <c r="G2727" s="10" t="n"/>
      <c r="H2727" s="9" t="inlineStr">
        <is>
          <t>Parks Pass Fee</t>
        </is>
      </c>
      <c r="I2727" s="9" t="n"/>
      <c r="J2727" s="9" t="n"/>
      <c r="K2727" s="85" t="n">
        <v>29</v>
      </c>
    </row>
    <row r="2728" ht="15" customFormat="1" customHeight="1" s="5">
      <c r="A2728" s="81" t="n">
        <v>45823</v>
      </c>
      <c r="B2728" s="82" t="n">
        <v>0.5305555555555556</v>
      </c>
      <c r="C2728" s="5" t="inlineStr">
        <is>
          <t>CO DMV</t>
        </is>
      </c>
      <c r="D2728" s="5" t="n">
        <v>1</v>
      </c>
      <c r="F2728" s="6" t="inlineStr">
        <is>
          <t>BXLM72_Registration</t>
        </is>
      </c>
      <c r="G2728" s="10" t="n"/>
      <c r="H2728" s="9" t="inlineStr">
        <is>
          <t>Online Tool Fee</t>
        </is>
      </c>
      <c r="I2728" s="9" t="n"/>
      <c r="J2728" s="9" t="n"/>
      <c r="K2728" s="85" t="n">
        <v>1</v>
      </c>
    </row>
    <row r="2729" ht="15" customFormat="1" customHeight="1" s="5">
      <c r="A2729" s="81" t="n">
        <v>45823</v>
      </c>
      <c r="B2729" s="82" t="n">
        <v>0.4986111111111111</v>
      </c>
      <c r="C2729" s="5" t="inlineStr">
        <is>
          <t>Costco</t>
        </is>
      </c>
      <c r="E2729" s="5" t="n">
        <v>1</v>
      </c>
      <c r="F2729" s="6" t="inlineStr">
        <is>
          <t>63794</t>
        </is>
      </c>
      <c r="G2729" s="15" t="inlineStr">
        <is>
          <t>9</t>
        </is>
      </c>
      <c r="H2729" s="9" t="inlineStr">
        <is>
          <t>Subaru Gas 14.767 Gallons @ $2.549/gal</t>
        </is>
      </c>
      <c r="I2729" s="9" t="n">
        <v>14.767</v>
      </c>
      <c r="J2729" s="9" t="inlineStr">
        <is>
          <t>gal</t>
        </is>
      </c>
      <c r="K2729" s="85" t="n">
        <v>37.64</v>
      </c>
    </row>
    <row r="2730" ht="15" customFormat="1" customHeight="1" s="5">
      <c r="A2730" s="81" t="n">
        <v>45823</v>
      </c>
      <c r="B2730" s="82" t="n">
        <v>0.4506944444444445</v>
      </c>
      <c r="C2730" s="5" t="inlineStr">
        <is>
          <t>Safeway</t>
        </is>
      </c>
      <c r="E2730" s="5" t="n">
        <v>1</v>
      </c>
      <c r="F2730" s="6" t="inlineStr">
        <is>
          <t>2612 53 48 8853</t>
        </is>
      </c>
      <c r="G2730" s="15" t="inlineStr">
        <is>
          <t>3450015181</t>
        </is>
      </c>
      <c r="H2730" s="9" t="inlineStr">
        <is>
          <t>2 @ Land O Lakes Salted Butter in Half Sticks Pack - 8 - 1 Lb</t>
        </is>
      </c>
      <c r="I2730" s="9" t="n">
        <v>2</v>
      </c>
      <c r="J2730" s="9" t="inlineStr">
        <is>
          <t>lb</t>
        </is>
      </c>
      <c r="K2730" s="85" t="n">
        <v>12.98</v>
      </c>
    </row>
    <row r="2731" ht="15" customFormat="1" customHeight="1" s="5">
      <c r="A2731" s="81" t="n">
        <v>45823</v>
      </c>
      <c r="B2731" s="82" t="n">
        <v>0.4506944444444445</v>
      </c>
      <c r="C2731" s="5" t="inlineStr">
        <is>
          <t>Safeway</t>
        </is>
      </c>
      <c r="E2731" s="5" t="n">
        <v>1</v>
      </c>
      <c r="F2731" s="6" t="inlineStr">
        <is>
          <t>2612 53 48 8853</t>
        </is>
      </c>
      <c r="G2731" s="15" t="n"/>
      <c r="H2731" s="9" t="inlineStr">
        <is>
          <t>**DISCOUNT** Butter</t>
        </is>
      </c>
      <c r="I2731" s="9" t="n">
        <v>2</v>
      </c>
      <c r="J2731" s="9" t="inlineStr">
        <is>
          <t>lb</t>
        </is>
      </c>
      <c r="K2731" s="85" t="n">
        <v>-5</v>
      </c>
    </row>
    <row r="2732" ht="15" customFormat="1" customHeight="1" s="5">
      <c r="A2732" s="81" t="n">
        <v>45823</v>
      </c>
      <c r="B2732" s="82" t="n">
        <v>0.4506944444444445</v>
      </c>
      <c r="C2732" s="5" t="inlineStr">
        <is>
          <t>Safeway</t>
        </is>
      </c>
      <c r="E2732" s="5" t="n">
        <v>1</v>
      </c>
      <c r="F2732" s="6" t="inlineStr">
        <is>
          <t>2612 53 48 8853</t>
        </is>
      </c>
      <c r="G2732" s="15" t="inlineStr">
        <is>
          <t>6929870104</t>
        </is>
      </c>
      <c r="H2732" s="9" t="inlineStr">
        <is>
          <t>Fresh Strawberries</t>
        </is>
      </c>
      <c r="I2732" s="9" t="n">
        <v>2</v>
      </c>
      <c r="J2732" s="9" t="inlineStr">
        <is>
          <t>lb</t>
        </is>
      </c>
      <c r="K2732" s="85" t="n">
        <v>6.99</v>
      </c>
    </row>
    <row r="2733" ht="15" customFormat="1" customHeight="1" s="5">
      <c r="A2733" s="81" t="n">
        <v>45823</v>
      </c>
      <c r="B2733" s="82" t="n">
        <v>0.4506944444444445</v>
      </c>
      <c r="C2733" s="5" t="inlineStr">
        <is>
          <t>Safeway</t>
        </is>
      </c>
      <c r="E2733" s="5" t="n">
        <v>1</v>
      </c>
      <c r="F2733" s="6" t="inlineStr">
        <is>
          <t>2612 53 48 8853</t>
        </is>
      </c>
      <c r="G2733" s="15" t="n"/>
      <c r="H2733" s="9" t="inlineStr">
        <is>
          <t>**DISCOUNT** forU Store Coupon</t>
        </is>
      </c>
      <c r="I2733" s="9" t="n">
        <v>2</v>
      </c>
      <c r="J2733" s="9" t="inlineStr">
        <is>
          <t>lb</t>
        </is>
      </c>
      <c r="K2733" s="85" t="n">
        <v>-3.02</v>
      </c>
    </row>
    <row r="2734" ht="15" customFormat="1" customHeight="1" s="5">
      <c r="A2734" s="81" t="n">
        <v>45823</v>
      </c>
      <c r="B2734" s="82" t="n">
        <v>0.4506944444444445</v>
      </c>
      <c r="C2734" s="5" t="inlineStr">
        <is>
          <t>Safeway</t>
        </is>
      </c>
      <c r="E2734" s="5" t="n">
        <v>1</v>
      </c>
      <c r="F2734" s="6" t="inlineStr">
        <is>
          <t>2612 53 48 8853</t>
        </is>
      </c>
      <c r="G2734" s="15" t="inlineStr">
        <is>
          <t>81588701036</t>
        </is>
      </c>
      <c r="H2734" s="9" t="n"/>
      <c r="I2734" s="9" t="n">
        <v>18</v>
      </c>
      <c r="J2734" s="9" t="inlineStr">
        <is>
          <t>oz</t>
        </is>
      </c>
      <c r="K2734" s="85" t="n">
        <v>7.99</v>
      </c>
    </row>
    <row r="2735" ht="15" customFormat="1" customHeight="1" s="5">
      <c r="A2735" s="81" t="n">
        <v>45823</v>
      </c>
      <c r="B2735" s="82" t="n">
        <v>0.4506944444444445</v>
      </c>
      <c r="C2735" s="5" t="inlineStr">
        <is>
          <t>Safeway</t>
        </is>
      </c>
      <c r="E2735" s="5" t="n">
        <v>1</v>
      </c>
      <c r="F2735" s="6" t="inlineStr">
        <is>
          <t>2612 53 48 8853</t>
        </is>
      </c>
      <c r="G2735" s="10" t="n"/>
      <c r="H2735" s="9" t="inlineStr">
        <is>
          <t>**DISCOUNT** forU Store Coupon</t>
        </is>
      </c>
      <c r="I2735" s="9" t="n">
        <v>18</v>
      </c>
      <c r="J2735" s="9" t="inlineStr">
        <is>
          <t>oz</t>
        </is>
      </c>
      <c r="K2735" s="9" t="n">
        <v>-4.02</v>
      </c>
    </row>
    <row r="2736" ht="15" customFormat="1" customHeight="1" s="5">
      <c r="A2736" s="81" t="n">
        <v>45823</v>
      </c>
      <c r="B2736" s="82" t="n">
        <v>0.4506944444444445</v>
      </c>
      <c r="C2736" s="5" t="inlineStr">
        <is>
          <t>Safeway</t>
        </is>
      </c>
      <c r="E2736" s="5" t="n">
        <v>1</v>
      </c>
      <c r="F2736" s="6" t="inlineStr">
        <is>
          <t>2612 53 48 8853</t>
        </is>
      </c>
      <c r="G2736" s="10" t="n"/>
      <c r="H2736" s="9" t="inlineStr">
        <is>
          <t>**DISCOUNT** forU Store Coupon</t>
        </is>
      </c>
      <c r="I2736" s="9" t="n">
        <v>4</v>
      </c>
      <c r="J2736" s="9" t="inlineStr">
        <is>
          <t>cnt</t>
        </is>
      </c>
      <c r="K2736" s="9" t="n">
        <v>-1</v>
      </c>
    </row>
    <row r="2737" ht="15" customFormat="1" customHeight="1" s="5">
      <c r="A2737" s="81" t="n">
        <v>45823</v>
      </c>
      <c r="B2737" s="82" t="n">
        <v>0.4506944444444445</v>
      </c>
      <c r="C2737" s="5" t="inlineStr">
        <is>
          <t>Safeway</t>
        </is>
      </c>
      <c r="E2737" s="5" t="n">
        <v>1</v>
      </c>
      <c r="F2737" s="6" t="inlineStr">
        <is>
          <t>2612 53 48 8853</t>
        </is>
      </c>
      <c r="G2737" s="10" t="n"/>
      <c r="H2737" s="9" t="inlineStr">
        <is>
          <t>Tax</t>
        </is>
      </c>
      <c r="I2737" s="9" t="n">
        <v>4</v>
      </c>
      <c r="J2737" s="9" t="inlineStr">
        <is>
          <t>cnt</t>
        </is>
      </c>
      <c r="K2737" s="9" t="n">
        <v>0</v>
      </c>
    </row>
    <row r="2738" ht="15" customFormat="1" customHeight="1" s="5">
      <c r="A2738" s="81" t="n">
        <v>45822</v>
      </c>
      <c r="B2738" s="82" t="n">
        <v>0.5597222222222222</v>
      </c>
      <c r="C2738" s="5" t="inlineStr">
        <is>
          <t>Safeway</t>
        </is>
      </c>
      <c r="E2738" s="5" t="n">
        <v>1</v>
      </c>
      <c r="F2738" s="6" t="inlineStr">
        <is>
          <t>2612 54 116 8854</t>
        </is>
      </c>
      <c r="G2738" s="15" t="inlineStr">
        <is>
          <t>2113033826</t>
        </is>
      </c>
      <c r="H2738" s="9" t="inlineStr">
        <is>
          <t>2 x Signature Select Stewed Mexican Tomatoes 14.5 Ounce</t>
        </is>
      </c>
      <c r="I2738" s="9" t="n">
        <v>29</v>
      </c>
      <c r="J2738" s="9" t="inlineStr">
        <is>
          <t>oz</t>
        </is>
      </c>
      <c r="K2738" s="9" t="n">
        <v>1.78</v>
      </c>
    </row>
    <row r="2739" ht="15" customFormat="1" customHeight="1" s="5">
      <c r="A2739" s="81" t="n">
        <v>45822</v>
      </c>
      <c r="B2739" s="82" t="n">
        <v>0.5597222222222222</v>
      </c>
      <c r="C2739" s="5" t="inlineStr">
        <is>
          <t>Safeway</t>
        </is>
      </c>
      <c r="E2739" s="5" t="n">
        <v>1</v>
      </c>
      <c r="F2739" s="6" t="inlineStr">
        <is>
          <t>2612 54 116 8854</t>
        </is>
      </c>
      <c r="G2739" s="15" t="inlineStr">
        <is>
          <t>4150111008</t>
        </is>
      </c>
      <c r="H2739" s="9" t="inlineStr">
        <is>
          <t>Las Palmas Sauce Enchilada Medium</t>
        </is>
      </c>
      <c r="I2739" s="9" t="n">
        <v>10</v>
      </c>
      <c r="J2739" s="9" t="inlineStr">
        <is>
          <t>oz</t>
        </is>
      </c>
      <c r="K2739" s="9" t="n">
        <v>1.79</v>
      </c>
    </row>
    <row r="2740" ht="15" customFormat="1" customHeight="1" s="5">
      <c r="A2740" s="81" t="n">
        <v>45822</v>
      </c>
      <c r="B2740" s="82" t="n">
        <v>0.5597222222222222</v>
      </c>
      <c r="C2740" s="5" t="inlineStr">
        <is>
          <t>Safeway</t>
        </is>
      </c>
      <c r="E2740" s="5" t="n">
        <v>1</v>
      </c>
      <c r="F2740" s="6" t="inlineStr">
        <is>
          <t>2612 54 116 8854</t>
        </is>
      </c>
      <c r="G2740" s="15" t="inlineStr">
        <is>
          <t>2113004380</t>
        </is>
      </c>
      <c r="H2740" s="9" t="inlineStr">
        <is>
          <t>Lucerne Cream Cheese</t>
        </is>
      </c>
      <c r="I2740" s="9" t="n">
        <v>8</v>
      </c>
      <c r="J2740" s="9" t="inlineStr">
        <is>
          <t>oz</t>
        </is>
      </c>
      <c r="K2740" s="9" t="n">
        <v>2</v>
      </c>
    </row>
    <row r="2741" ht="15" customFormat="1" customHeight="1" s="5">
      <c r="A2741" s="81" t="n">
        <v>45822</v>
      </c>
      <c r="B2741" s="82" t="n">
        <v>0.5597222222222222</v>
      </c>
      <c r="C2741" s="5" t="inlineStr">
        <is>
          <t>Safeway</t>
        </is>
      </c>
      <c r="E2741" s="5" t="n">
        <v>1</v>
      </c>
      <c r="F2741" s="6" t="inlineStr">
        <is>
          <t>2612 54 116 8854</t>
        </is>
      </c>
      <c r="G2741" s="15" t="inlineStr">
        <is>
          <t>2113004950</t>
        </is>
      </c>
      <c r="H2741" s="9" t="inlineStr">
        <is>
          <t>Lucerne Cheese Sharp Cheddar Rustic Cut</t>
        </is>
      </c>
      <c r="I2741" s="9" t="n">
        <v>32</v>
      </c>
      <c r="J2741" s="9" t="inlineStr">
        <is>
          <t>oz</t>
        </is>
      </c>
      <c r="K2741" s="9" t="n">
        <v>5.77</v>
      </c>
    </row>
    <row r="2742" ht="15" customFormat="1" customHeight="1" s="5">
      <c r="A2742" s="81" t="n">
        <v>45822</v>
      </c>
      <c r="B2742" s="82" t="n">
        <v>0.5597222222222222</v>
      </c>
      <c r="C2742" s="5" t="inlineStr">
        <is>
          <t>Safeway</t>
        </is>
      </c>
      <c r="E2742" s="5" t="n">
        <v>1</v>
      </c>
      <c r="F2742" s="6" t="inlineStr">
        <is>
          <t>2612 54 116 8854</t>
        </is>
      </c>
      <c r="G2742" s="15" t="inlineStr">
        <is>
          <t>7342001614</t>
        </is>
      </c>
      <c r="H2742" s="9" t="inlineStr">
        <is>
          <t>2 x Daisy Sour Cream Squeeze Tube (14 oz tube each)</t>
        </is>
      </c>
      <c r="I2742" s="9" t="n">
        <v>28</v>
      </c>
      <c r="J2742" s="9" t="inlineStr">
        <is>
          <t>oz</t>
        </is>
      </c>
      <c r="K2742" s="9" t="n">
        <v>3.98</v>
      </c>
    </row>
    <row r="2743" ht="15" customFormat="1" customHeight="1" s="5">
      <c r="A2743" s="81" t="n">
        <v>45822</v>
      </c>
      <c r="B2743" s="82" t="n">
        <v>0.5597222222222222</v>
      </c>
      <c r="C2743" s="5" t="inlineStr">
        <is>
          <t>Safeway</t>
        </is>
      </c>
      <c r="E2743" s="5" t="n">
        <v>1</v>
      </c>
      <c r="F2743" s="6" t="inlineStr">
        <is>
          <t>2612 54 116 8854</t>
        </is>
      </c>
      <c r="G2743" s="15" t="inlineStr">
        <is>
          <t>4889</t>
        </is>
      </c>
      <c r="H2743" s="9" t="inlineStr">
        <is>
          <t>Cilantro Bunch</t>
        </is>
      </c>
      <c r="I2743" s="9" t="n">
        <v>1</v>
      </c>
      <c r="J2743" s="9" t="inlineStr">
        <is>
          <t>cnt</t>
        </is>
      </c>
      <c r="K2743" s="9" t="n">
        <v>0.5</v>
      </c>
    </row>
    <row r="2744" ht="15" customFormat="1" customHeight="1" s="5">
      <c r="A2744" s="81" t="n">
        <v>45822</v>
      </c>
      <c r="B2744" s="82" t="n">
        <v>0.5597222222222222</v>
      </c>
      <c r="C2744" s="5" t="inlineStr">
        <is>
          <t>Safeway</t>
        </is>
      </c>
      <c r="E2744" s="5" t="n">
        <v>1</v>
      </c>
      <c r="F2744" s="6" t="inlineStr">
        <is>
          <t>2612 54 116 8854</t>
        </is>
      </c>
      <c r="G2744" s="10" t="n"/>
      <c r="H2744" s="9" t="inlineStr">
        <is>
          <t>Tax</t>
        </is>
      </c>
      <c r="I2744" s="9" t="n">
        <v>10</v>
      </c>
      <c r="J2744" s="9" t="inlineStr">
        <is>
          <t>cnt</t>
        </is>
      </c>
      <c r="K2744" s="9" t="n">
        <v>0</v>
      </c>
    </row>
    <row r="2745" ht="15" customFormat="1" customHeight="1" s="5">
      <c r="A2745" s="81" t="n">
        <v>45822</v>
      </c>
      <c r="B2745" s="82" t="n">
        <v>0.5597222222222222</v>
      </c>
      <c r="C2745" s="5" t="inlineStr">
        <is>
          <t>Safeway</t>
        </is>
      </c>
      <c r="E2745" s="5" t="n">
        <v>1</v>
      </c>
      <c r="F2745" s="6" t="inlineStr">
        <is>
          <t>2612 54 116 8854</t>
        </is>
      </c>
      <c r="G2745" s="15" t="inlineStr">
        <is>
          <t>7756725423</t>
        </is>
      </c>
      <c r="H2745" s="9" t="inlineStr">
        <is>
          <t>Breyer's Vanilla Ice Cream</t>
        </is>
      </c>
      <c r="I2745" s="9" t="n">
        <v>48</v>
      </c>
      <c r="J2745" s="9" t="inlineStr">
        <is>
          <t>oz</t>
        </is>
      </c>
      <c r="K2745" s="9" t="n">
        <v>3.47</v>
      </c>
    </row>
    <row r="2746" ht="15" customFormat="1" customHeight="1" s="5">
      <c r="A2746" s="81" t="n">
        <v>45822</v>
      </c>
      <c r="B2746" s="82" t="n">
        <v>0.5597222222222222</v>
      </c>
      <c r="C2746" s="5" t="inlineStr">
        <is>
          <t>Safeway</t>
        </is>
      </c>
      <c r="E2746" s="5" t="n">
        <v>1</v>
      </c>
      <c r="F2746" s="6" t="inlineStr">
        <is>
          <t>2612 54 116 8854</t>
        </is>
      </c>
      <c r="G2746" s="15" t="inlineStr">
        <is>
          <t>7756725424</t>
        </is>
      </c>
      <c r="H2746" s="9" t="inlineStr">
        <is>
          <t>Breyer's Mint Chocolate Chip Ice cream</t>
        </is>
      </c>
      <c r="I2746" s="9" t="n">
        <v>48</v>
      </c>
      <c r="J2746" s="9" t="inlineStr">
        <is>
          <t>oz</t>
        </is>
      </c>
      <c r="K2746" s="9" t="n">
        <v>3.47</v>
      </c>
    </row>
    <row r="2747" ht="15" customFormat="1" customHeight="1" s="5">
      <c r="A2747" s="81" t="n">
        <v>45821</v>
      </c>
      <c r="B2747" s="82" t="n">
        <v>0.7486111111111111</v>
      </c>
      <c r="C2747" s="5" t="inlineStr">
        <is>
          <t>Denver Parks &amp; Recreation</t>
        </is>
      </c>
      <c r="E2747" s="5" t="n">
        <v>1</v>
      </c>
      <c r="F2747" s="6" t="inlineStr">
        <is>
          <t>#1107378.007</t>
        </is>
      </c>
      <c r="G2747" s="10" t="n"/>
      <c r="H2747" s="9" t="inlineStr">
        <is>
          <t>Adult 25-65 Day Pass, Regional Rec Center (Montclair)</t>
        </is>
      </c>
      <c r="I2747" s="9" t="n">
        <v>1</v>
      </c>
      <c r="J2747" s="9" t="inlineStr">
        <is>
          <t>cnt</t>
        </is>
      </c>
      <c r="K2747" s="9" t="n">
        <v>6</v>
      </c>
    </row>
    <row r="2748" ht="15" customFormat="1" customHeight="1" s="5">
      <c r="A2748" s="81" t="n">
        <v>45821</v>
      </c>
      <c r="B2748" s="82" t="n">
        <v>0.4902777777777778</v>
      </c>
      <c r="C2748" s="5" t="inlineStr">
        <is>
          <t>O'Reilly Auto Parts</t>
        </is>
      </c>
      <c r="E2748" s="5" t="n">
        <v>1</v>
      </c>
      <c r="F2748" s="6" t="inlineStr">
        <is>
          <t>#3813-374649</t>
        </is>
      </c>
      <c r="G2748" s="10" t="inlineStr">
        <is>
          <t>MOB 1-10-40</t>
        </is>
      </c>
      <c r="H2748" s="9" t="inlineStr">
        <is>
          <t>Cycle Oil (Z400 motorcycle oil) Manufacturer's Defect Warranty</t>
        </is>
      </c>
      <c r="I2748" s="9" t="n">
        <v>1</v>
      </c>
      <c r="J2748" s="9" t="inlineStr">
        <is>
          <t>quart</t>
        </is>
      </c>
      <c r="K2748" s="85" t="n">
        <v>12.99</v>
      </c>
    </row>
    <row r="2749" ht="15" customFormat="1" customHeight="1" s="5">
      <c r="A2749" s="81" t="n">
        <v>45821</v>
      </c>
      <c r="B2749" s="82" t="n">
        <v>0.4902777777777778</v>
      </c>
      <c r="C2749" s="5" t="inlineStr">
        <is>
          <t>O'Reilly Auto Parts</t>
        </is>
      </c>
      <c r="E2749" s="5" t="n">
        <v>1</v>
      </c>
      <c r="F2749" s="6" t="inlineStr">
        <is>
          <t>#3813-374649</t>
        </is>
      </c>
      <c r="G2749" s="10" t="inlineStr">
        <is>
          <t>MOB 1-10-40</t>
        </is>
      </c>
      <c r="H2749" s="9" t="inlineStr">
        <is>
          <t>Cycle Oil (Z400 motorcycle oil) Manufacturer's Defect Warranty</t>
        </is>
      </c>
      <c r="I2749" s="9" t="n">
        <v>1</v>
      </c>
      <c r="J2749" s="9" t="inlineStr">
        <is>
          <t>quart</t>
        </is>
      </c>
      <c r="K2749" s="85" t="n">
        <v>12.99</v>
      </c>
    </row>
    <row r="2750" ht="15" customFormat="1" customHeight="1" s="5">
      <c r="A2750" s="81" t="n">
        <v>45821</v>
      </c>
      <c r="B2750" s="82" t="n">
        <v>0.4902777777777778</v>
      </c>
      <c r="C2750" s="5" t="inlineStr">
        <is>
          <t>O'Reilly Auto Parts</t>
        </is>
      </c>
      <c r="E2750" s="5" t="n">
        <v>1</v>
      </c>
      <c r="F2750" s="6" t="inlineStr">
        <is>
          <t>#3813-374649</t>
        </is>
      </c>
      <c r="G2750" s="10" t="inlineStr">
        <is>
          <t>MOB 1-10-40</t>
        </is>
      </c>
      <c r="H2750" s="9" t="inlineStr">
        <is>
          <t>Cycle Oil (Z400 motorcycle oil) Manufacturer's Defect Warranty</t>
        </is>
      </c>
      <c r="I2750" s="9" t="n">
        <v>1</v>
      </c>
      <c r="J2750" s="9" t="inlineStr">
        <is>
          <t>quart</t>
        </is>
      </c>
      <c r="K2750" s="85" t="n">
        <v>12.99</v>
      </c>
    </row>
    <row r="2751" ht="15" customFormat="1" customHeight="1" s="5">
      <c r="A2751" s="81" t="n">
        <v>45821</v>
      </c>
      <c r="B2751" s="82" t="n">
        <v>0.4902777777777778</v>
      </c>
      <c r="C2751" s="5" t="inlineStr">
        <is>
          <t>O'Reilly Auto Parts</t>
        </is>
      </c>
      <c r="E2751" s="5" t="n">
        <v>1</v>
      </c>
      <c r="F2751" s="6" t="inlineStr">
        <is>
          <t>#3813-374649</t>
        </is>
      </c>
      <c r="G2751" s="10" t="inlineStr">
        <is>
          <t>MOB 1-10-40</t>
        </is>
      </c>
      <c r="H2751" s="9" t="inlineStr">
        <is>
          <t>Cycle Oil (Z400 motorcycle oil) Manufacturer's Defect Warranty</t>
        </is>
      </c>
      <c r="I2751" s="9" t="n">
        <v>1</v>
      </c>
      <c r="J2751" s="9" t="inlineStr">
        <is>
          <t>quart</t>
        </is>
      </c>
      <c r="K2751" s="85" t="n">
        <v>12.99</v>
      </c>
    </row>
    <row r="2752" ht="15" customFormat="1" customHeight="1" s="5">
      <c r="A2752" s="81" t="n">
        <v>45821</v>
      </c>
      <c r="B2752" s="82" t="n">
        <v>0.4902777777777778</v>
      </c>
      <c r="C2752" s="5" t="inlineStr">
        <is>
          <t>O'Reilly Auto Parts</t>
        </is>
      </c>
      <c r="E2752" s="5" t="n">
        <v>1</v>
      </c>
      <c r="F2752" s="6" t="inlineStr">
        <is>
          <t>#3813-374649</t>
        </is>
      </c>
      <c r="G2752" s="10" t="inlineStr">
        <is>
          <t>MOB 1-10-40</t>
        </is>
      </c>
      <c r="H2752" s="9" t="inlineStr">
        <is>
          <t>Cycle Oil (Z400 motorcycle oil) Manufacturer's Defect Warranty</t>
        </is>
      </c>
      <c r="I2752" s="9" t="n">
        <v>1</v>
      </c>
      <c r="J2752" s="9" t="inlineStr">
        <is>
          <t>quart</t>
        </is>
      </c>
      <c r="K2752" s="85" t="n">
        <v>12.99</v>
      </c>
    </row>
    <row r="2753" ht="15" customFormat="1" customHeight="1" s="5">
      <c r="A2753" s="81" t="n">
        <v>45821</v>
      </c>
      <c r="B2753" s="82" t="n">
        <v>0.4902777777777778</v>
      </c>
      <c r="C2753" s="5" t="inlineStr">
        <is>
          <t>O'Reilly Auto Parts</t>
        </is>
      </c>
      <c r="E2753" s="5" t="n">
        <v>1</v>
      </c>
      <c r="F2753" s="6" t="inlineStr">
        <is>
          <t>#3813-374649</t>
        </is>
      </c>
      <c r="G2753" s="10" t="n"/>
      <c r="H2753" s="9" t="inlineStr">
        <is>
          <t>Sales Tax</t>
        </is>
      </c>
      <c r="I2753" s="9" t="n">
        <v>5</v>
      </c>
      <c r="J2753" s="9" t="inlineStr">
        <is>
          <t>cnt</t>
        </is>
      </c>
      <c r="K2753" s="85" t="n">
        <v>5.2</v>
      </c>
    </row>
    <row r="2754" ht="15" customFormat="1" customHeight="1" s="5">
      <c r="A2754" s="81" t="n">
        <v>45821</v>
      </c>
      <c r="B2754" s="82" t="n">
        <v>0.4902777777777778</v>
      </c>
      <c r="C2754" s="5" t="inlineStr">
        <is>
          <t>O'Reilly Auto Parts</t>
        </is>
      </c>
      <c r="E2754" s="5" t="n">
        <v>1</v>
      </c>
      <c r="F2754" s="6" t="inlineStr">
        <is>
          <t>No. 7619650</t>
        </is>
      </c>
      <c r="G2754" s="7" t="n"/>
      <c r="H2754" s="9" t="inlineStr">
        <is>
          <t>$15 Valvoline Rebate Gift Card (mail)</t>
        </is>
      </c>
      <c r="I2754" s="9" t="n">
        <v>1</v>
      </c>
      <c r="J2754" s="9" t="inlineStr">
        <is>
          <t>cnt</t>
        </is>
      </c>
      <c r="K2754" s="9" t="n">
        <v>-15</v>
      </c>
    </row>
    <row r="2755" ht="15" customFormat="1" customHeight="1" s="5">
      <c r="A2755" s="81" t="n">
        <v>45821</v>
      </c>
      <c r="B2755" s="82" t="n">
        <v>0.4826388888888889</v>
      </c>
      <c r="C2755" s="5" t="inlineStr">
        <is>
          <t>Walmart</t>
        </is>
      </c>
      <c r="D2755" s="5" t="n">
        <v>1</v>
      </c>
      <c r="F2755" s="6" t="inlineStr">
        <is>
          <t># 2000131-31960711</t>
        </is>
      </c>
      <c r="G2755" s="10" t="n"/>
      <c r="H2755" s="9" t="inlineStr">
        <is>
          <t>Baby Peeled Carrots, 1 lb 8.3¢/oz</t>
        </is>
      </c>
      <c r="I2755" s="9" t="n">
        <v>1</v>
      </c>
      <c r="J2755" s="9" t="inlineStr">
        <is>
          <t>lb</t>
        </is>
      </c>
      <c r="K2755" s="85" t="n">
        <v>1.32</v>
      </c>
    </row>
    <row r="2756" ht="15" customFormat="1" customHeight="1" s="5">
      <c r="A2756" s="81" t="n">
        <v>45821</v>
      </c>
      <c r="B2756" s="82" t="n">
        <v>0.4826388888888889</v>
      </c>
      <c r="C2756" s="5" t="inlineStr">
        <is>
          <t>Walmart</t>
        </is>
      </c>
      <c r="D2756" s="5" t="n">
        <v>1</v>
      </c>
      <c r="F2756" s="6" t="inlineStr">
        <is>
          <t># 2000131-31960711</t>
        </is>
      </c>
      <c r="G2756" s="10" t="n"/>
      <c r="H2756" s="9" t="inlineStr">
        <is>
          <t>Great Value Heavy Whipping Cream, 32 oz Carton, Refrigerated 17.7¢/fl oz</t>
        </is>
      </c>
      <c r="I2756" s="9" t="n">
        <v>32</v>
      </c>
      <c r="J2756" s="9" t="inlineStr">
        <is>
          <t>oz</t>
        </is>
      </c>
      <c r="K2756" s="85" t="n">
        <v>5.67</v>
      </c>
    </row>
    <row r="2757" ht="15" customFormat="1" customHeight="1" s="5">
      <c r="A2757" s="81" t="n">
        <v>45821</v>
      </c>
      <c r="B2757" s="82" t="n">
        <v>0.4826388888888889</v>
      </c>
      <c r="C2757" s="5" t="inlineStr">
        <is>
          <t>Walmart</t>
        </is>
      </c>
      <c r="D2757" s="5" t="n">
        <v>1</v>
      </c>
      <c r="F2757" s="6" t="inlineStr">
        <is>
          <t># 2000131-31960711</t>
        </is>
      </c>
      <c r="G2757" s="10" t="n"/>
      <c r="H2757" s="9" t="inlineStr">
        <is>
          <t>KOOPS' Mustard, Stone Ground Mustard, 12 oz 18.9¢/oz</t>
        </is>
      </c>
      <c r="I2757" s="9" t="n">
        <v>12</v>
      </c>
      <c r="J2757" s="9" t="inlineStr">
        <is>
          <t>oz</t>
        </is>
      </c>
      <c r="K2757" s="85" t="n">
        <v>2.27</v>
      </c>
    </row>
    <row r="2758" ht="15" customFormat="1" customHeight="1" s="5">
      <c r="A2758" s="81" t="n">
        <v>45821</v>
      </c>
      <c r="B2758" s="82" t="n">
        <v>0.4826388888888889</v>
      </c>
      <c r="C2758" s="5" t="inlineStr">
        <is>
          <t>Walmart</t>
        </is>
      </c>
      <c r="D2758" s="5" t="n">
        <v>1</v>
      </c>
      <c r="F2758" s="6" t="inlineStr">
        <is>
          <t># 2000131-31960711</t>
        </is>
      </c>
      <c r="G2758" s="10" t="n"/>
      <c r="H2758" s="9" t="inlineStr">
        <is>
          <t>Great Value Frozen Blackberries, 16 oz 23.5¢/oz</t>
        </is>
      </c>
      <c r="I2758" s="9" t="n">
        <v>16</v>
      </c>
      <c r="J2758" s="9" t="inlineStr">
        <is>
          <t>oz</t>
        </is>
      </c>
      <c r="K2758" s="85" t="n">
        <v>3.76</v>
      </c>
    </row>
    <row r="2759" ht="15" customFormat="1" customHeight="1" s="5">
      <c r="A2759" s="81" t="n">
        <v>45821</v>
      </c>
      <c r="B2759" s="82" t="n">
        <v>0.4826388888888889</v>
      </c>
      <c r="C2759" s="5" t="inlineStr">
        <is>
          <t>Walmart</t>
        </is>
      </c>
      <c r="D2759" s="5" t="n">
        <v>1</v>
      </c>
      <c r="F2759" s="6" t="inlineStr">
        <is>
          <t># 2000131-31960711</t>
        </is>
      </c>
      <c r="G2759" s="10" t="n"/>
      <c r="H2759" s="9" t="inlineStr">
        <is>
          <t>Great Value Frozen Blackberries, 16 oz 23.5¢/oz</t>
        </is>
      </c>
      <c r="I2759" s="9" t="n">
        <v>16</v>
      </c>
      <c r="J2759" s="9" t="inlineStr">
        <is>
          <t>oz</t>
        </is>
      </c>
      <c r="K2759" s="85" t="n">
        <v>3.76</v>
      </c>
    </row>
    <row r="2760" ht="15" customFormat="1" customHeight="1" s="5">
      <c r="A2760" s="81" t="n">
        <v>45821</v>
      </c>
      <c r="B2760" s="82" t="n">
        <v>0.4826388888888889</v>
      </c>
      <c r="C2760" s="5" t="inlineStr">
        <is>
          <t>Walmart</t>
        </is>
      </c>
      <c r="D2760" s="5" t="n">
        <v>1</v>
      </c>
      <c r="F2760" s="6" t="inlineStr">
        <is>
          <t># 2000131-31960711</t>
        </is>
      </c>
      <c r="G2760" s="10" t="n"/>
      <c r="H2760" s="9" t="inlineStr">
        <is>
          <t>Great Value Frozen Whole Berry Medley, 16 oz 22.0¢/oz</t>
        </is>
      </c>
      <c r="I2760" s="9" t="n">
        <v>16</v>
      </c>
      <c r="J2760" s="9" t="inlineStr">
        <is>
          <t>oz</t>
        </is>
      </c>
      <c r="K2760" s="85" t="n">
        <v>3.52</v>
      </c>
    </row>
    <row r="2761" ht="15" customFormat="1" customHeight="1" s="5">
      <c r="A2761" s="81" t="n">
        <v>45821</v>
      </c>
      <c r="B2761" s="82" t="n">
        <v>0.4826388888888889</v>
      </c>
      <c r="C2761" s="5" t="inlineStr">
        <is>
          <t>Walmart</t>
        </is>
      </c>
      <c r="D2761" s="5" t="n">
        <v>1</v>
      </c>
      <c r="F2761" s="6" t="inlineStr">
        <is>
          <t># 2000131-31960711</t>
        </is>
      </c>
      <c r="G2761" s="10" t="n"/>
      <c r="H2761" s="9" t="inlineStr">
        <is>
          <t>Fresh Lemon, each</t>
        </is>
      </c>
      <c r="I2761" s="9" t="n">
        <v>1</v>
      </c>
      <c r="J2761" s="9" t="inlineStr">
        <is>
          <t>cnt</t>
        </is>
      </c>
      <c r="K2761" s="85" t="n">
        <v>0.58</v>
      </c>
    </row>
    <row r="2762" ht="15" customFormat="1" customHeight="1" s="5">
      <c r="A2762" s="81" t="n">
        <v>45821</v>
      </c>
      <c r="B2762" s="82" t="n">
        <v>0.4826388888888889</v>
      </c>
      <c r="C2762" s="5" t="inlineStr">
        <is>
          <t>Walmart</t>
        </is>
      </c>
      <c r="D2762" s="5" t="n">
        <v>1</v>
      </c>
      <c r="F2762" s="6" t="inlineStr">
        <is>
          <t># 2000131-31960711</t>
        </is>
      </c>
      <c r="G2762" s="10" t="n"/>
      <c r="H2762" s="9" t="inlineStr">
        <is>
          <t>Fresh Italian Parsley Bunch, Each</t>
        </is>
      </c>
      <c r="I2762" s="9" t="n">
        <v>1</v>
      </c>
      <c r="J2762" s="9" t="inlineStr">
        <is>
          <t>cnt</t>
        </is>
      </c>
      <c r="K2762" s="85" t="n">
        <v>1.07</v>
      </c>
    </row>
    <row r="2763" ht="15" customFormat="1" customHeight="1" s="5">
      <c r="A2763" s="81" t="n">
        <v>45821</v>
      </c>
      <c r="B2763" s="82" t="n">
        <v>0.4826388888888889</v>
      </c>
      <c r="C2763" s="5" t="inlineStr">
        <is>
          <t>Walmart</t>
        </is>
      </c>
      <c r="D2763" s="5" t="n">
        <v>1</v>
      </c>
      <c r="F2763" s="6" t="inlineStr">
        <is>
          <t># 2000131-31960711</t>
        </is>
      </c>
      <c r="G2763" s="10" t="n"/>
      <c r="H2763" s="9" t="inlineStr">
        <is>
          <t>FRAM Motorcycle/ATV Oil Filter, PH6017A for Select Harley-Davidson, Honda, Indian, Yamaha, Polaris, Triumph and Victory Models</t>
        </is>
      </c>
      <c r="I2763" s="9" t="n">
        <v>1</v>
      </c>
      <c r="J2763" s="9" t="inlineStr">
        <is>
          <t>cnt</t>
        </is>
      </c>
      <c r="K2763" s="85" t="n">
        <v>11.99</v>
      </c>
    </row>
    <row r="2764" ht="15" customFormat="1" customHeight="1" s="5">
      <c r="A2764" s="81" t="n">
        <v>45821</v>
      </c>
      <c r="B2764" s="82" t="n">
        <v>0.4826388888888889</v>
      </c>
      <c r="C2764" s="5" t="inlineStr">
        <is>
          <t>Walmart</t>
        </is>
      </c>
      <c r="D2764" s="5" t="n">
        <v>1</v>
      </c>
      <c r="F2764" s="6" t="inlineStr">
        <is>
          <t># 2000131-31960711</t>
        </is>
      </c>
      <c r="G2764" s="10" t="n"/>
      <c r="H2764" s="9" t="inlineStr">
        <is>
          <t>FRAM Motorcycle/ATV Oil Filter, PH6017A for Select Harley-Davidson, Honda, Indian, Yamaha, Polaris, Triumph and Victory Models</t>
        </is>
      </c>
      <c r="I2764" s="9" t="n">
        <v>1</v>
      </c>
      <c r="J2764" s="9" t="inlineStr">
        <is>
          <t>cnt</t>
        </is>
      </c>
      <c r="K2764" s="85" t="n">
        <v>11.99</v>
      </c>
    </row>
    <row r="2765" ht="15" customFormat="1" customHeight="1" s="5">
      <c r="A2765" s="81" t="n">
        <v>45821</v>
      </c>
      <c r="B2765" s="82" t="n">
        <v>0.4826388888888889</v>
      </c>
      <c r="C2765" s="5" t="inlineStr">
        <is>
          <t>Walmart</t>
        </is>
      </c>
      <c r="D2765" s="5" t="n">
        <v>1</v>
      </c>
      <c r="F2765" s="6" t="inlineStr">
        <is>
          <t># 2000131-31960711</t>
        </is>
      </c>
      <c r="G2765" s="10" t="n"/>
      <c r="H2765" s="9" t="inlineStr">
        <is>
          <t>**DISCOUNT** FRAM Oil Filters</t>
        </is>
      </c>
      <c r="I2765" s="9" t="n">
        <v>2</v>
      </c>
      <c r="J2765" s="9" t="inlineStr">
        <is>
          <t>cnt</t>
        </is>
      </c>
      <c r="K2765" s="85" t="n">
        <v>-10.1</v>
      </c>
    </row>
    <row r="2766" ht="15" customFormat="1" customHeight="1" s="5">
      <c r="A2766" s="81" t="n">
        <v>45821</v>
      </c>
      <c r="B2766" s="82" t="n">
        <v>0.4826388888888889</v>
      </c>
      <c r="C2766" s="5" t="inlineStr">
        <is>
          <t>Walmart</t>
        </is>
      </c>
      <c r="D2766" s="5" t="n">
        <v>1</v>
      </c>
      <c r="F2766" s="6" t="inlineStr">
        <is>
          <t># 2000131-31960711</t>
        </is>
      </c>
      <c r="G2766" s="10" t="n"/>
      <c r="H2766" s="9" t="inlineStr">
        <is>
          <t>Estimated Regulatory fees and taxes</t>
        </is>
      </c>
      <c r="I2766" s="9" t="n">
        <v>10</v>
      </c>
      <c r="J2766" s="9" t="inlineStr">
        <is>
          <t>cnt</t>
        </is>
      </c>
      <c r="K2766" s="85" t="n">
        <v>0.29</v>
      </c>
    </row>
    <row r="2767" ht="15" customFormat="1" customHeight="1" s="5">
      <c r="A2767" s="81" t="n">
        <v>45821</v>
      </c>
      <c r="B2767" s="82" t="n">
        <v>0.4826388888888889</v>
      </c>
      <c r="C2767" s="5" t="inlineStr">
        <is>
          <t>Walmart</t>
        </is>
      </c>
      <c r="D2767" s="5" t="n">
        <v>1</v>
      </c>
      <c r="F2767" s="6" t="inlineStr">
        <is>
          <t># 2000131-31960711</t>
        </is>
      </c>
      <c r="G2767" s="10" t="n"/>
      <c r="H2767" s="9" t="inlineStr">
        <is>
          <t>Tax</t>
        </is>
      </c>
      <c r="I2767" s="9" t="n">
        <v>10</v>
      </c>
      <c r="J2767" s="9" t="inlineStr">
        <is>
          <t>cnt</t>
        </is>
      </c>
      <c r="K2767" s="85" t="n">
        <v>1.11</v>
      </c>
    </row>
    <row r="2768" ht="15" customFormat="1" customHeight="1" s="5">
      <c r="A2768" s="81" t="n">
        <v>45820</v>
      </c>
      <c r="B2768" s="82" t="n">
        <v>0.7576388888888889</v>
      </c>
      <c r="C2768" s="5" t="inlineStr">
        <is>
          <t>Junction: Ebisu</t>
        </is>
      </c>
      <c r="D2768" s="5" t="n">
        <v>1</v>
      </c>
      <c r="F2768" s="6" t="inlineStr">
        <is>
          <t>#9</t>
        </is>
      </c>
      <c r="G2768" s="10" t="n"/>
      <c r="H2768" s="9" t="inlineStr">
        <is>
          <t>Med Thick Egg noodle (wheat Chewy) Extra spicy soup</t>
        </is>
      </c>
      <c r="I2768" s="9" t="n">
        <v>1</v>
      </c>
      <c r="J2768" s="9" t="inlineStr">
        <is>
          <t>cnt</t>
        </is>
      </c>
      <c r="K2768" s="9" t="n">
        <v>19.5</v>
      </c>
    </row>
    <row r="2769" ht="15" customFormat="1" customHeight="1" s="5">
      <c r="A2769" s="81" t="n">
        <v>45820</v>
      </c>
      <c r="B2769" s="82" t="n">
        <v>0.7576388888888889</v>
      </c>
      <c r="C2769" s="5" t="inlineStr">
        <is>
          <t>Junction: Ebisu</t>
        </is>
      </c>
      <c r="D2769" s="5" t="n">
        <v>1</v>
      </c>
      <c r="F2769" s="6" t="inlineStr">
        <is>
          <t>#9</t>
        </is>
      </c>
      <c r="G2769" s="10" t="n"/>
      <c r="H2769" s="9" t="inlineStr">
        <is>
          <t>Tip for Lindsey (and Jonathan and Gladys)</t>
        </is>
      </c>
      <c r="I2769" s="9" t="n">
        <v>1</v>
      </c>
      <c r="J2769" s="9" t="inlineStr">
        <is>
          <t>cnt</t>
        </is>
      </c>
      <c r="K2769" s="9" t="n">
        <v>2.92</v>
      </c>
    </row>
    <row r="2770" ht="15" customFormat="1" customHeight="1" s="5">
      <c r="A2770" s="81" t="n">
        <v>45820</v>
      </c>
      <c r="B2770" s="82" t="n">
        <v>0.7576388888888889</v>
      </c>
      <c r="C2770" s="5" t="inlineStr">
        <is>
          <t>Junction: Ebisu</t>
        </is>
      </c>
      <c r="D2770" s="5" t="n">
        <v>1</v>
      </c>
      <c r="F2770" s="6" t="inlineStr">
        <is>
          <t>#9</t>
        </is>
      </c>
      <c r="G2770" s="10" t="n"/>
      <c r="H2770" s="9" t="inlineStr">
        <is>
          <t>Tax</t>
        </is>
      </c>
      <c r="I2770" s="9" t="n">
        <v>1</v>
      </c>
      <c r="J2770" s="9" t="inlineStr">
        <is>
          <t>cnt</t>
        </is>
      </c>
      <c r="K2770" s="9" t="n">
        <v>1.79</v>
      </c>
    </row>
    <row r="2771" ht="15" customFormat="1" customHeight="1" s="5">
      <c r="A2771" s="81" t="n">
        <v>45820</v>
      </c>
      <c r="B2771" s="82" t="n">
        <v>0.7555555555555555</v>
      </c>
      <c r="C2771" s="5" t="inlineStr">
        <is>
          <t>Junction: Mojo Taco</t>
        </is>
      </c>
      <c r="E2771" s="5" t="n">
        <v>1</v>
      </c>
      <c r="F2771" s="6" t="inlineStr">
        <is>
          <t>#24</t>
        </is>
      </c>
      <c r="G2771" s="10" t="n"/>
      <c r="H2771" s="9" t="inlineStr">
        <is>
          <t>Chipotle Shrimp Bowl</t>
        </is>
      </c>
      <c r="I2771" s="9" t="n">
        <v>1</v>
      </c>
      <c r="J2771" s="9" t="inlineStr">
        <is>
          <t>cnt</t>
        </is>
      </c>
      <c r="K2771" s="9" t="n">
        <v>14.99</v>
      </c>
    </row>
    <row r="2772" ht="15" customFormat="1" customHeight="1" s="5">
      <c r="A2772" s="81" t="n">
        <v>45820</v>
      </c>
      <c r="B2772" s="82" t="n">
        <v>0.7555555555555555</v>
      </c>
      <c r="C2772" s="5" t="inlineStr">
        <is>
          <t>Junction: Mojo Taco</t>
        </is>
      </c>
      <c r="E2772" s="5" t="n">
        <v>1</v>
      </c>
      <c r="F2772" s="6" t="inlineStr">
        <is>
          <t>#24</t>
        </is>
      </c>
      <c r="G2772" s="10" t="n"/>
      <c r="H2772" s="9" t="inlineStr">
        <is>
          <t>Tax</t>
        </is>
      </c>
      <c r="I2772" s="9" t="n">
        <v>1</v>
      </c>
      <c r="J2772" s="9" t="inlineStr">
        <is>
          <t>cnt</t>
        </is>
      </c>
      <c r="K2772" s="9" t="n">
        <v>1.19</v>
      </c>
    </row>
    <row r="2773" ht="15" customFormat="1" customHeight="1" s="5">
      <c r="A2773" s="81" t="n">
        <v>45820</v>
      </c>
      <c r="B2773" s="82" t="n">
        <v>0.2916666666666667</v>
      </c>
      <c r="C2773" s="5" t="inlineStr">
        <is>
          <t>US Tax Witholding</t>
        </is>
      </c>
      <c r="D2773" s="5" t="n">
        <v>1</v>
      </c>
      <c r="F2773" s="6" t="inlineStr">
        <is>
          <t>RTX_Paycheck_25_38</t>
        </is>
      </c>
      <c r="G2773" s="7" t="n"/>
      <c r="H2773" s="9" t="inlineStr">
        <is>
          <t>Federal Income Tax</t>
        </is>
      </c>
      <c r="I2773" s="9" t="n"/>
      <c r="J2773" s="9" t="n"/>
      <c r="K2773" s="85" t="n">
        <v>481.35</v>
      </c>
    </row>
    <row r="2774" ht="15" customFormat="1" customHeight="1" s="5">
      <c r="A2774" s="81" t="n">
        <v>45820</v>
      </c>
      <c r="B2774" s="82" t="n">
        <v>0.2916666666666667</v>
      </c>
      <c r="C2774" s="5" t="inlineStr">
        <is>
          <t>US Tax Witholding</t>
        </is>
      </c>
      <c r="D2774" s="5" t="n">
        <v>1</v>
      </c>
      <c r="F2774" s="6" t="inlineStr">
        <is>
          <t>RTX_Paycheck_25_38</t>
        </is>
      </c>
      <c r="G2774" s="7" t="n"/>
      <c r="H2774" s="9" t="inlineStr">
        <is>
          <t>Social Security Tax</t>
        </is>
      </c>
      <c r="I2774" s="9" t="n"/>
      <c r="J2774" s="9" t="n"/>
      <c r="K2774" s="85" t="n">
        <v>275.95</v>
      </c>
    </row>
    <row r="2775" ht="15" customFormat="1" customHeight="1" s="5">
      <c r="A2775" s="81" t="n">
        <v>45820</v>
      </c>
      <c r="B2775" s="82" t="n">
        <v>0.2916666666666667</v>
      </c>
      <c r="C2775" s="5" t="inlineStr">
        <is>
          <t>US Tax Witholding</t>
        </is>
      </c>
      <c r="D2775" s="5" t="n">
        <v>1</v>
      </c>
      <c r="F2775" s="6" t="inlineStr">
        <is>
          <t>RTX_Paycheck_25_38</t>
        </is>
      </c>
      <c r="G2775" s="7" t="n"/>
      <c r="H2775" s="9" t="inlineStr">
        <is>
          <t>Medicare Tax</t>
        </is>
      </c>
      <c r="I2775" s="9" t="n"/>
      <c r="J2775" s="9" t="n"/>
      <c r="K2775" s="85" t="n">
        <v>64.53</v>
      </c>
    </row>
    <row r="2776" ht="15" customFormat="1" customHeight="1" s="5">
      <c r="A2776" s="81" t="n">
        <v>45820</v>
      </c>
      <c r="B2776" s="82" t="n">
        <v>0.2916666666666667</v>
      </c>
      <c r="C2776" s="5" t="inlineStr">
        <is>
          <t>Raytheon</t>
        </is>
      </c>
      <c r="D2776" s="5" t="n">
        <v>1</v>
      </c>
      <c r="F2776" s="6" t="inlineStr">
        <is>
          <t>RTX_Paycheck_25_38</t>
        </is>
      </c>
      <c r="G2776" s="17" t="inlineStr">
        <is>
          <t>XXXX3523</t>
        </is>
      </c>
      <c r="H2776" s="9" t="inlineStr">
        <is>
          <t>Net Paycheck [May 25 - Jun 06]</t>
        </is>
      </c>
      <c r="I2776" s="9" t="n"/>
      <c r="J2776" s="9" t="n"/>
      <c r="K2776" s="85" t="n">
        <v>2459.56</v>
      </c>
    </row>
    <row r="2777" ht="15" customFormat="1" customHeight="1" s="5">
      <c r="A2777" s="81" t="n">
        <v>45820</v>
      </c>
      <c r="B2777" s="82" t="n">
        <v>0.2916666666666667</v>
      </c>
      <c r="C2777" s="5" t="inlineStr">
        <is>
          <t>Raytheon</t>
        </is>
      </c>
      <c r="D2777" s="5" t="n">
        <v>1</v>
      </c>
      <c r="F2777" s="6" t="inlineStr">
        <is>
          <t>RTX_Paycheck_25_38</t>
        </is>
      </c>
      <c r="G2777" s="7" t="n"/>
      <c r="H2777" s="9" t="inlineStr">
        <is>
          <t>RTX Direct Deposit -- cancelling offset</t>
        </is>
      </c>
      <c r="I2777" s="9" t="n"/>
      <c r="J2777" s="9" t="n"/>
      <c r="K2777" s="85" t="n">
        <v>-2459.57</v>
      </c>
    </row>
    <row r="2778" ht="15" customFormat="1" customHeight="1" s="5">
      <c r="A2778" s="81" t="n">
        <v>45820</v>
      </c>
      <c r="B2778" s="82" t="n">
        <v>0.2916666666666667</v>
      </c>
      <c r="C2778" s="5" t="inlineStr">
        <is>
          <t>Raytheon</t>
        </is>
      </c>
      <c r="D2778" s="5" t="n">
        <v>1</v>
      </c>
      <c r="F2778" s="6" t="inlineStr">
        <is>
          <t>RTX_Paycheck_25_38</t>
        </is>
      </c>
      <c r="G2778" s="7" t="n"/>
      <c r="H2778" s="9" t="inlineStr">
        <is>
          <t>Gross Paycheck [May 25 - Jun 06]</t>
        </is>
      </c>
      <c r="I2778" s="9" t="n"/>
      <c r="J2778" s="9" t="n"/>
      <c r="K2778" s="85" t="n">
        <v>-4960.11</v>
      </c>
    </row>
    <row r="2779" ht="15" customFormat="1" customHeight="1" s="5">
      <c r="A2779" s="81" t="n">
        <v>45820</v>
      </c>
      <c r="B2779" s="82" t="n">
        <v>0.2916666666666667</v>
      </c>
      <c r="C2779" s="5" t="inlineStr">
        <is>
          <t>Raytheon</t>
        </is>
      </c>
      <c r="D2779" s="5" t="n">
        <v>1</v>
      </c>
      <c r="F2779" s="6" t="inlineStr">
        <is>
          <t>RTX_Paycheck_25_38</t>
        </is>
      </c>
      <c r="G2779" s="7" t="n"/>
      <c r="H2779" s="9" t="inlineStr">
        <is>
          <t>Ed(ucation) Assi(tance) Offset</t>
        </is>
      </c>
      <c r="I2779" s="9" t="n"/>
      <c r="J2779" s="9" t="n"/>
      <c r="K2779" s="85" t="n">
        <v>711.63</v>
      </c>
    </row>
    <row r="2780" ht="15" customFormat="1" customHeight="1" s="5">
      <c r="A2780" s="81" t="n">
        <v>45820</v>
      </c>
      <c r="B2780" s="82" t="n">
        <v>0.2916666666666667</v>
      </c>
      <c r="C2780" s="5" t="inlineStr">
        <is>
          <t>Parents Gift Account</t>
        </is>
      </c>
      <c r="D2780" s="5" t="n">
        <v>1</v>
      </c>
      <c r="F2780" s="6" t="inlineStr">
        <is>
          <t>RTX_Paycheck_25_38</t>
        </is>
      </c>
      <c r="G2780" s="17" t="inlineStr">
        <is>
          <t>XXXX7146</t>
        </is>
      </c>
      <c r="H2780" s="9" t="inlineStr">
        <is>
          <t>Contribution to Parents Gift Account</t>
        </is>
      </c>
      <c r="I2780" s="9" t="n"/>
      <c r="J2780" s="9" t="n"/>
      <c r="K2780" s="85" t="n">
        <v>0.01</v>
      </c>
    </row>
    <row r="2781" ht="15" customFormat="1" customHeight="1" s="5">
      <c r="A2781" s="81" t="n">
        <v>45820</v>
      </c>
      <c r="B2781" s="82" t="n">
        <v>0.2916666666666667</v>
      </c>
      <c r="C2781" s="5" t="inlineStr">
        <is>
          <t>HSA</t>
        </is>
      </c>
      <c r="D2781" s="5" t="n">
        <v>1</v>
      </c>
      <c r="F2781" s="6" t="inlineStr">
        <is>
          <t>RTX_Paycheck_25_38</t>
        </is>
      </c>
      <c r="G2781" s="7" t="n"/>
      <c r="H2781" s="9" t="inlineStr">
        <is>
          <t>Personal contribution to HSA</t>
        </is>
      </c>
      <c r="I2781" s="9" t="n"/>
      <c r="J2781" s="9" t="n"/>
      <c r="K2781" s="85" t="n">
        <v>239.93</v>
      </c>
    </row>
    <row r="2782" ht="15" customFormat="1" customHeight="1" s="5">
      <c r="A2782" s="81" t="n">
        <v>45820</v>
      </c>
      <c r="B2782" s="82" t="n">
        <v>0.2916666666666667</v>
      </c>
      <c r="C2782" s="5" t="inlineStr">
        <is>
          <t>Delta Dental</t>
        </is>
      </c>
      <c r="D2782" s="5" t="n">
        <v>1</v>
      </c>
      <c r="F2782" s="6" t="inlineStr">
        <is>
          <t>RTX_Paycheck_25_38</t>
        </is>
      </c>
      <c r="G2782" s="10" t="n"/>
      <c r="H2782" s="9" t="inlineStr">
        <is>
          <t>Dental Insurance</t>
        </is>
      </c>
      <c r="I2782" s="9" t="n"/>
      <c r="J2782" s="9" t="n"/>
      <c r="K2782" s="85" t="n">
        <v>8.52</v>
      </c>
    </row>
    <row r="2783" ht="15" customFormat="1" customHeight="1" s="5">
      <c r="A2783" s="81" t="n">
        <v>45820</v>
      </c>
      <c r="B2783" s="82" t="n">
        <v>0.2916666666666667</v>
      </c>
      <c r="C2783" s="5" t="inlineStr">
        <is>
          <t>CO Tax Witholding</t>
        </is>
      </c>
      <c r="D2783" s="5" t="n">
        <v>1</v>
      </c>
      <c r="F2783" s="6" t="inlineStr">
        <is>
          <t>RTX_Paycheck_25_38</t>
        </is>
      </c>
      <c r="G2783" s="7" t="n"/>
      <c r="H2783" s="9" t="inlineStr">
        <is>
          <t>CO State Income Tax</t>
        </is>
      </c>
      <c r="I2783" s="9" t="n"/>
      <c r="J2783" s="9" t="n"/>
      <c r="K2783" s="85" t="n">
        <v>178.84</v>
      </c>
    </row>
    <row r="2784" ht="15" customFormat="1" customHeight="1" s="5">
      <c r="A2784" s="81" t="n">
        <v>45820</v>
      </c>
      <c r="B2784" s="82" t="n">
        <v>0.2916666666666667</v>
      </c>
      <c r="C2784" s="5" t="inlineStr">
        <is>
          <t>CO Tax Witholding</t>
        </is>
      </c>
      <c r="D2784" s="5" t="n">
        <v>1</v>
      </c>
      <c r="F2784" s="6" t="inlineStr">
        <is>
          <t>RTX_Paycheck_25_38</t>
        </is>
      </c>
      <c r="G2784" s="7" t="n"/>
      <c r="H2784" s="9" t="inlineStr">
        <is>
          <t>CO Paid Family Leave Insurance</t>
        </is>
      </c>
      <c r="I2784" s="9" t="n"/>
      <c r="J2784" s="9" t="n"/>
      <c r="K2784" s="85" t="n">
        <v>22.32</v>
      </c>
    </row>
    <row r="2785" ht="15" customFormat="1" customHeight="1" s="5">
      <c r="A2785" s="81" t="n">
        <v>45820</v>
      </c>
      <c r="B2785" s="82" t="n">
        <v>0.2916666666666667</v>
      </c>
      <c r="C2785" s="5" t="inlineStr">
        <is>
          <t>Anthem BcBs</t>
        </is>
      </c>
      <c r="D2785" s="5" t="n">
        <v>1</v>
      </c>
      <c r="F2785" s="6" t="inlineStr">
        <is>
          <t>RTX_Paycheck_25_38</t>
        </is>
      </c>
      <c r="G2785" s="7" t="n"/>
      <c r="H2785" s="9" t="inlineStr">
        <is>
          <t>Medical Insurance</t>
        </is>
      </c>
      <c r="I2785" s="9" t="n"/>
      <c r="J2785" s="9" t="n"/>
      <c r="K2785" s="85" t="n">
        <v>262.56</v>
      </c>
    </row>
    <row r="2786" ht="15" customFormat="1" customHeight="1" s="5">
      <c r="A2786" s="81" t="n">
        <v>45820</v>
      </c>
      <c r="B2786" s="82" t="n">
        <v>0.2916666666666667</v>
      </c>
      <c r="C2786" s="5" t="inlineStr">
        <is>
          <t>Alight</t>
        </is>
      </c>
      <c r="D2786" s="5" t="n">
        <v>1</v>
      </c>
      <c r="F2786" s="6" t="inlineStr">
        <is>
          <t>RTX_Paycheck_25_38</t>
        </is>
      </c>
      <c r="G2786" s="7" t="n"/>
      <c r="H2786" s="9" t="inlineStr">
        <is>
          <t>401k Basic -- Traditional</t>
        </is>
      </c>
      <c r="I2786" s="9" t="n"/>
      <c r="J2786" s="9" t="n"/>
      <c r="K2786" s="85" t="n">
        <v>0</v>
      </c>
    </row>
    <row r="2787" ht="15" customFormat="1" customHeight="1" s="5">
      <c r="A2787" s="81" t="n">
        <v>45820</v>
      </c>
      <c r="B2787" s="82" t="n">
        <v>0.2916666666666667</v>
      </c>
      <c r="C2787" s="5" t="inlineStr">
        <is>
          <t>Alight</t>
        </is>
      </c>
      <c r="D2787" s="5" t="n">
        <v>1</v>
      </c>
      <c r="F2787" s="6" t="inlineStr">
        <is>
          <t>RTX_Paycheck_25_38</t>
        </is>
      </c>
      <c r="G2787" s="7" t="n"/>
      <c r="H2787" s="9" t="inlineStr">
        <is>
          <t>Roth 401k Basic</t>
        </is>
      </c>
      <c r="I2787" s="9" t="n"/>
      <c r="J2787" s="9" t="n"/>
      <c r="K2787" s="85" t="n">
        <v>254.91</v>
      </c>
    </row>
    <row r="2788" ht="15" customFormat="1" customHeight="1" s="5">
      <c r="A2788" s="81" t="n">
        <v>45819</v>
      </c>
      <c r="B2788" s="82" t="n">
        <v>0.6076388888888888</v>
      </c>
      <c r="C2788" s="5" t="inlineStr">
        <is>
          <t>Costco</t>
        </is>
      </c>
      <c r="E2788" s="5" t="n">
        <v>1</v>
      </c>
      <c r="F2788" s="6" t="inlineStr">
        <is>
          <t>439 204 108 704</t>
        </is>
      </c>
      <c r="G2788" s="10" t="inlineStr">
        <is>
          <t>E 67072</t>
        </is>
      </c>
      <c r="H2788" s="9" t="inlineStr">
        <is>
          <t>Navel Oranges</t>
        </is>
      </c>
      <c r="I2788" s="9" t="n">
        <v>8</v>
      </c>
      <c r="J2788" s="9" t="inlineStr">
        <is>
          <t>lb</t>
        </is>
      </c>
      <c r="K2788" s="9" t="n">
        <v>7.89</v>
      </c>
    </row>
    <row r="2789" ht="15" customFormat="1" customHeight="1" s="5">
      <c r="A2789" s="81" t="n">
        <v>45819</v>
      </c>
      <c r="B2789" s="82" t="n">
        <v>0.6076388888888888</v>
      </c>
      <c r="C2789" s="5" t="inlineStr">
        <is>
          <t>Costco</t>
        </is>
      </c>
      <c r="E2789" s="5" t="n">
        <v>1</v>
      </c>
      <c r="F2789" s="6" t="inlineStr">
        <is>
          <t>439 204 108 704</t>
        </is>
      </c>
      <c r="G2789" s="10" t="inlineStr">
        <is>
          <t>E 1471212</t>
        </is>
      </c>
      <c r="H2789" s="9" t="inlineStr">
        <is>
          <t>Dave's Thin Seeded Bread "Good Seed"</t>
        </is>
      </c>
      <c r="I2789" s="9" t="n">
        <v>3</v>
      </c>
      <c r="J2789" s="9" t="inlineStr">
        <is>
          <t>lb</t>
        </is>
      </c>
      <c r="K2789" s="9" t="n">
        <v>9.390000000000001</v>
      </c>
    </row>
    <row r="2790" ht="15" customFormat="1" customHeight="1" s="5">
      <c r="A2790" s="81" t="n">
        <v>45819</v>
      </c>
      <c r="B2790" s="82" t="n">
        <v>0.6076388888888888</v>
      </c>
      <c r="C2790" s="5" t="inlineStr">
        <is>
          <t>Costco</t>
        </is>
      </c>
      <c r="E2790" s="5" t="n">
        <v>1</v>
      </c>
      <c r="F2790" s="6" t="inlineStr">
        <is>
          <t>439 204 108 704</t>
        </is>
      </c>
      <c r="G2790" s="10" t="inlineStr">
        <is>
          <t>E 0000355933</t>
        </is>
      </c>
      <c r="H2790" s="9" t="inlineStr">
        <is>
          <t>**DISCOUNT** /1471212 Dave's Killer Bread</t>
        </is>
      </c>
      <c r="I2790" s="9" t="n">
        <v>3</v>
      </c>
      <c r="J2790" s="9" t="inlineStr">
        <is>
          <t>lb</t>
        </is>
      </c>
      <c r="K2790" s="9" t="inlineStr">
        <is>
          <t>2.40-</t>
        </is>
      </c>
    </row>
    <row r="2791" ht="15" customFormat="1" customHeight="1" s="5">
      <c r="A2791" s="81" t="n">
        <v>45819</v>
      </c>
      <c r="B2791" s="82" t="n">
        <v>0.6076388888888888</v>
      </c>
      <c r="C2791" s="5" t="inlineStr">
        <is>
          <t>Costco</t>
        </is>
      </c>
      <c r="E2791" s="5" t="n">
        <v>1</v>
      </c>
      <c r="F2791" s="6" t="inlineStr">
        <is>
          <t>439 204 108 704</t>
        </is>
      </c>
      <c r="G2791" s="10" t="inlineStr">
        <is>
          <t>E 21046</t>
        </is>
      </c>
      <c r="H2791" s="9" t="inlineStr">
        <is>
          <t>Tomato Medley Cherry tomatos</t>
        </is>
      </c>
      <c r="I2791" s="9" t="n">
        <v>2</v>
      </c>
      <c r="J2791" s="9" t="inlineStr">
        <is>
          <t>lb</t>
        </is>
      </c>
      <c r="K2791" s="9" t="n">
        <v>5.99</v>
      </c>
    </row>
    <row r="2792" ht="15" customFormat="1" customHeight="1" s="5">
      <c r="A2792" s="81" t="n">
        <v>45819</v>
      </c>
      <c r="B2792" s="82" t="n">
        <v>0.6076388888888888</v>
      </c>
      <c r="C2792" s="5" t="inlineStr">
        <is>
          <t>Costco</t>
        </is>
      </c>
      <c r="E2792" s="5" t="n">
        <v>1</v>
      </c>
      <c r="F2792" s="6" t="inlineStr">
        <is>
          <t>439 204 108 704</t>
        </is>
      </c>
      <c r="G2792" s="10" t="inlineStr">
        <is>
          <t>E 844333</t>
        </is>
      </c>
      <c r="H2792" s="9" t="inlineStr">
        <is>
          <t>Kirkland Signature Oven Roasted Turkey Breast, Sliced, 14 oz, 3 ct</t>
        </is>
      </c>
      <c r="I2792" s="9" t="n">
        <v>42</v>
      </c>
      <c r="J2792" s="9" t="inlineStr">
        <is>
          <t>oz</t>
        </is>
      </c>
      <c r="K2792" s="9" t="n">
        <v>12.69</v>
      </c>
    </row>
    <row r="2793" ht="15" customFormat="1" customHeight="1" s="5">
      <c r="A2793" s="81" t="n">
        <v>45819</v>
      </c>
      <c r="B2793" s="82" t="n">
        <v>0.6076388888888888</v>
      </c>
      <c r="C2793" s="5" t="inlineStr">
        <is>
          <t>Costco</t>
        </is>
      </c>
      <c r="E2793" s="5" t="n">
        <v>1</v>
      </c>
      <c r="F2793" s="6" t="inlineStr">
        <is>
          <t>439 204 108 704</t>
        </is>
      </c>
      <c r="G2793" s="10" t="inlineStr">
        <is>
          <t>E 720650</t>
        </is>
      </c>
      <c r="H2793" s="9" t="inlineStr">
        <is>
          <t>Mini Cukes Cocktail Cucumbers</t>
        </is>
      </c>
      <c r="I2793" s="9" t="n">
        <v>1.5</v>
      </c>
      <c r="J2793" s="9" t="inlineStr">
        <is>
          <t>lb</t>
        </is>
      </c>
      <c r="K2793" s="9" t="n">
        <v>5.99</v>
      </c>
    </row>
    <row r="2794" ht="15" customFormat="1" customHeight="1" s="5">
      <c r="A2794" s="81" t="n">
        <v>45819</v>
      </c>
      <c r="B2794" s="82" t="n">
        <v>0.6076388888888888</v>
      </c>
      <c r="C2794" s="5" t="inlineStr">
        <is>
          <t>Costco</t>
        </is>
      </c>
      <c r="E2794" s="5" t="n">
        <v>1</v>
      </c>
      <c r="F2794" s="6" t="inlineStr">
        <is>
          <t>439 204 108 704</t>
        </is>
      </c>
      <c r="G2794" s="10" t="inlineStr">
        <is>
          <t>E 6021</t>
        </is>
      </c>
      <c r="H2794" s="9" t="inlineStr">
        <is>
          <t>Premium Plums</t>
        </is>
      </c>
      <c r="I2794" s="9" t="n">
        <v>3</v>
      </c>
      <c r="J2794" s="9" t="inlineStr">
        <is>
          <t>lb</t>
        </is>
      </c>
      <c r="K2794" s="9" t="n">
        <v>4.99</v>
      </c>
    </row>
    <row r="2795" ht="15" customFormat="1" customHeight="1" s="5">
      <c r="A2795" s="81" t="n">
        <v>45819</v>
      </c>
      <c r="B2795" s="82" t="n">
        <v>0.6076388888888888</v>
      </c>
      <c r="C2795" s="5" t="inlineStr">
        <is>
          <t>Costco</t>
        </is>
      </c>
      <c r="E2795" s="5" t="n">
        <v>1</v>
      </c>
      <c r="F2795" s="6" t="inlineStr">
        <is>
          <t>439 204 108 704</t>
        </is>
      </c>
      <c r="G2795" s="15" t="inlineStr">
        <is>
          <t>1897232</t>
        </is>
      </c>
      <c r="H2795" s="9" t="inlineStr">
        <is>
          <t>Ziploc Sandwich-sized bags, 4-pack x 120 bags 6.5 in x 5 7/8 in</t>
        </is>
      </c>
      <c r="I2795" s="9" t="n">
        <v>480</v>
      </c>
      <c r="J2795" s="9" t="inlineStr">
        <is>
          <t>cnt</t>
        </is>
      </c>
      <c r="K2795" s="9" t="inlineStr">
        <is>
          <t>9.99 A</t>
        </is>
      </c>
    </row>
    <row r="2796" ht="15" customFormat="1" customHeight="1" s="5">
      <c r="A2796" s="81" t="n">
        <v>45819</v>
      </c>
      <c r="B2796" s="82" t="n">
        <v>0.6076388888888888</v>
      </c>
      <c r="C2796" s="5" t="inlineStr">
        <is>
          <t>Costco</t>
        </is>
      </c>
      <c r="E2796" s="5" t="n">
        <v>1</v>
      </c>
      <c r="F2796" s="6" t="inlineStr">
        <is>
          <t>439 204 108 704</t>
        </is>
      </c>
      <c r="G2796" s="15" t="inlineStr">
        <is>
          <t>6262016</t>
        </is>
      </c>
      <c r="H2796" s="9" t="inlineStr">
        <is>
          <t>KS Bath Tissues; 56 rp;;s [acls. 2 [;y. 30 rolls, 380 sheets per roll</t>
        </is>
      </c>
      <c r="I2796" s="9" t="n">
        <v>1425</v>
      </c>
      <c r="J2796" s="9" t="inlineStr">
        <is>
          <t>sq ft</t>
        </is>
      </c>
      <c r="K2796" s="9" t="inlineStr">
        <is>
          <t>20.99 A</t>
        </is>
      </c>
    </row>
    <row r="2797" ht="15" customFormat="1" customHeight="1" s="5">
      <c r="A2797" s="81" t="n">
        <v>45819</v>
      </c>
      <c r="B2797" s="82" t="n">
        <v>0.6076388888888888</v>
      </c>
      <c r="C2797" s="5" t="inlineStr">
        <is>
          <t>Costco</t>
        </is>
      </c>
      <c r="E2797" s="5" t="n">
        <v>1</v>
      </c>
      <c r="F2797" s="6" t="inlineStr">
        <is>
          <t>439 204 108 704</t>
        </is>
      </c>
      <c r="G2797" s="15" t="inlineStr">
        <is>
          <t>1846024</t>
        </is>
      </c>
      <c r="H2797" s="9" t="inlineStr">
        <is>
          <t>Lands' End Lyocell Tiered Midi Dress Large Tan</t>
        </is>
      </c>
      <c r="I2797" s="9" t="n">
        <v>1</v>
      </c>
      <c r="J2797" s="9" t="inlineStr">
        <is>
          <t>cnt</t>
        </is>
      </c>
      <c r="K2797" s="9" t="inlineStr">
        <is>
          <t>17.99 A</t>
        </is>
      </c>
    </row>
    <row r="2798" ht="15" customFormat="1" customHeight="1" s="5">
      <c r="A2798" s="81" t="n">
        <v>45819</v>
      </c>
      <c r="B2798" s="82" t="n">
        <v>0.6076388888888888</v>
      </c>
      <c r="C2798" s="5" t="inlineStr">
        <is>
          <t>Costco</t>
        </is>
      </c>
      <c r="E2798" s="5" t="n">
        <v>1</v>
      </c>
      <c r="F2798" s="6" t="inlineStr">
        <is>
          <t>439 204 108 704</t>
        </is>
      </c>
      <c r="G2798" s="10" t="n"/>
      <c r="H2798" s="9" t="inlineStr">
        <is>
          <t>TAX A 8.00%</t>
        </is>
      </c>
      <c r="I2798" s="9" t="n">
        <v>9</v>
      </c>
      <c r="J2798" s="9" t="inlineStr">
        <is>
          <t>cnt</t>
        </is>
      </c>
      <c r="K2798" s="9" t="n">
        <v>3.92</v>
      </c>
    </row>
    <row r="2799" ht="15" customFormat="1" customHeight="1" s="5">
      <c r="A2799" s="81" t="n">
        <v>45819</v>
      </c>
      <c r="B2799" s="82" t="n">
        <v>0.14375</v>
      </c>
      <c r="C2799" s="5" t="inlineStr">
        <is>
          <t>Overland Missions</t>
        </is>
      </c>
      <c r="D2799" s="5" t="n">
        <v>1</v>
      </c>
      <c r="F2799" s="6" t="inlineStr">
        <is>
          <t>121076892393</t>
        </is>
      </c>
      <c r="G2799" s="10" t="n"/>
      <c r="H2799" s="9" t="inlineStr">
        <is>
          <t>Pelletier - Monthly missions donation</t>
        </is>
      </c>
      <c r="I2799" s="9" t="n">
        <v>1</v>
      </c>
      <c r="J2799" s="9" t="inlineStr">
        <is>
          <t>cnt</t>
        </is>
      </c>
      <c r="K2799" s="9" t="n">
        <v>250</v>
      </c>
    </row>
    <row r="2800" ht="15" customFormat="1" customHeight="1" s="5">
      <c r="A2800" s="81" t="n">
        <v>45817</v>
      </c>
      <c r="B2800" s="82" t="n">
        <v>0.8201388888888889</v>
      </c>
      <c r="C2800" s="5" t="inlineStr">
        <is>
          <t>Safeway</t>
        </is>
      </c>
      <c r="E2800" s="5" t="n">
        <v>1</v>
      </c>
      <c r="F2800" s="6" t="inlineStr">
        <is>
          <t>2612 95 57 8895</t>
        </is>
      </c>
      <c r="G2800" s="15" t="inlineStr">
        <is>
          <t>2113008192</t>
        </is>
      </c>
      <c r="H2800" s="9" t="inlineStr">
        <is>
          <t>Signature Select Ice Cream Chocolate Extreme Moose Tracks</t>
        </is>
      </c>
      <c r="I2800" s="9" t="n">
        <v>1.5</v>
      </c>
      <c r="J2800" s="9" t="inlineStr">
        <is>
          <t>quart</t>
        </is>
      </c>
      <c r="K2800" s="9" t="n">
        <v>4.99</v>
      </c>
    </row>
    <row r="2801" ht="15" customFormat="1" customHeight="1" s="5">
      <c r="A2801" s="81" t="n">
        <v>45817</v>
      </c>
      <c r="B2801" s="82" t="n">
        <v>0.8201388888888889</v>
      </c>
      <c r="C2801" s="5" t="inlineStr">
        <is>
          <t>Safeway</t>
        </is>
      </c>
      <c r="E2801" s="5" t="n">
        <v>1</v>
      </c>
      <c r="F2801" s="6" t="inlineStr">
        <is>
          <t>2612 95 57 8895</t>
        </is>
      </c>
      <c r="G2801" s="15" t="inlineStr">
        <is>
          <t>2113008808</t>
        </is>
      </c>
      <c r="H2801" s="9" t="inlineStr">
        <is>
          <t>Signature Select Ice Cream Butter Pecan</t>
        </is>
      </c>
      <c r="I2801" s="9" t="n">
        <v>1.5</v>
      </c>
      <c r="J2801" s="9" t="inlineStr">
        <is>
          <t>quart</t>
        </is>
      </c>
      <c r="K2801" s="9" t="n">
        <v>4.99</v>
      </c>
    </row>
    <row r="2802" ht="15" customFormat="1" customHeight="1" s="5">
      <c r="A2802" s="81" t="n">
        <v>45817</v>
      </c>
      <c r="B2802" s="82" t="n">
        <v>0.8201388888888889</v>
      </c>
      <c r="C2802" s="5" t="inlineStr">
        <is>
          <t>Safeway</t>
        </is>
      </c>
      <c r="E2802" s="5" t="n">
        <v>1</v>
      </c>
      <c r="F2802" s="6" t="inlineStr">
        <is>
          <t>2612 95 57 8895</t>
        </is>
      </c>
      <c r="G2802" s="10" t="n"/>
      <c r="H2802" s="9" t="inlineStr">
        <is>
          <t>**DISCOUNT** Member Savings</t>
        </is>
      </c>
      <c r="I2802" s="9" t="n">
        <v>2</v>
      </c>
      <c r="J2802" s="9" t="inlineStr">
        <is>
          <t>cnt</t>
        </is>
      </c>
      <c r="K2802" s="9" t="n">
        <v>-5.04</v>
      </c>
    </row>
    <row r="2803" ht="15" customFormat="1" customHeight="1" s="5">
      <c r="A2803" s="81" t="n">
        <v>45817</v>
      </c>
      <c r="B2803" s="82" t="n">
        <v>0.8201388888888889</v>
      </c>
      <c r="C2803" s="5" t="inlineStr">
        <is>
          <t>Safeway</t>
        </is>
      </c>
      <c r="E2803" s="5" t="n">
        <v>1</v>
      </c>
      <c r="F2803" s="6" t="inlineStr">
        <is>
          <t>2612 95 57 8895</t>
        </is>
      </c>
      <c r="G2803" s="10" t="n"/>
      <c r="H2803" s="9" t="inlineStr">
        <is>
          <t>Tax</t>
        </is>
      </c>
      <c r="I2803" s="9" t="n">
        <v>2</v>
      </c>
      <c r="J2803" s="9" t="inlineStr">
        <is>
          <t>cnt</t>
        </is>
      </c>
      <c r="K2803" s="9" t="n">
        <v>0</v>
      </c>
    </row>
    <row r="2804" ht="15" customFormat="1" customHeight="1" s="5">
      <c r="A2804" s="81" t="n">
        <v>45816</v>
      </c>
      <c r="B2804" s="82" t="n">
        <v>0.7006944444444444</v>
      </c>
      <c r="C2804" s="5" t="inlineStr">
        <is>
          <t>Panera Bread</t>
        </is>
      </c>
      <c r="D2804" s="5" t="n">
        <v>1</v>
      </c>
      <c r="F2804" s="6" t="inlineStr">
        <is>
          <t>#6051715927141698</t>
        </is>
      </c>
      <c r="G2804" s="10" t="n"/>
      <c r="H2804" s="9" t="inlineStr">
        <is>
          <t>Half Chipotle Chicken Avo Melt with Basil with Extra Sliced Tomatoes with Extra Cucumber</t>
        </is>
      </c>
      <c r="I2804" s="9" t="n"/>
      <c r="J2804" s="9" t="n"/>
      <c r="K2804" s="9" t="n">
        <v>8.789999999999999</v>
      </c>
    </row>
    <row r="2805" ht="15" customFormat="1" customHeight="1" s="5">
      <c r="A2805" s="81" t="n">
        <v>45816</v>
      </c>
      <c r="B2805" s="82" t="n">
        <v>0.7006944444444444</v>
      </c>
      <c r="C2805" s="5" t="inlineStr">
        <is>
          <t>Panera Bread</t>
        </is>
      </c>
      <c r="D2805" s="5" t="n">
        <v>1</v>
      </c>
      <c r="F2805" s="6" t="inlineStr">
        <is>
          <t>#6051715927141698</t>
        </is>
      </c>
      <c r="G2805" s="10" t="n"/>
      <c r="H2805" s="9" t="inlineStr">
        <is>
          <t>Half Tuna Salad Sandwich: with Cucumber with Cilantro with Zesty Sweet Peppers with Extra Basil</t>
        </is>
      </c>
      <c r="I2805" s="9" t="n"/>
      <c r="J2805" s="9" t="n"/>
      <c r="K2805" s="9" t="n">
        <v>6.49</v>
      </c>
    </row>
    <row r="2806" ht="15" customFormat="1" customHeight="1" s="5">
      <c r="A2806" s="81" t="n">
        <v>45816</v>
      </c>
      <c r="B2806" s="82" t="n">
        <v>0.7006944444444444</v>
      </c>
      <c r="C2806" s="5" t="inlineStr">
        <is>
          <t>Panera Bread</t>
        </is>
      </c>
      <c r="D2806" s="5" t="n">
        <v>1</v>
      </c>
      <c r="F2806" s="6" t="inlineStr">
        <is>
          <t>#6051715927141698</t>
        </is>
      </c>
      <c r="G2806" s="10" t="n"/>
      <c r="H2806" s="9" t="inlineStr">
        <is>
          <t>Side French Baguette</t>
        </is>
      </c>
      <c r="I2806" s="9" t="n"/>
      <c r="J2806" s="9" t="n"/>
      <c r="K2806" s="9" t="n">
        <v>0</v>
      </c>
    </row>
    <row r="2807" ht="15" customFormat="1" customHeight="1" s="5">
      <c r="A2807" s="81" t="n">
        <v>45816</v>
      </c>
      <c r="B2807" s="82" t="n">
        <v>0.7006944444444444</v>
      </c>
      <c r="C2807" s="5" t="inlineStr">
        <is>
          <t>Panera Bread</t>
        </is>
      </c>
      <c r="D2807" s="5" t="n">
        <v>1</v>
      </c>
      <c r="F2807" s="6" t="inlineStr">
        <is>
          <t>#6051715927141698</t>
        </is>
      </c>
      <c r="G2807" s="10" t="n"/>
      <c r="H2807" s="9" t="inlineStr">
        <is>
          <t>Blueberry Lavender Lemonade</t>
        </is>
      </c>
      <c r="I2807" s="9" t="n"/>
      <c r="J2807" s="9" t="n"/>
      <c r="K2807" s="9" t="n">
        <v>5.79</v>
      </c>
    </row>
    <row r="2808" ht="15" customFormat="1" customHeight="1" s="5">
      <c r="A2808" s="81" t="n">
        <v>45816</v>
      </c>
      <c r="B2808" s="82" t="n">
        <v>0.7006944444444444</v>
      </c>
      <c r="C2808" s="5" t="inlineStr">
        <is>
          <t>Panera Bread</t>
        </is>
      </c>
      <c r="D2808" s="5" t="n">
        <v>1</v>
      </c>
      <c r="F2808" s="6" t="inlineStr">
        <is>
          <t>#6051715927141698</t>
        </is>
      </c>
      <c r="G2808" s="10" t="n"/>
      <c r="H2808" s="9" t="inlineStr">
        <is>
          <t>**DISCOUNT** Sip Club savings</t>
        </is>
      </c>
      <c r="I2808" s="9" t="n"/>
      <c r="J2808" s="9" t="n"/>
      <c r="K2808" s="9" t="n">
        <v>-7.79</v>
      </c>
    </row>
    <row r="2809" ht="15" customFormat="1" customHeight="1" s="5">
      <c r="A2809" s="81" t="n">
        <v>45816</v>
      </c>
      <c r="B2809" s="82" t="n">
        <v>0.7006944444444444</v>
      </c>
      <c r="C2809" s="5" t="inlineStr">
        <is>
          <t>Panera Bread</t>
        </is>
      </c>
      <c r="D2809" s="5" t="n">
        <v>1</v>
      </c>
      <c r="F2809" s="6" t="inlineStr">
        <is>
          <t>#6051715927141698</t>
        </is>
      </c>
      <c r="G2809" s="10" t="n"/>
      <c r="H2809" s="9" t="inlineStr">
        <is>
          <t>Tax</t>
        </is>
      </c>
      <c r="I2809" s="9" t="n"/>
      <c r="J2809" s="9" t="n"/>
      <c r="K2809" s="9" t="n">
        <v>1.06</v>
      </c>
    </row>
    <row r="2810" ht="15" customFormat="1" customHeight="1" s="5">
      <c r="A2810" s="81" t="n">
        <v>45815</v>
      </c>
      <c r="B2810" s="82" t="n">
        <v>0.7666666666666667</v>
      </c>
      <c r="C2810" s="5" t="inlineStr">
        <is>
          <t>Yanni's Greek Food</t>
        </is>
      </c>
      <c r="E2810" s="5" t="n">
        <v>1</v>
      </c>
      <c r="F2810" s="6" t="inlineStr">
        <is>
          <t>#12 Jimmy G</t>
        </is>
      </c>
      <c r="G2810" s="10" t="n"/>
      <c r="H2810" s="9" t="inlineStr">
        <is>
          <t>Combo Platter for 2</t>
        </is>
      </c>
      <c r="I2810" s="9" t="n">
        <v>1</v>
      </c>
      <c r="J2810" s="9" t="inlineStr">
        <is>
          <t>cnt</t>
        </is>
      </c>
      <c r="K2810" s="9" t="n">
        <v>21.95</v>
      </c>
    </row>
    <row r="2811" ht="15" customFormat="1" customHeight="1" s="5">
      <c r="A2811" s="81" t="n">
        <v>45815</v>
      </c>
      <c r="B2811" s="82" t="n">
        <v>0.7666666666666667</v>
      </c>
      <c r="C2811" s="5" t="inlineStr">
        <is>
          <t>Yanni's Greek Food</t>
        </is>
      </c>
      <c r="E2811" s="5" t="n">
        <v>1</v>
      </c>
      <c r="F2811" s="6" t="inlineStr">
        <is>
          <t>#12 Jimmy G</t>
        </is>
      </c>
      <c r="G2811" s="10" t="n"/>
      <c r="H2811" s="9" t="inlineStr">
        <is>
          <t>Keftethes Me Pasta</t>
        </is>
      </c>
      <c r="I2811" s="9" t="n">
        <v>1</v>
      </c>
      <c r="J2811" s="9" t="inlineStr">
        <is>
          <t>cnt</t>
        </is>
      </c>
      <c r="K2811" s="9" t="n">
        <v>21.95</v>
      </c>
    </row>
    <row r="2812" ht="15" customFormat="1" customHeight="1" s="5">
      <c r="A2812" s="81" t="n">
        <v>45815</v>
      </c>
      <c r="B2812" s="82" t="n">
        <v>0.7666666666666667</v>
      </c>
      <c r="C2812" s="5" t="inlineStr">
        <is>
          <t>Yanni's Greek Food</t>
        </is>
      </c>
      <c r="E2812" s="5" t="n">
        <v>1</v>
      </c>
      <c r="F2812" s="6" t="inlineStr">
        <is>
          <t>#12 Jimmy G</t>
        </is>
      </c>
      <c r="G2812" s="10" t="n"/>
      <c r="H2812" s="9" t="inlineStr">
        <is>
          <t>Mousaka</t>
        </is>
      </c>
      <c r="I2812" s="9" t="n">
        <v>1</v>
      </c>
      <c r="J2812" s="9" t="inlineStr">
        <is>
          <t>cnt</t>
        </is>
      </c>
      <c r="K2812" s="9" t="n">
        <v>19.95</v>
      </c>
    </row>
    <row r="2813" ht="15" customFormat="1" customHeight="1" s="5">
      <c r="A2813" s="81" t="n">
        <v>45815</v>
      </c>
      <c r="B2813" s="82" t="n">
        <v>0.7666666666666667</v>
      </c>
      <c r="C2813" s="5" t="inlineStr">
        <is>
          <t>Yanni's Greek Food</t>
        </is>
      </c>
      <c r="E2813" s="5" t="n">
        <v>1</v>
      </c>
      <c r="F2813" s="6" t="inlineStr">
        <is>
          <t>#12 Jimmy G</t>
        </is>
      </c>
      <c r="G2813" s="10" t="n"/>
      <c r="H2813" s="9" t="inlineStr">
        <is>
          <t>"Cash Discount"</t>
        </is>
      </c>
      <c r="I2813" s="9" t="n">
        <v>3</v>
      </c>
      <c r="J2813" s="9" t="inlineStr">
        <is>
          <t>cnt</t>
        </is>
      </c>
      <c r="K2813" s="9" t="n">
        <v>2.46</v>
      </c>
    </row>
    <row r="2814" ht="15" customFormat="1" customHeight="1" s="5">
      <c r="A2814" s="81" t="n">
        <v>45815</v>
      </c>
      <c r="B2814" s="82" t="n">
        <v>0.7666666666666667</v>
      </c>
      <c r="C2814" s="5" t="inlineStr">
        <is>
          <t>Yanni's Greek Food</t>
        </is>
      </c>
      <c r="E2814" s="5" t="n">
        <v>1</v>
      </c>
      <c r="F2814" s="6" t="inlineStr">
        <is>
          <t>#12 Jimmy G</t>
        </is>
      </c>
      <c r="G2814" s="10" t="n"/>
      <c r="H2814" s="9" t="inlineStr">
        <is>
          <t>Tip</t>
        </is>
      </c>
      <c r="I2814" s="9" t="n">
        <v>3</v>
      </c>
      <c r="J2814" s="9" t="inlineStr">
        <is>
          <t>cnt</t>
        </is>
      </c>
      <c r="K2814" s="9" t="n">
        <v>12.04</v>
      </c>
    </row>
    <row r="2815" ht="15" customFormat="1" customHeight="1" s="5">
      <c r="A2815" s="81" t="n">
        <v>45815</v>
      </c>
      <c r="B2815" s="82" t="n">
        <v>0.7666666666666667</v>
      </c>
      <c r="C2815" s="5" t="inlineStr">
        <is>
          <t>Yanni's Greek Food</t>
        </is>
      </c>
      <c r="E2815" s="5" t="n">
        <v>1</v>
      </c>
      <c r="F2815" s="6" t="inlineStr">
        <is>
          <t>#12 Jimmy G</t>
        </is>
      </c>
      <c r="G2815" s="10" t="n"/>
      <c r="H2815" s="9" t="inlineStr">
        <is>
          <t>Tax</t>
        </is>
      </c>
      <c r="I2815" s="9" t="n">
        <v>3</v>
      </c>
      <c r="J2815" s="9" t="inlineStr">
        <is>
          <t>cnt</t>
        </is>
      </c>
      <c r="K2815" s="9" t="n">
        <v>4.65</v>
      </c>
    </row>
    <row r="2816" ht="15" customFormat="1" customHeight="1" s="5">
      <c r="A2816" s="81" t="n">
        <v>45814</v>
      </c>
      <c r="B2816" s="82" t="n">
        <v>0.4284722222222222</v>
      </c>
      <c r="C2816" s="5" t="inlineStr">
        <is>
          <t>Costco</t>
        </is>
      </c>
      <c r="E2816" s="5" t="n">
        <v>1</v>
      </c>
      <c r="F2816" s="6" t="inlineStr">
        <is>
          <t>439 209 6 709</t>
        </is>
      </c>
      <c r="G2816" s="10" t="inlineStr">
        <is>
          <t>E 7647</t>
        </is>
      </c>
      <c r="H2816" s="9" t="inlineStr">
        <is>
          <t>Fuji Apples</t>
        </is>
      </c>
      <c r="I2816" s="9" t="n">
        <v>4</v>
      </c>
      <c r="J2816" s="9" t="inlineStr">
        <is>
          <t>lb</t>
        </is>
      </c>
      <c r="K2816" s="9" t="n">
        <v>4.89</v>
      </c>
    </row>
    <row r="2817" ht="15" customFormat="1" customHeight="1" s="5">
      <c r="A2817" s="81" t="n">
        <v>45814</v>
      </c>
      <c r="B2817" s="82" t="n">
        <v>0.4284722222222222</v>
      </c>
      <c r="C2817" s="5" t="inlineStr">
        <is>
          <t>Costco</t>
        </is>
      </c>
      <c r="E2817" s="5" t="n">
        <v>1</v>
      </c>
      <c r="F2817" s="6" t="inlineStr">
        <is>
          <t>439 209 6 709</t>
        </is>
      </c>
      <c r="G2817" s="10" t="inlineStr">
        <is>
          <t>E 6021</t>
        </is>
      </c>
      <c r="H2817" s="9" t="inlineStr">
        <is>
          <t>Premium Plums</t>
        </is>
      </c>
      <c r="I2817" s="9" t="n">
        <v>3</v>
      </c>
      <c r="J2817" s="9" t="inlineStr">
        <is>
          <t>lb</t>
        </is>
      </c>
      <c r="K2817" s="9" t="n">
        <v>4.99</v>
      </c>
    </row>
    <row r="2818" ht="15" customFormat="1" customHeight="1" s="5">
      <c r="A2818" s="81" t="n">
        <v>45814</v>
      </c>
      <c r="B2818" s="82" t="n">
        <v>0.4284722222222222</v>
      </c>
      <c r="C2818" s="5" t="inlineStr">
        <is>
          <t>Costco</t>
        </is>
      </c>
      <c r="E2818" s="5" t="n">
        <v>1</v>
      </c>
      <c r="F2818" s="6" t="inlineStr">
        <is>
          <t>439 209 6 709</t>
        </is>
      </c>
      <c r="G2818" s="10" t="inlineStr">
        <is>
          <t>E 96716</t>
        </is>
      </c>
      <c r="H2818" s="9" t="inlineStr">
        <is>
          <t>Organic Spinach Box</t>
        </is>
      </c>
      <c r="I2818" s="9" t="n">
        <v>16</v>
      </c>
      <c r="J2818" s="9" t="inlineStr">
        <is>
          <t>oz</t>
        </is>
      </c>
      <c r="K2818" s="9" t="n">
        <v>3.89</v>
      </c>
    </row>
    <row r="2819" ht="15" customFormat="1" customHeight="1" s="5">
      <c r="A2819" s="81" t="n">
        <v>45814</v>
      </c>
      <c r="B2819" s="82" t="n">
        <v>0.4284722222222222</v>
      </c>
      <c r="C2819" s="5" t="inlineStr">
        <is>
          <t>Costco</t>
        </is>
      </c>
      <c r="E2819" s="5" t="n">
        <v>1</v>
      </c>
      <c r="F2819" s="6" t="inlineStr">
        <is>
          <t>439 209 6 709</t>
        </is>
      </c>
      <c r="G2819" s="10" t="inlineStr">
        <is>
          <t>E 8288</t>
        </is>
      </c>
      <c r="H2819" s="9" t="inlineStr">
        <is>
          <t>Artisan romaine lettuce</t>
        </is>
      </c>
      <c r="I2819" s="9" t="n">
        <v>5</v>
      </c>
      <c r="J2819" s="9" t="inlineStr">
        <is>
          <t>cnt</t>
        </is>
      </c>
      <c r="K2819" s="9" t="n">
        <v>4.99</v>
      </c>
    </row>
    <row r="2820" ht="15" customFormat="1" customHeight="1" s="5">
      <c r="A2820" s="81" t="n">
        <v>45814</v>
      </c>
      <c r="B2820" s="82" t="n">
        <v>0.4284722222222222</v>
      </c>
      <c r="C2820" s="5" t="inlineStr">
        <is>
          <t>Costco</t>
        </is>
      </c>
      <c r="E2820" s="5" t="n">
        <v>1</v>
      </c>
      <c r="F2820" s="6" t="inlineStr">
        <is>
          <t>439 209 6 709</t>
        </is>
      </c>
      <c r="G2820" s="10" t="n"/>
      <c r="H2820" s="9" t="inlineStr">
        <is>
          <t>Tax</t>
        </is>
      </c>
      <c r="I2820" s="9" t="n">
        <v>6</v>
      </c>
      <c r="J2820" s="9" t="inlineStr">
        <is>
          <t>cnt</t>
        </is>
      </c>
      <c r="K2820" s="9" t="n">
        <v>0</v>
      </c>
    </row>
    <row r="2821" ht="15" customFormat="1" customHeight="1" s="5">
      <c r="A2821" s="81" t="n">
        <v>45814</v>
      </c>
      <c r="B2821" s="82" t="n">
        <v>0.4284722222222222</v>
      </c>
      <c r="C2821" s="5" t="inlineStr">
        <is>
          <t>Costco</t>
        </is>
      </c>
      <c r="E2821" s="5" t="n">
        <v>1</v>
      </c>
      <c r="F2821" s="6" t="inlineStr">
        <is>
          <t>439 209 6 709</t>
        </is>
      </c>
      <c r="G2821" s="10" t="inlineStr">
        <is>
          <t>E 1336068</t>
        </is>
      </c>
      <c r="H2821" s="9" t="inlineStr">
        <is>
          <t>Organic Avocado Cups, 16 x 2 oz cups</t>
        </is>
      </c>
      <c r="I2821" s="9" t="n">
        <v>32</v>
      </c>
      <c r="J2821" s="9" t="inlineStr">
        <is>
          <t>oz</t>
        </is>
      </c>
      <c r="K2821" s="9" t="n">
        <v>13.99</v>
      </c>
    </row>
    <row r="2822" ht="15" customFormat="1" customHeight="1" s="5">
      <c r="A2822" s="81" t="n">
        <v>45814</v>
      </c>
      <c r="B2822" s="82" t="n">
        <v>0.4284722222222222</v>
      </c>
      <c r="C2822" s="5" t="inlineStr">
        <is>
          <t>Costco</t>
        </is>
      </c>
      <c r="E2822" s="5" t="n">
        <v>1</v>
      </c>
      <c r="F2822" s="6" t="inlineStr">
        <is>
          <t>439 209 6 709</t>
        </is>
      </c>
      <c r="G2822" s="10" t="inlineStr">
        <is>
          <t>E 2003</t>
        </is>
      </c>
      <c r="H2822" s="9" t="inlineStr">
        <is>
          <t>Organic Sweet Potato</t>
        </is>
      </c>
      <c r="I2822" s="9" t="n">
        <v>5</v>
      </c>
      <c r="J2822" s="9" t="inlineStr">
        <is>
          <t>lb</t>
        </is>
      </c>
      <c r="K2822" s="9" t="n">
        <v>8.99</v>
      </c>
    </row>
    <row r="2823" ht="15" customFormat="1" customHeight="1" s="5">
      <c r="A2823" s="81" t="n">
        <v>45813</v>
      </c>
      <c r="B2823" s="82" t="n">
        <v>0.6409722222222223</v>
      </c>
      <c r="C2823" s="5" t="inlineStr">
        <is>
          <t>Venmo</t>
        </is>
      </c>
      <c r="D2823" s="5" t="n">
        <v>1</v>
      </c>
      <c r="F2823" s="6" t="inlineStr">
        <is>
          <t>4348575595288490000</t>
        </is>
      </c>
      <c r="G2823" s="10" t="n"/>
      <c r="H2823" s="9" t="inlineStr">
        <is>
          <t>Two Ollie baby swaddles used for 2 months. Both come with the laundry bag for washing. One has some minor pilling that is pictured. They are $59 each when purchased new</t>
        </is>
      </c>
      <c r="I2823" s="9" t="n">
        <v>2</v>
      </c>
      <c r="J2823" s="9" t="inlineStr">
        <is>
          <t>cnt</t>
        </is>
      </c>
      <c r="K2823" s="9" t="n">
        <v>25</v>
      </c>
    </row>
    <row r="2824" ht="15" customFormat="1" customHeight="1" s="5">
      <c r="A2824" s="81" t="n">
        <v>45813</v>
      </c>
      <c r="B2824" s="82" t="n">
        <v>0.6354166666666666</v>
      </c>
      <c r="C2824" s="5" t="inlineStr">
        <is>
          <t>Chick-Fil-A</t>
        </is>
      </c>
      <c r="E2824" s="5" t="n">
        <v>1</v>
      </c>
      <c r="F2824" s="6" t="inlineStr">
        <is>
          <t>7201218</t>
        </is>
      </c>
      <c r="G2824" s="7" t="n"/>
      <c r="H2824" s="9" t="inlineStr">
        <is>
          <t>Frosted Lemonade</t>
        </is>
      </c>
      <c r="I2824" s="9" t="n"/>
      <c r="J2824" s="9" t="n"/>
      <c r="K2824" s="9" t="n">
        <v>5.09</v>
      </c>
    </row>
    <row r="2825" ht="15" customFormat="1" customHeight="1" s="5">
      <c r="A2825" s="81" t="n">
        <v>45813</v>
      </c>
      <c r="B2825" s="82" t="n">
        <v>0.6354166666666666</v>
      </c>
      <c r="C2825" s="5" t="inlineStr">
        <is>
          <t>Chick-Fil-A</t>
        </is>
      </c>
      <c r="E2825" s="5" t="n">
        <v>1</v>
      </c>
      <c r="F2825" s="6" t="inlineStr">
        <is>
          <t>7201218</t>
        </is>
      </c>
      <c r="G2825" s="7" t="n"/>
      <c r="H2825" s="9" t="inlineStr">
        <is>
          <t>Tax</t>
        </is>
      </c>
      <c r="I2825" s="9" t="n"/>
      <c r="J2825" s="9" t="n"/>
      <c r="K2825" s="9" t="n">
        <v>0.41</v>
      </c>
    </row>
    <row r="2826" ht="15" customFormat="1" customHeight="1" s="5">
      <c r="A2826" s="81" t="n">
        <v>45813</v>
      </c>
      <c r="B2826" s="82" t="n">
        <v>0.6354166666666666</v>
      </c>
      <c r="C2826" s="5" t="inlineStr">
        <is>
          <t>Chick-Fil-A</t>
        </is>
      </c>
      <c r="E2826" s="5" t="n">
        <v>1</v>
      </c>
      <c r="F2826" s="6" t="inlineStr">
        <is>
          <t>7201218</t>
        </is>
      </c>
      <c r="G2826" s="7" t="n"/>
      <c r="H2826" s="9" t="inlineStr">
        <is>
          <t>Existing chick fil a loaded balance</t>
        </is>
      </c>
      <c r="I2826" s="9" t="n"/>
      <c r="J2826" s="9" t="n"/>
      <c r="K2826" s="9" t="n">
        <v>-5.5</v>
      </c>
    </row>
    <row r="2827" ht="15" customFormat="1" customHeight="1" s="5">
      <c r="A2827" s="79" t="n">
        <v>45813</v>
      </c>
      <c r="B2827" s="78" t="n">
        <v>0.5069444444444444</v>
      </c>
      <c r="C2827" s="35" t="inlineStr">
        <is>
          <t>Labcorp OnDemand</t>
        </is>
      </c>
      <c r="D2827" s="35" t="n">
        <v>1</v>
      </c>
      <c r="E2827" s="35" t="n"/>
      <c r="F2827" s="47" t="inlineStr">
        <is>
          <t>202506057124693_75009693</t>
        </is>
      </c>
      <c r="G2827" s="48" t="inlineStr">
        <is>
          <t>2025125BD3819</t>
        </is>
      </c>
      <c r="H2827" s="49" t="inlineStr">
        <is>
          <t>4/30 Lydia Blood tests: TSH+Free T4, CBC with differential/platelet,ABO grouping and RHO(D) typing, HCV antibody cascade (PCR/Geno),Chlamydia/GC Amplification, Hemoglobin A1c, Rubella antibodies IgG, RPR Rfx Qb RPR/confirm TP, HIV ab/p24 Agbwirh reflex, Varicella-Zoster V Ab IgG, antibody screen, HBsAgnscreen, venipucture</t>
        </is>
      </c>
      <c r="I2827" s="49" t="n">
        <v>1</v>
      </c>
      <c r="J2827" s="49" t="inlineStr">
        <is>
          <t>cnt</t>
        </is>
      </c>
      <c r="K2827" s="49" t="n">
        <v>836.4</v>
      </c>
    </row>
    <row r="2828" ht="15" customFormat="1" customHeight="1" s="5">
      <c r="A2828" s="79" t="n">
        <v>45813</v>
      </c>
      <c r="B2828" s="78" t="n">
        <v>0.5069444444444444</v>
      </c>
      <c r="C2828" s="35" t="inlineStr">
        <is>
          <t>Labcorp OnDemand</t>
        </is>
      </c>
      <c r="D2828" s="35" t="n">
        <v>1</v>
      </c>
      <c r="E2828" s="35" t="n"/>
      <c r="F2828" s="47" t="inlineStr">
        <is>
          <t>202506057124693_75009693</t>
        </is>
      </c>
      <c r="G2828" s="48" t="n"/>
      <c r="H2828" s="49" t="inlineStr">
        <is>
          <t>BCBS ADJUSTMENTS</t>
        </is>
      </c>
      <c r="I2828" s="49" t="n">
        <v>1</v>
      </c>
      <c r="J2828" s="49" t="inlineStr">
        <is>
          <t>cnt</t>
        </is>
      </c>
      <c r="K2828" s="49" t="n">
        <v>-683.6799999999999</v>
      </c>
    </row>
    <row r="2829" ht="15" customFormat="1" customHeight="1" s="5">
      <c r="A2829" s="79" t="n">
        <v>45813</v>
      </c>
      <c r="B2829" s="78" t="n">
        <v>0.5069444444444444</v>
      </c>
      <c r="C2829" s="35" t="inlineStr">
        <is>
          <t>Labcorp OnDemand</t>
        </is>
      </c>
      <c r="D2829" s="35" t="n">
        <v>1</v>
      </c>
      <c r="E2829" s="35" t="n"/>
      <c r="F2829" s="47" t="inlineStr">
        <is>
          <t>202506057124693_75009693</t>
        </is>
      </c>
      <c r="G2829" s="48" t="n"/>
      <c r="H2829" s="49" t="inlineStr">
        <is>
          <t>BCBS PAYMENTS</t>
        </is>
      </c>
      <c r="I2829" s="49" t="n">
        <v>1</v>
      </c>
      <c r="J2829" s="49" t="inlineStr">
        <is>
          <t>cnt</t>
        </is>
      </c>
      <c r="K2829" s="49" t="n">
        <v>-136.65</v>
      </c>
    </row>
    <row r="2830" ht="15" customFormat="1" customHeight="1" s="5">
      <c r="A2830" s="79" t="n">
        <v>45813</v>
      </c>
      <c r="B2830" s="78" t="n">
        <v>0.50625</v>
      </c>
      <c r="C2830" s="35" t="inlineStr">
        <is>
          <t>Labcorp OnDemand</t>
        </is>
      </c>
      <c r="D2830" s="35" t="n">
        <v>1</v>
      </c>
      <c r="E2830" s="35" t="n"/>
      <c r="F2830" s="47" t="inlineStr">
        <is>
          <t>202506057124266_73174054</t>
        </is>
      </c>
      <c r="G2830" s="48" t="inlineStr">
        <is>
          <t>2025125BD3869</t>
        </is>
      </c>
      <c r="H2830" s="49" t="inlineStr">
        <is>
          <t>4/28 Sheva eye culture "Aerobic Bacterial culture"</t>
        </is>
      </c>
      <c r="I2830" s="49" t="n">
        <v>1</v>
      </c>
      <c r="J2830" s="49" t="inlineStr">
        <is>
          <t>cnt</t>
        </is>
      </c>
      <c r="K2830" s="49" t="n">
        <v>41</v>
      </c>
    </row>
    <row r="2831" ht="15" customFormat="1" customHeight="1" s="5">
      <c r="A2831" s="79" t="n">
        <v>45813</v>
      </c>
      <c r="B2831" s="78" t="n">
        <v>0.50625</v>
      </c>
      <c r="C2831" s="35" t="inlineStr">
        <is>
          <t>Labcorp OnDemand</t>
        </is>
      </c>
      <c r="D2831" s="35" t="n">
        <v>1</v>
      </c>
      <c r="E2831" s="35" t="n"/>
      <c r="F2831" s="47" t="inlineStr">
        <is>
          <t>202506057124266_73174054</t>
        </is>
      </c>
      <c r="G2831" s="48" t="n"/>
      <c r="H2831" s="49" t="inlineStr">
        <is>
          <t>BCBS ADJUSTMENTS</t>
        </is>
      </c>
      <c r="I2831" s="49" t="n">
        <v>1</v>
      </c>
      <c r="J2831" s="49" t="inlineStr">
        <is>
          <t>cnt</t>
        </is>
      </c>
      <c r="K2831" s="49" t="n">
        <v>-28.74</v>
      </c>
    </row>
    <row r="2832" ht="15" customFormat="1" customHeight="1" s="5">
      <c r="A2832" s="81" t="n">
        <v>45813</v>
      </c>
      <c r="B2832" s="82" t="n">
        <v>0.2916666666666667</v>
      </c>
      <c r="C2832" s="5" t="inlineStr">
        <is>
          <t>NFCU</t>
        </is>
      </c>
      <c r="D2832" s="5" t="n">
        <v>1</v>
      </c>
      <c r="F2832" s="6" t="n"/>
      <c r="G2832" s="7" t="n"/>
      <c r="H2832" s="9" t="inlineStr">
        <is>
          <t>Walmart+ Statement Credit for NFCU promotion</t>
        </is>
      </c>
      <c r="I2832" s="9" t="n">
        <v>1</v>
      </c>
      <c r="J2832" s="9" t="inlineStr">
        <is>
          <t>cnt</t>
        </is>
      </c>
      <c r="K2832" s="9" t="n">
        <v>-98</v>
      </c>
    </row>
    <row r="2833" ht="15" customFormat="1" customHeight="1" s="5">
      <c r="A2833" s="81" t="n">
        <v>45813</v>
      </c>
      <c r="B2833" s="82" t="n">
        <v>0.2076388888888889</v>
      </c>
      <c r="C2833" s="5" t="inlineStr">
        <is>
          <t>Xfinity</t>
        </is>
      </c>
      <c r="D2833" s="5" t="n">
        <v>1</v>
      </c>
      <c r="F2833" s="6" t="n"/>
      <c r="G2833" s="10" t="n"/>
      <c r="H2833" s="9" t="inlineStr">
        <is>
          <t>Xfinity wifi monthly payment autodraft</t>
        </is>
      </c>
      <c r="I2833" s="9" t="n">
        <v>1</v>
      </c>
      <c r="J2833" s="9" t="inlineStr"/>
      <c r="K2833" s="85" t="n">
        <v>60</v>
      </c>
    </row>
    <row r="2834" ht="15" customFormat="1" customHeight="1" s="5">
      <c r="A2834" s="81" t="n">
        <v>45812</v>
      </c>
      <c r="B2834" s="82" t="n">
        <v>0.4173611111111111</v>
      </c>
      <c r="C2834" s="5" t="inlineStr">
        <is>
          <t>Amazon</t>
        </is>
      </c>
      <c r="D2834" s="5" t="n">
        <v>1</v>
      </c>
      <c r="F2834" s="6" t="inlineStr">
        <is>
          <t>111-2702820-0350632</t>
        </is>
      </c>
      <c r="G2834" s="10" t="n"/>
      <c r="H2834" s="9" t="inlineStr">
        <is>
          <t>**RETURNED** uscce Wooden Digital Alarm Clocks for Bedrooms: Dimmable Dual Alarm Clock with Large Numbers for Bedside Desk - Loud Alarm for Heavy Sleepers with Volume Control - Wood Decor &amp; Gifts</t>
        </is>
      </c>
      <c r="I2834" s="9" t="n"/>
      <c r="J2834" s="9" t="n"/>
      <c r="K2834" s="9" t="n">
        <v>-13.76</v>
      </c>
    </row>
    <row r="2835" ht="15" customFormat="1" customHeight="1" s="5">
      <c r="A2835" s="81" t="n">
        <v>45812</v>
      </c>
      <c r="B2835" s="82" t="n">
        <v>0.4173611111111111</v>
      </c>
      <c r="C2835" s="5" t="inlineStr">
        <is>
          <t>Amazon</t>
        </is>
      </c>
      <c r="D2835" s="5" t="n">
        <v>1</v>
      </c>
      <c r="F2835" s="6" t="inlineStr">
        <is>
          <t>111-7516662-4705025</t>
        </is>
      </c>
      <c r="G2835" s="10" t="n"/>
      <c r="H2835" s="9" t="inlineStr">
        <is>
          <t>**RETURNED**  DreamSky Wooden Digital Alarm Clocks for Bedrooms - Electric Desk Clock with Large Numbers, USB Port, Battery Backup Alarm, Adjustable Volume, Dimmer, Snooze, DST, 12/24H, Living Room Wood Décor (Red)</t>
        </is>
      </c>
      <c r="I2835" s="9" t="n">
        <v>1</v>
      </c>
      <c r="J2835" s="9" t="inlineStr">
        <is>
          <t>cnt</t>
        </is>
      </c>
      <c r="K2835" s="9" t="n">
        <v>-18.35</v>
      </c>
    </row>
    <row r="2836" ht="15" customFormat="1" customHeight="1" s="5">
      <c r="A2836" s="81" t="n">
        <v>45812</v>
      </c>
      <c r="B2836" s="82" t="n">
        <v>0.4173611111111111</v>
      </c>
      <c r="C2836" s="5" t="inlineStr">
        <is>
          <t>Amazon</t>
        </is>
      </c>
      <c r="D2836" s="5" t="n">
        <v>1</v>
      </c>
      <c r="F2836" s="6" t="inlineStr">
        <is>
          <t>111-9014387-7417853</t>
        </is>
      </c>
      <c r="G2836" s="10" t="n"/>
      <c r="H2836" s="9" t="inlineStr">
        <is>
          <t>**RETURNED** Huukein White USB C Cable 10 ft, Long USB A to USB C Cable Fast Charging, USBC Charger Cord Braided Compatible with iPhone 16 15 Pro Max Plus, for Samsung Galaxy S21 Note 10, Pixel</t>
        </is>
      </c>
      <c r="I2836" s="9" t="n">
        <v>1</v>
      </c>
      <c r="J2836" s="9" t="inlineStr">
        <is>
          <t>cnt</t>
        </is>
      </c>
      <c r="K2836" s="9" t="n">
        <v>-6.47</v>
      </c>
    </row>
    <row r="2837" ht="15" customFormat="1" customHeight="1" s="5">
      <c r="A2837" s="81" t="n">
        <v>45811</v>
      </c>
      <c r="B2837" s="82" t="n">
        <v>0.8125</v>
      </c>
      <c r="C2837" s="5" t="inlineStr">
        <is>
          <t>CBS</t>
        </is>
      </c>
      <c r="D2837" s="5" t="n">
        <v>1</v>
      </c>
      <c r="F2837" s="6" t="inlineStr">
        <is>
          <t>63851458776</t>
        </is>
      </c>
      <c r="G2837" s="7" t="n"/>
      <c r="H2837" s="9" t="inlineStr">
        <is>
          <t>CBS Summer Group: James</t>
        </is>
      </c>
      <c r="I2837" s="9" t="n">
        <v>1</v>
      </c>
      <c r="J2837" s="9" t="inlineStr">
        <is>
          <t>cnt</t>
        </is>
      </c>
      <c r="K2837" s="9" t="n">
        <v>10</v>
      </c>
    </row>
    <row r="2838" ht="15" customFormat="1" customHeight="1" s="5">
      <c r="A2838" s="81" t="n">
        <v>45811</v>
      </c>
      <c r="B2838" s="82" t="n">
        <v>0.8090277777777778</v>
      </c>
      <c r="C2838" s="5" t="inlineStr">
        <is>
          <t>Carl's Jr</t>
        </is>
      </c>
      <c r="D2838" s="5" t="n">
        <v>1</v>
      </c>
      <c r="F2838" s="6" t="inlineStr">
        <is>
          <t>#35718311777140736</t>
        </is>
      </c>
      <c r="G2838" s="10" t="n"/>
      <c r="H2838" s="9" t="inlineStr">
        <is>
          <t>BYOB Single Jalepeno Jr Cheesburger, jalepeno poppers, 4-piece chicken stars</t>
        </is>
      </c>
      <c r="I2838" s="9" t="n">
        <v>1</v>
      </c>
      <c r="J2838" s="9" t="inlineStr">
        <is>
          <t>cnt</t>
        </is>
      </c>
      <c r="K2838" s="85" t="n">
        <v>5.99</v>
      </c>
    </row>
    <row r="2839" ht="15" customFormat="1" customHeight="1" s="5">
      <c r="A2839" s="81" t="n">
        <v>45811</v>
      </c>
      <c r="B2839" s="82" t="n">
        <v>0.8090277777777778</v>
      </c>
      <c r="C2839" s="5" t="inlineStr">
        <is>
          <t>Carl's Jr</t>
        </is>
      </c>
      <c r="D2839" s="5" t="n">
        <v>1</v>
      </c>
      <c r="F2839" s="6" t="inlineStr">
        <is>
          <t>#35718311777140736</t>
        </is>
      </c>
      <c r="G2839" s="10" t="n"/>
      <c r="H2839" s="9" t="inlineStr">
        <is>
          <t>BYOB Single Cali Classic Cheeseburger,zucchini pieces,4-piece chicken stars</t>
        </is>
      </c>
      <c r="I2839" s="9" t="n">
        <v>1</v>
      </c>
      <c r="J2839" s="9" t="inlineStr">
        <is>
          <t>cnt</t>
        </is>
      </c>
      <c r="K2839" s="85" t="n">
        <v>5.99</v>
      </c>
    </row>
    <row r="2840" ht="15" customFormat="1" customHeight="1" s="5">
      <c r="A2840" s="81" t="n">
        <v>45811</v>
      </c>
      <c r="B2840" s="82" t="n">
        <v>0.8090277777777778</v>
      </c>
      <c r="C2840" s="5" t="inlineStr">
        <is>
          <t>Carl's Jr</t>
        </is>
      </c>
      <c r="D2840" s="5" t="n">
        <v>1</v>
      </c>
      <c r="F2840" s="6" t="inlineStr">
        <is>
          <t>#35718311777140736</t>
        </is>
      </c>
      <c r="G2840" s="10" t="n"/>
      <c r="H2840" s="9" t="inlineStr">
        <is>
          <t>Tax</t>
        </is>
      </c>
      <c r="I2840" s="9" t="n">
        <v>2</v>
      </c>
      <c r="J2840" s="9" t="inlineStr">
        <is>
          <t>cnt</t>
        </is>
      </c>
      <c r="K2840" s="85" t="n">
        <v>1.94</v>
      </c>
    </row>
    <row r="2841" ht="15" customFormat="1" customHeight="1" s="5">
      <c r="A2841" s="81" t="n">
        <v>45811</v>
      </c>
      <c r="B2841" s="82" t="n">
        <v>0.5416666666666666</v>
      </c>
      <c r="C2841" s="5" t="inlineStr">
        <is>
          <t>Denver Public Works</t>
        </is>
      </c>
      <c r="D2841" s="5" t="n">
        <v>1</v>
      </c>
      <c r="F2841" s="6" t="inlineStr">
        <is>
          <t>132841247</t>
        </is>
      </c>
      <c r="G2841" s="25" t="n"/>
      <c r="H2841" s="18" t="inlineStr">
        <is>
          <t>S100508647 Lydia Speeding (43 in a 30mph zone; otw home from walk with Karla)</t>
        </is>
      </c>
      <c r="I2841" s="9" t="n">
        <v>1</v>
      </c>
      <c r="J2841" s="9" t="inlineStr">
        <is>
          <t>cnt</t>
        </is>
      </c>
      <c r="K2841" s="9" t="n">
        <v>40</v>
      </c>
    </row>
    <row r="2842" ht="15" customFormat="1" customHeight="1" s="5">
      <c r="A2842" s="81" t="n">
        <v>45811</v>
      </c>
      <c r="B2842" s="82" t="n">
        <v>0.2916666666666667</v>
      </c>
      <c r="C2842" s="5" t="inlineStr">
        <is>
          <t>YMCA</t>
        </is>
      </c>
      <c r="D2842" s="5" t="n">
        <v>1</v>
      </c>
      <c r="F2842" s="6" t="n"/>
      <c r="G2842" s="10" t="n"/>
      <c r="H2842" s="9" t="inlineStr">
        <is>
          <t>June YMCA monthly dues</t>
        </is>
      </c>
      <c r="I2842" s="9" t="n"/>
      <c r="J2842" s="9" t="n"/>
      <c r="K2842" s="9" t="n">
        <v>65</v>
      </c>
    </row>
    <row r="2843" ht="15" customFormat="1" customHeight="1" s="5">
      <c r="A2843" s="81" t="n">
        <v>45811</v>
      </c>
      <c r="B2843" s="82" t="n">
        <v>0.2861111111111111</v>
      </c>
      <c r="C2843" s="5" t="inlineStr">
        <is>
          <t>Costco</t>
        </is>
      </c>
      <c r="E2843" s="5" t="n">
        <v>1</v>
      </c>
      <c r="F2843" s="16" t="n">
        <v>82527</v>
      </c>
      <c r="G2843" s="7" t="n"/>
      <c r="H2843" s="9" t="inlineStr">
        <is>
          <t>Ford Gas 10.651 Gallons @ $2.689/gal</t>
        </is>
      </c>
      <c r="I2843" s="9" t="n">
        <v>10.651</v>
      </c>
      <c r="J2843" s="9" t="inlineStr">
        <is>
          <t>gal</t>
        </is>
      </c>
      <c r="K2843" s="9" t="n">
        <v>28.64</v>
      </c>
    </row>
    <row r="2844" ht="15" customFormat="1" customHeight="1" s="5">
      <c r="A2844" s="81" t="n">
        <v>45810</v>
      </c>
      <c r="B2844" s="82" t="n">
        <v>0.6833333333333333</v>
      </c>
      <c r="C2844" s="5" t="inlineStr">
        <is>
          <t>Costco</t>
        </is>
      </c>
      <c r="E2844" s="5" t="n">
        <v>1</v>
      </c>
      <c r="F2844" s="6" t="inlineStr">
        <is>
          <t>439 201 169 701</t>
        </is>
      </c>
      <c r="G2844" s="10" t="n"/>
      <c r="H2844" s="9" t="inlineStr">
        <is>
          <t>Rustic Italian Loaf of Bread</t>
        </is>
      </c>
      <c r="I2844" s="9" t="n">
        <v>32</v>
      </c>
      <c r="J2844" s="9" t="inlineStr">
        <is>
          <t>oz</t>
        </is>
      </c>
      <c r="K2844" s="85" t="n">
        <v>5.99</v>
      </c>
    </row>
    <row r="2845" ht="15" customFormat="1" customHeight="1" s="5">
      <c r="A2845" s="81" t="n">
        <v>45810</v>
      </c>
      <c r="B2845" s="82" t="n">
        <v>0.6833333333333333</v>
      </c>
      <c r="C2845" s="5" t="inlineStr">
        <is>
          <t>Costco</t>
        </is>
      </c>
      <c r="E2845" s="5" t="n">
        <v>1</v>
      </c>
      <c r="F2845" s="6" t="inlineStr">
        <is>
          <t>439 201 169 701</t>
        </is>
      </c>
      <c r="G2845" s="10" t="n"/>
      <c r="H2845" s="9" t="inlineStr">
        <is>
          <t>KS 100% Italian EVOO extra virgin olive oil</t>
        </is>
      </c>
      <c r="I2845" s="9" t="n">
        <v>67.59999999999999</v>
      </c>
      <c r="J2845" s="9" t="inlineStr">
        <is>
          <t>fl oz</t>
        </is>
      </c>
      <c r="K2845" s="85" t="n">
        <v>24.99</v>
      </c>
    </row>
    <row r="2846" ht="15" customFormat="1" customHeight="1" s="5">
      <c r="A2846" s="81" t="n">
        <v>45810</v>
      </c>
      <c r="B2846" s="82" t="n">
        <v>0.6833333333333333</v>
      </c>
      <c r="C2846" s="5" t="inlineStr">
        <is>
          <t>Costco</t>
        </is>
      </c>
      <c r="E2846" s="5" t="n">
        <v>1</v>
      </c>
      <c r="F2846" s="6" t="inlineStr">
        <is>
          <t>439 201 169 701</t>
        </is>
      </c>
      <c r="G2846" s="10" t="n"/>
      <c r="H2846" s="9" t="inlineStr">
        <is>
          <t>Marianne's Harvest Brands Avocado Oil made from 100% avocados</t>
        </is>
      </c>
      <c r="I2846" s="9" t="n">
        <v>67.59999999999999</v>
      </c>
      <c r="J2846" s="9" t="inlineStr">
        <is>
          <t>fl oz</t>
        </is>
      </c>
      <c r="K2846" s="85" t="n">
        <v>22.99</v>
      </c>
    </row>
    <row r="2847" ht="15" customFormat="1" customHeight="1" s="5">
      <c r="A2847" s="81" t="n">
        <v>45810</v>
      </c>
      <c r="B2847" s="82" t="n">
        <v>0.6833333333333333</v>
      </c>
      <c r="C2847" s="5" t="inlineStr">
        <is>
          <t>Costco</t>
        </is>
      </c>
      <c r="E2847" s="5" t="n">
        <v>1</v>
      </c>
      <c r="F2847" s="6" t="inlineStr">
        <is>
          <t>439 201 169 701</t>
        </is>
      </c>
      <c r="G2847" s="10" t="n"/>
      <c r="H2847" s="9" t="inlineStr">
        <is>
          <t>Dried Mango Unsweetened "Tropical Fields"</t>
        </is>
      </c>
      <c r="I2847" s="9" t="n">
        <v>32</v>
      </c>
      <c r="J2847" s="9" t="inlineStr">
        <is>
          <t>oz</t>
        </is>
      </c>
      <c r="K2847" s="85" t="n">
        <v>12.99</v>
      </c>
    </row>
    <row r="2848" ht="15" customFormat="1" customHeight="1" s="5">
      <c r="A2848" s="81" t="n">
        <v>45810</v>
      </c>
      <c r="B2848" s="82" t="n">
        <v>0.6833333333333333</v>
      </c>
      <c r="C2848" s="5" t="inlineStr">
        <is>
          <t>Costco</t>
        </is>
      </c>
      <c r="E2848" s="5" t="n">
        <v>1</v>
      </c>
      <c r="F2848" s="6" t="inlineStr">
        <is>
          <t>439 201 169 701</t>
        </is>
      </c>
      <c r="G2848" s="10" t="n"/>
      <c r="H2848" s="9" t="inlineStr">
        <is>
          <t>Pure Vanilla</t>
        </is>
      </c>
      <c r="I2848" s="9" t="n">
        <v>16</v>
      </c>
      <c r="J2848" s="9" t="inlineStr">
        <is>
          <t>fl oz</t>
        </is>
      </c>
      <c r="K2848" s="85" t="n">
        <v>9.99</v>
      </c>
    </row>
    <row r="2849" ht="15" customFormat="1" customHeight="1" s="5">
      <c r="A2849" s="81" t="n">
        <v>45810</v>
      </c>
      <c r="B2849" s="82" t="n">
        <v>0.6833333333333333</v>
      </c>
      <c r="C2849" s="5" t="inlineStr">
        <is>
          <t>Costco</t>
        </is>
      </c>
      <c r="E2849" s="5" t="n">
        <v>1</v>
      </c>
      <c r="F2849" s="6" t="inlineStr">
        <is>
          <t>439 201 169 701</t>
        </is>
      </c>
      <c r="G2849" s="10" t="n"/>
      <c r="H2849" s="9" t="inlineStr">
        <is>
          <t>**KS Paper Towel** 1026 sq ft - 2 ply - 60 sheets per roll</t>
        </is>
      </c>
      <c r="I2849" s="9" t="n">
        <v>1026</v>
      </c>
      <c r="J2849" s="9" t="inlineStr">
        <is>
          <t>sq ft</t>
        </is>
      </c>
      <c r="K2849" s="85" t="inlineStr">
        <is>
          <t>19.89 A</t>
        </is>
      </c>
    </row>
    <row r="2850" ht="15" customFormat="1" customHeight="1" s="5">
      <c r="A2850" s="81" t="n">
        <v>45810</v>
      </c>
      <c r="B2850" s="82" t="n">
        <v>0.6833333333333333</v>
      </c>
      <c r="C2850" s="5" t="inlineStr">
        <is>
          <t>Costco</t>
        </is>
      </c>
      <c r="E2850" s="5" t="n">
        <v>1</v>
      </c>
      <c r="F2850" s="6" t="inlineStr">
        <is>
          <t>439 201 169 701</t>
        </is>
      </c>
      <c r="G2850" s="10" t="n"/>
      <c r="H2850" s="9" t="inlineStr">
        <is>
          <t>TAX A 8.00%</t>
        </is>
      </c>
      <c r="I2850" s="9" t="n">
        <v>1026</v>
      </c>
      <c r="J2850" s="9" t="inlineStr">
        <is>
          <t>sq ft</t>
        </is>
      </c>
      <c r="K2850" s="85" t="n">
        <v>1.59</v>
      </c>
    </row>
    <row r="2851" ht="15" customFormat="1" customHeight="1" s="5">
      <c r="A2851" s="79" t="n">
        <v>45810</v>
      </c>
      <c r="B2851" s="78" t="n">
        <v>0.6736111111111112</v>
      </c>
      <c r="C2851" s="35" t="inlineStr">
        <is>
          <t>Costco</t>
        </is>
      </c>
      <c r="D2851" s="35" t="n"/>
      <c r="E2851" s="35" t="n">
        <v>1</v>
      </c>
      <c r="F2851" s="47" t="inlineStr">
        <is>
          <t>439 92 77 87</t>
        </is>
      </c>
      <c r="G2851" s="48" t="inlineStr">
        <is>
          <t>F 920000</t>
        </is>
      </c>
      <c r="H2851" s="49" t="inlineStr">
        <is>
          <t>Sheva: Erythromyic Ophthalmic Ointment, USP 0.5%  (Sterile) -- BCBM Claim number "251534052334152999"</t>
        </is>
      </c>
      <c r="I2851" s="49" t="n">
        <v>3.5</v>
      </c>
      <c r="J2851" s="49" t="inlineStr">
        <is>
          <t>g</t>
        </is>
      </c>
      <c r="K2851" s="49" t="n">
        <v>1.05</v>
      </c>
    </row>
    <row r="2852" ht="15" customFormat="1" customHeight="1" s="5">
      <c r="A2852" s="79" t="n">
        <v>45810</v>
      </c>
      <c r="B2852" s="78" t="n">
        <v>0.5541666666666667</v>
      </c>
      <c r="C2852" s="35" t="inlineStr">
        <is>
          <t>BELLA Health + Wellness</t>
        </is>
      </c>
      <c r="D2852" s="35" t="n">
        <v>1</v>
      </c>
      <c r="E2852" s="35" t="n"/>
      <c r="F2852" s="47" t="inlineStr">
        <is>
          <t>385153694955738_602191815</t>
        </is>
      </c>
      <c r="G2852" s="47" t="inlineStr">
        <is>
          <t>#2025136BI6460</t>
        </is>
      </c>
      <c r="H2852" s="49" t="inlineStr">
        <is>
          <t>4/28 Sheva eye visit with Julie Trujillo -- Elisheva 99213 OFFICE OUTPT EST LOW LEVEL DECISION MAK 20-29</t>
        </is>
      </c>
      <c r="I2852" s="49" t="n"/>
      <c r="J2852" s="49" t="n"/>
      <c r="K2852" s="49" t="n">
        <v>89.81</v>
      </c>
    </row>
    <row r="2853" ht="15" customFormat="1" customHeight="1" s="5">
      <c r="A2853" s="81" t="n">
        <v>45810</v>
      </c>
      <c r="B2853" s="82" t="n">
        <v>0.2916666666666667</v>
      </c>
      <c r="C2853" s="5" t="inlineStr">
        <is>
          <t>Walmart</t>
        </is>
      </c>
      <c r="D2853" s="5" t="n">
        <v>1</v>
      </c>
      <c r="F2853" s="6" t="n"/>
      <c r="G2853" s="7" t="n"/>
      <c r="H2853" s="9" t="inlineStr">
        <is>
          <t>Walmart+ Annual Membership "WMT PLUS 2025 02738 8009666546 064 - 6553"</t>
        </is>
      </c>
      <c r="I2853" s="9" t="n">
        <v>1</v>
      </c>
      <c r="J2853" s="9" t="inlineStr">
        <is>
          <t>cnt</t>
        </is>
      </c>
      <c r="K2853" s="9" t="n">
        <v>98</v>
      </c>
    </row>
    <row r="2854" ht="15" customFormat="1" customHeight="1" s="5">
      <c r="A2854" s="81" t="n">
        <v>45810</v>
      </c>
      <c r="B2854" s="82" t="n">
        <v>0.2916666666666667</v>
      </c>
      <c r="C2854" s="5" t="inlineStr">
        <is>
          <t>Walmart</t>
        </is>
      </c>
      <c r="D2854" s="5" t="n">
        <v>1</v>
      </c>
      <c r="F2854" s="6" t="n"/>
      <c r="G2854" s="7" t="n"/>
      <c r="H2854" s="9" t="inlineStr">
        <is>
          <t>Walmart+ Taxes</t>
        </is>
      </c>
      <c r="I2854" s="9" t="n">
        <v>1</v>
      </c>
      <c r="J2854" s="9" t="inlineStr">
        <is>
          <t>cnt</t>
        </is>
      </c>
      <c r="K2854" s="9" t="n">
        <v>7.84</v>
      </c>
    </row>
    <row r="2855" ht="15" customFormat="1" customHeight="1" s="5">
      <c r="A2855" s="81" t="n">
        <v>45809</v>
      </c>
      <c r="B2855" s="82" t="n">
        <v>0.4819444444444445</v>
      </c>
      <c r="C2855" s="5" t="inlineStr">
        <is>
          <t>House Denver</t>
        </is>
      </c>
      <c r="D2855" s="5" t="n">
        <v>1</v>
      </c>
      <c r="F2855" s="6" t="n">
        <v>53852722946</v>
      </c>
      <c r="G2855" s="10" t="n"/>
      <c r="H2855" s="9" t="inlineStr">
        <is>
          <t>Monthly overflow chunk of 2025 tithe bunched into 2024. This transaction was actually made on 12/31/25, but it is logged against 2025 budget.</t>
        </is>
      </c>
      <c r="I2855" s="9" t="n"/>
      <c r="J2855" s="9" t="n"/>
      <c r="K2855" s="9">
        <f>(9500-8750.43)/12</f>
        <v/>
      </c>
    </row>
    <row r="2856" ht="15" customFormat="1" customHeight="1" s="5">
      <c r="A2856" s="81" t="n">
        <v>45809</v>
      </c>
      <c r="B2856" s="82" t="n">
        <v>0.4819444444444445</v>
      </c>
      <c r="C2856" s="5" t="inlineStr">
        <is>
          <t>House Denver</t>
        </is>
      </c>
      <c r="D2856" s="5" t="n">
        <v>1</v>
      </c>
      <c r="F2856" s="6" t="n">
        <v>53852722946</v>
      </c>
      <c r="G2856" s="10" t="n"/>
      <c r="H2856" s="9" t="inlineStr">
        <is>
          <t>Monthly chunk of 2025 tithe bunched into 2024. This transaction was actually made on 12/31/25, but it is logged against 2025 budget.</t>
        </is>
      </c>
      <c r="I2856" s="9" t="n"/>
      <c r="J2856" s="9" t="n"/>
      <c r="K2856" s="9" t="n">
        <v>636.2079781119501</v>
      </c>
    </row>
    <row r="2857" ht="15" customFormat="1" customHeight="1" s="5">
      <c r="A2857" s="81" t="n">
        <v>45809</v>
      </c>
      <c r="B2857" s="82" t="n">
        <v>0.2916666666666667</v>
      </c>
      <c r="C2857" s="5" t="inlineStr">
        <is>
          <t>Lakeview Mortgage (??)</t>
        </is>
      </c>
      <c r="D2857" s="5" t="n">
        <v>1</v>
      </c>
      <c r="F2857" s="6" t="inlineStr">
        <is>
          <t>0068721927_04</t>
        </is>
      </c>
      <c r="G2857" s="10" t="n"/>
      <c r="H2857" s="9" t="inlineStr">
        <is>
          <t>Interest</t>
        </is>
      </c>
      <c r="I2857" s="9" t="n"/>
      <c r="J2857" s="9" t="n"/>
      <c r="K2857" s="9" t="n">
        <v>1165.23</v>
      </c>
    </row>
    <row r="2858" ht="15" customFormat="1" customHeight="1" s="5">
      <c r="A2858" s="81" t="n">
        <v>45809</v>
      </c>
      <c r="B2858" s="82" t="n">
        <v>0.2916666666666667</v>
      </c>
      <c r="C2858" s="5" t="inlineStr">
        <is>
          <t>Lakeview Mortgage (??)</t>
        </is>
      </c>
      <c r="D2858" s="5" t="n">
        <v>1</v>
      </c>
      <c r="F2858" s="6" t="inlineStr">
        <is>
          <t>0068721927_04</t>
        </is>
      </c>
      <c r="G2858" s="10" t="n"/>
      <c r="H2858" s="9" t="inlineStr">
        <is>
          <t>Principal</t>
        </is>
      </c>
      <c r="I2858" s="9" t="n"/>
      <c r="J2858" s="9" t="n"/>
      <c r="K2858" s="9" t="n">
        <v>249.25</v>
      </c>
    </row>
    <row r="2859" ht="15" customFormat="1" customHeight="1" s="5">
      <c r="A2859" s="81" t="n">
        <v>45809</v>
      </c>
      <c r="B2859" s="82" t="n">
        <v>0.2916666666666667</v>
      </c>
      <c r="C2859" s="5" t="inlineStr">
        <is>
          <t>Lakeview Mortgage (??)</t>
        </is>
      </c>
      <c r="D2859" s="5" t="n">
        <v>1</v>
      </c>
      <c r="F2859" s="6" t="inlineStr">
        <is>
          <t>0068721927_04</t>
        </is>
      </c>
      <c r="G2859" s="10" t="n"/>
      <c r="H2859" s="9" t="inlineStr">
        <is>
          <t>Taxes and Insurance ESCROW</t>
        </is>
      </c>
      <c r="I2859" s="9" t="n"/>
      <c r="J2859" s="9" t="n"/>
      <c r="K2859" s="9" t="n">
        <v>156.8</v>
      </c>
    </row>
    <row r="2860" ht="15" customFormat="1" customHeight="1" s="5">
      <c r="A2860" s="32" t="n">
        <v>45808</v>
      </c>
      <c r="B2860" s="66" t="n">
        <v>0.7916666666666666</v>
      </c>
      <c r="C2860" s="33" t="inlineStr">
        <is>
          <t>Walmart</t>
        </is>
      </c>
      <c r="D2860" s="33" t="n">
        <v>1</v>
      </c>
      <c r="E2860" s="33" t="inlineStr">
        <is>
          <t> </t>
        </is>
      </c>
      <c r="F2860" s="33" t="inlineStr">
        <is>
          <t>#200013365545078</t>
        </is>
      </c>
      <c r="G2860" s="34" t="n"/>
      <c r="H2860" s="33" t="inlineStr">
        <is>
          <t>Walmart bag fee (2 bags)</t>
        </is>
      </c>
      <c r="I2860" s="33" t="n">
        <v>2</v>
      </c>
      <c r="J2860" s="33" t="inlineStr">
        <is>
          <t>cnt</t>
        </is>
      </c>
      <c r="K2860" s="33" t="n">
        <v>0.2</v>
      </c>
    </row>
    <row r="2861" ht="15" customFormat="1" customHeight="1" s="5">
      <c r="A2861" s="27" t="n">
        <v>45808</v>
      </c>
      <c r="B2861" s="67" t="n">
        <v>0.7916666666666666</v>
      </c>
      <c r="C2861" s="26" t="inlineStr">
        <is>
          <t>Walmart</t>
        </is>
      </c>
      <c r="D2861" s="26" t="n">
        <v>1</v>
      </c>
      <c r="E2861" s="26" t="inlineStr">
        <is>
          <t> </t>
        </is>
      </c>
      <c r="F2861" s="26" t="inlineStr">
        <is>
          <t>#200013365545078</t>
        </is>
      </c>
      <c r="G2861" s="7" t="n"/>
      <c r="H2861" s="26" t="inlineStr">
        <is>
          <t>Great Value Lemon 100% Juice, 32 fl oz</t>
        </is>
      </c>
      <c r="I2861" s="26" t="n">
        <v>32</v>
      </c>
      <c r="J2861" s="26" t="inlineStr">
        <is>
          <t>fl oz</t>
        </is>
      </c>
      <c r="K2861" s="26" t="n">
        <v>2.97</v>
      </c>
    </row>
    <row r="2862" ht="15" customFormat="1" customHeight="1" s="5">
      <c r="A2862" s="27" t="n">
        <v>45808</v>
      </c>
      <c r="B2862" s="67" t="n">
        <v>0.7916666666666666</v>
      </c>
      <c r="C2862" s="26" t="inlineStr">
        <is>
          <t>Walmart</t>
        </is>
      </c>
      <c r="D2862" s="26" t="n">
        <v>1</v>
      </c>
      <c r="E2862" s="26" t="inlineStr">
        <is>
          <t> </t>
        </is>
      </c>
      <c r="F2862" s="26" t="inlineStr">
        <is>
          <t>#200013365545078</t>
        </is>
      </c>
      <c r="G2862" s="7" t="n"/>
      <c r="H2862" s="26" t="inlineStr">
        <is>
          <t>Great Value Lemon 100% Juice, 32 fl oz</t>
        </is>
      </c>
      <c r="I2862" s="26" t="n">
        <v>32</v>
      </c>
      <c r="J2862" s="26" t="inlineStr">
        <is>
          <t>fl oz</t>
        </is>
      </c>
      <c r="K2862" s="26" t="n">
        <v>2.97</v>
      </c>
    </row>
    <row r="2863" ht="15" customFormat="1" customHeight="1" s="5">
      <c r="A2863" s="32" t="n">
        <v>45808</v>
      </c>
      <c r="B2863" s="66" t="n">
        <v>0.7916666666666666</v>
      </c>
      <c r="C2863" s="33" t="inlineStr">
        <is>
          <t>Walmart</t>
        </is>
      </c>
      <c r="D2863" s="33" t="n">
        <v>1</v>
      </c>
      <c r="E2863" s="33" t="inlineStr">
        <is>
          <t> </t>
        </is>
      </c>
      <c r="F2863" s="33" t="inlineStr">
        <is>
          <t>#200013365545078</t>
        </is>
      </c>
      <c r="G2863" s="34" t="n"/>
      <c r="H2863" s="33" t="inlineStr">
        <is>
          <t>Great Value Sliced Peaches in Juice, 29 oz</t>
        </is>
      </c>
      <c r="I2863" s="33" t="n">
        <v>29</v>
      </c>
      <c r="J2863" s="33" t="inlineStr">
        <is>
          <t>oz</t>
        </is>
      </c>
      <c r="K2863" s="33" t="n">
        <v>2.78</v>
      </c>
    </row>
    <row r="2864" ht="15" customFormat="1" customHeight="1" s="5">
      <c r="A2864" s="32" t="n">
        <v>45808</v>
      </c>
      <c r="B2864" s="66" t="n">
        <v>0.7916666666666666</v>
      </c>
      <c r="C2864" s="33" t="inlineStr">
        <is>
          <t>Walmart</t>
        </is>
      </c>
      <c r="D2864" s="33" t="n">
        <v>1</v>
      </c>
      <c r="E2864" s="33" t="inlineStr">
        <is>
          <t> </t>
        </is>
      </c>
      <c r="F2864" s="33" t="inlineStr">
        <is>
          <t>#200013365545078</t>
        </is>
      </c>
      <c r="G2864" s="34" t="n"/>
      <c r="H2864" s="33" t="inlineStr">
        <is>
          <t>Great Value Fruit Cocktail in Juice, 15 oz</t>
        </is>
      </c>
      <c r="I2864" s="33" t="n">
        <v>15</v>
      </c>
      <c r="J2864" s="33" t="inlineStr">
        <is>
          <t>oz</t>
        </is>
      </c>
      <c r="K2864" s="33" t="n">
        <v>1.66</v>
      </c>
    </row>
    <row r="2865" ht="15" customFormat="1" customHeight="1" s="5">
      <c r="A2865" s="27" t="n">
        <v>45808</v>
      </c>
      <c r="B2865" s="67" t="n">
        <v>0.7916666666666666</v>
      </c>
      <c r="C2865" s="26" t="inlineStr">
        <is>
          <t>Walmart</t>
        </is>
      </c>
      <c r="D2865" s="26" t="n">
        <v>1</v>
      </c>
      <c r="E2865" s="26" t="inlineStr">
        <is>
          <t> </t>
        </is>
      </c>
      <c r="F2865" s="26" t="inlineStr">
        <is>
          <t>#200013365545078</t>
        </is>
      </c>
      <c r="G2865" s="7" t="n"/>
      <c r="H2865" s="26" t="inlineStr">
        <is>
          <t>Great Value Fruit Cocktail in Juice, 15 oz</t>
        </is>
      </c>
      <c r="I2865" s="26" t="n">
        <v>15</v>
      </c>
      <c r="J2865" s="26" t="inlineStr">
        <is>
          <t>oz</t>
        </is>
      </c>
      <c r="K2865" s="26" t="n">
        <v>1.66</v>
      </c>
    </row>
    <row r="2866" ht="15" customFormat="1" customHeight="1" s="5">
      <c r="A2866" s="27" t="n">
        <v>45808</v>
      </c>
      <c r="B2866" s="67" t="n">
        <v>0.7916666666666666</v>
      </c>
      <c r="C2866" s="26" t="inlineStr">
        <is>
          <t>Walmart</t>
        </is>
      </c>
      <c r="D2866" s="26" t="n">
        <v>1</v>
      </c>
      <c r="E2866" s="26" t="inlineStr">
        <is>
          <t> </t>
        </is>
      </c>
      <c r="F2866" s="26" t="inlineStr">
        <is>
          <t>#200013365545078</t>
        </is>
      </c>
      <c r="G2866" s="7" t="n"/>
      <c r="H2866" s="26" t="inlineStr">
        <is>
          <t>Fresh Lemon, Each</t>
        </is>
      </c>
      <c r="I2866" s="26" t="n">
        <v>1</v>
      </c>
      <c r="J2866" s="26" t="inlineStr">
        <is>
          <t>cnt</t>
        </is>
      </c>
      <c r="K2866" s="26" t="n">
        <v>0.58</v>
      </c>
    </row>
    <row r="2867" ht="15" customFormat="1" customHeight="1" s="5">
      <c r="A2867" s="27" t="n">
        <v>45808</v>
      </c>
      <c r="B2867" s="67" t="n">
        <v>0.7916666666666666</v>
      </c>
      <c r="C2867" s="26" t="inlineStr">
        <is>
          <t>Walmart</t>
        </is>
      </c>
      <c r="D2867" s="26" t="n">
        <v>1</v>
      </c>
      <c r="E2867" s="26" t="inlineStr">
        <is>
          <t> </t>
        </is>
      </c>
      <c r="F2867" s="26" t="inlineStr">
        <is>
          <t>#200013365545078</t>
        </is>
      </c>
      <c r="G2867" s="7" t="n"/>
      <c r="H2867" s="26" t="inlineStr">
        <is>
          <t>Fresh Lemon, Each</t>
        </is>
      </c>
      <c r="I2867" s="26" t="n">
        <v>1</v>
      </c>
      <c r="J2867" s="26" t="inlineStr">
        <is>
          <t>cnt</t>
        </is>
      </c>
      <c r="K2867" s="26" t="n">
        <v>0.58</v>
      </c>
    </row>
    <row r="2868" ht="15" customFormat="1" customHeight="1" s="5">
      <c r="A2868" s="27" t="n">
        <v>45808</v>
      </c>
      <c r="B2868" s="67" t="n">
        <v>0.7916666666666666</v>
      </c>
      <c r="C2868" s="26" t="inlineStr">
        <is>
          <t>Walmart</t>
        </is>
      </c>
      <c r="D2868" s="26" t="n">
        <v>1</v>
      </c>
      <c r="E2868" s="26" t="inlineStr">
        <is>
          <t> </t>
        </is>
      </c>
      <c r="F2868" s="26" t="inlineStr">
        <is>
          <t>#200013365545078</t>
        </is>
      </c>
      <c r="G2868" s="7" t="n"/>
      <c r="H2868" s="26" t="inlineStr">
        <is>
          <t>ARM &amp; HAMMER Advance White Anticavity Whitening Toothpaste with Fluoride, Clean Mint, 6 oz, 2 Pack</t>
        </is>
      </c>
      <c r="I2868" s="26" t="n">
        <v>12</v>
      </c>
      <c r="J2868" s="26" t="inlineStr">
        <is>
          <t>oz</t>
        </is>
      </c>
      <c r="K2868" s="26" t="n">
        <v>6.98</v>
      </c>
    </row>
    <row r="2869" ht="15" customFormat="1" customHeight="1" s="5">
      <c r="A2869" s="31" t="n">
        <v>45808</v>
      </c>
      <c r="B2869" s="68" t="n">
        <v>0.7916666666666666</v>
      </c>
      <c r="C2869" s="30" t="inlineStr">
        <is>
          <t>Walmart</t>
        </is>
      </c>
      <c r="D2869" s="30" t="n">
        <v>1</v>
      </c>
      <c r="E2869" s="30" t="inlineStr">
        <is>
          <t> </t>
        </is>
      </c>
      <c r="F2869" s="30" t="inlineStr">
        <is>
          <t>#200013365545078</t>
        </is>
      </c>
      <c r="G2869" s="7" t="n"/>
      <c r="H2869" s="30" t="inlineStr">
        <is>
          <t>Tax</t>
        </is>
      </c>
      <c r="I2869" s="30" t="n">
        <v>11</v>
      </c>
      <c r="J2869" s="30" t="inlineStr">
        <is>
          <t>cnt</t>
        </is>
      </c>
      <c r="K2869" s="30" t="n">
        <v>1.35</v>
      </c>
    </row>
    <row r="2870" ht="15" customFormat="1" customHeight="1" s="5">
      <c r="A2870" s="27" t="n">
        <v>45808</v>
      </c>
      <c r="B2870" s="67" t="n">
        <v>0.7916666666666666</v>
      </c>
      <c r="C2870" s="26" t="inlineStr">
        <is>
          <t>Walmart</t>
        </is>
      </c>
      <c r="D2870" s="26" t="n">
        <v>1</v>
      </c>
      <c r="E2870" s="26" t="inlineStr">
        <is>
          <t> </t>
        </is>
      </c>
      <c r="F2870" s="26" t="inlineStr">
        <is>
          <t>#200013365545078</t>
        </is>
      </c>
      <c r="G2870" s="7" t="n"/>
      <c r="H2870" s="26" t="inlineStr">
        <is>
          <t>CO Regulatory Fees</t>
        </is>
      </c>
      <c r="I2870" s="26" t="n">
        <v>11</v>
      </c>
      <c r="J2870" s="26" t="inlineStr">
        <is>
          <t>cnt</t>
        </is>
      </c>
      <c r="K2870" s="26" t="n">
        <v>0.29</v>
      </c>
    </row>
    <row r="2871" ht="15" customFormat="1" customHeight="1" s="5">
      <c r="A2871" s="27" t="n">
        <v>45808</v>
      </c>
      <c r="B2871" s="67" t="n">
        <v>0.7916666666666666</v>
      </c>
      <c r="C2871" s="26" t="inlineStr">
        <is>
          <t>Walmart</t>
        </is>
      </c>
      <c r="D2871" s="26" t="n">
        <v>1</v>
      </c>
      <c r="E2871" s="26" t="inlineStr">
        <is>
          <t> </t>
        </is>
      </c>
      <c r="F2871" s="26" t="inlineStr">
        <is>
          <t>#200013365545078</t>
        </is>
      </c>
      <c r="G2871" s="7" t="n"/>
      <c r="H2871" s="26" t="inlineStr">
        <is>
          <t>Enfamil Poly-Vi-Sol Liquid Multivitamin Supplement and Iron for Infants and Toddlers 50 mL dropper bottle</t>
        </is>
      </c>
      <c r="I2871" s="26" t="n">
        <v>50</v>
      </c>
      <c r="J2871" s="26" t="inlineStr">
        <is>
          <t>mL</t>
        </is>
      </c>
      <c r="K2871" s="26" t="n">
        <v>9.970000000000001</v>
      </c>
    </row>
    <row r="2872" ht="15" customFormat="1" customHeight="1" s="5">
      <c r="A2872" s="27" t="n">
        <v>45808</v>
      </c>
      <c r="B2872" s="67" t="n">
        <v>0.7916666666666666</v>
      </c>
      <c r="C2872" s="26" t="inlineStr">
        <is>
          <t>Walmart</t>
        </is>
      </c>
      <c r="D2872" s="26" t="n">
        <v>1</v>
      </c>
      <c r="E2872" s="26" t="inlineStr">
        <is>
          <t> </t>
        </is>
      </c>
      <c r="F2872" s="26" t="inlineStr">
        <is>
          <t>#200013365545078</t>
        </is>
      </c>
      <c r="G2872" s="7" t="n"/>
      <c r="H2872" s="26" t="inlineStr">
        <is>
          <t>Hurst's HamBeens 15 Bean Soup, 20 oz</t>
        </is>
      </c>
      <c r="I2872" s="26" t="n">
        <v>20</v>
      </c>
      <c r="J2872" s="26" t="inlineStr">
        <is>
          <t>oz</t>
        </is>
      </c>
      <c r="K2872" s="26" t="n">
        <v>2.82</v>
      </c>
    </row>
    <row r="2873" ht="15" customFormat="1" customHeight="1" s="5">
      <c r="A2873" s="32" t="n">
        <v>45808</v>
      </c>
      <c r="B2873" s="66" t="n">
        <v>0.7916666666666666</v>
      </c>
      <c r="C2873" s="33" t="inlineStr">
        <is>
          <t>Walmart</t>
        </is>
      </c>
      <c r="D2873" s="33" t="n">
        <v>1</v>
      </c>
      <c r="E2873" s="33" t="inlineStr">
        <is>
          <t> </t>
        </is>
      </c>
      <c r="F2873" s="33" t="inlineStr">
        <is>
          <t>#200013365545078</t>
        </is>
      </c>
      <c r="G2873" s="34" t="n"/>
      <c r="H2873" s="33" t="inlineStr">
        <is>
          <t>Hurst's HamBeens 15 Bean Soup, 20 oz</t>
        </is>
      </c>
      <c r="I2873" s="33" t="n">
        <v>20</v>
      </c>
      <c r="J2873" s="33" t="inlineStr">
        <is>
          <t>oz</t>
        </is>
      </c>
      <c r="K2873" s="33" t="n">
        <v>2.82</v>
      </c>
    </row>
    <row r="2874" ht="15" customFormat="1" customHeight="1" s="5">
      <c r="A2874" s="27" t="n">
        <v>45808</v>
      </c>
      <c r="B2874" s="67" t="n">
        <v>0.7416666666666667</v>
      </c>
      <c r="C2874" s="26" t="inlineStr">
        <is>
          <t>Safeway</t>
        </is>
      </c>
      <c r="D2874" s="26" t="inlineStr">
        <is>
          <t> </t>
        </is>
      </c>
      <c r="E2874" s="26" t="n">
        <v>1</v>
      </c>
      <c r="F2874" s="26" t="inlineStr">
        <is>
          <t>2612 54 129 8854</t>
        </is>
      </c>
      <c r="G2874" s="7" t="n"/>
      <c r="H2874" s="26" t="inlineStr">
        <is>
          <t>Orange Bell Pepper</t>
        </is>
      </c>
      <c r="I2874" s="26" t="n">
        <v>1</v>
      </c>
      <c r="J2874" s="26" t="inlineStr">
        <is>
          <t>cnt</t>
        </is>
      </c>
      <c r="K2874" s="26" t="n">
        <v>1.79</v>
      </c>
    </row>
    <row r="2875" ht="15" customFormat="1" customHeight="1" s="5">
      <c r="A2875" s="27" t="n">
        <v>45808</v>
      </c>
      <c r="B2875" s="67" t="n">
        <v>0.7416666666666667</v>
      </c>
      <c r="C2875" s="26" t="inlineStr">
        <is>
          <t>Safeway</t>
        </is>
      </c>
      <c r="D2875" s="26" t="inlineStr">
        <is>
          <t> </t>
        </is>
      </c>
      <c r="E2875" s="26" t="n">
        <v>1</v>
      </c>
      <c r="F2875" s="26" t="inlineStr">
        <is>
          <t>2612 54 129 8854</t>
        </is>
      </c>
      <c r="G2875" s="7" t="n"/>
      <c r="H2875" s="26" t="inlineStr">
        <is>
          <t>Signature Baby Carrots 1 lb</t>
        </is>
      </c>
      <c r="I2875" s="26" t="n">
        <v>1</v>
      </c>
      <c r="J2875" s="26" t="inlineStr">
        <is>
          <t>lb</t>
        </is>
      </c>
      <c r="K2875" s="26" t="n">
        <v>1.39</v>
      </c>
    </row>
    <row r="2876" ht="15" customFormat="1" customHeight="1" s="5">
      <c r="A2876" s="31" t="n">
        <v>45808</v>
      </c>
      <c r="B2876" s="68" t="n">
        <v>0.7416666666666667</v>
      </c>
      <c r="C2876" s="30" t="inlineStr">
        <is>
          <t>Safeway</t>
        </is>
      </c>
      <c r="D2876" s="30" t="inlineStr">
        <is>
          <t> </t>
        </is>
      </c>
      <c r="E2876" s="30" t="n">
        <v>1</v>
      </c>
      <c r="F2876" s="30" t="inlineStr">
        <is>
          <t>2612 54 129 8854</t>
        </is>
      </c>
      <c r="G2876" s="7" t="n"/>
      <c r="H2876" s="30" t="inlineStr">
        <is>
          <t>Tax</t>
        </is>
      </c>
      <c r="I2876" s="30" t="n">
        <v>13</v>
      </c>
      <c r="J2876" s="30" t="inlineStr">
        <is>
          <t>cnt</t>
        </is>
      </c>
      <c r="K2876" s="30" t="n">
        <v>0</v>
      </c>
    </row>
    <row r="2877" ht="15" customFormat="1" customHeight="1" s="5">
      <c r="A2877" s="29" t="n">
        <v>45808</v>
      </c>
      <c r="B2877" s="69" t="n">
        <v>0.7416666666666667</v>
      </c>
      <c r="C2877" s="28" t="inlineStr">
        <is>
          <t>Safeway</t>
        </is>
      </c>
      <c r="D2877" s="28" t="inlineStr">
        <is>
          <t> </t>
        </is>
      </c>
      <c r="E2877" s="28" t="n">
        <v>1</v>
      </c>
      <c r="F2877" s="28" t="inlineStr">
        <is>
          <t>2612 54 129 8854</t>
        </is>
      </c>
      <c r="G2877" s="7" t="n"/>
      <c r="H2877" s="28" t="inlineStr">
        <is>
          <t>**DISCOUNT** Basket Savings Safeway</t>
        </is>
      </c>
      <c r="I2877" s="28" t="n">
        <v>1</v>
      </c>
      <c r="J2877" s="28" t="inlineStr">
        <is>
          <t>cnt</t>
        </is>
      </c>
      <c r="K2877" s="28" t="n">
        <v>-0.12</v>
      </c>
    </row>
    <row r="2878" ht="15" customFormat="1" customHeight="1" s="5">
      <c r="A2878" s="29" t="n">
        <v>45808</v>
      </c>
      <c r="B2878" s="69" t="n">
        <v>0.7416666666666667</v>
      </c>
      <c r="C2878" s="28" t="inlineStr">
        <is>
          <t>Safeway</t>
        </is>
      </c>
      <c r="D2878" s="28" t="inlineStr">
        <is>
          <t> </t>
        </is>
      </c>
      <c r="E2878" s="28" t="n">
        <v>1</v>
      </c>
      <c r="F2878" s="28" t="inlineStr">
        <is>
          <t>2612 54 129 8854</t>
        </is>
      </c>
      <c r="G2878" s="7" t="n"/>
      <c r="H2878" s="28" t="inlineStr">
        <is>
          <t>**DISCOUNT** Basket Savings Safeway</t>
        </is>
      </c>
      <c r="I2878" s="28" t="n">
        <v>1</v>
      </c>
      <c r="J2878" s="28" t="inlineStr">
        <is>
          <t>lb</t>
        </is>
      </c>
      <c r="K2878" s="28" t="n">
        <v>-0.45</v>
      </c>
    </row>
    <row r="2879" ht="15" customFormat="1" customHeight="1" s="5">
      <c r="A2879" s="27" t="n">
        <v>45808</v>
      </c>
      <c r="B2879" s="67" t="n">
        <v>0.7416666666666667</v>
      </c>
      <c r="C2879" s="26" t="inlineStr">
        <is>
          <t>Safeway</t>
        </is>
      </c>
      <c r="D2879" s="26" t="inlineStr">
        <is>
          <t> </t>
        </is>
      </c>
      <c r="E2879" s="26" t="n">
        <v>1</v>
      </c>
      <c r="F2879" s="26" t="inlineStr">
        <is>
          <t>2612 54 129 8854</t>
        </is>
      </c>
      <c r="G2879" s="7" t="n"/>
      <c r="H2879" s="26" t="inlineStr">
        <is>
          <t>5 mangos, 4 avocados @$0.77/each</t>
        </is>
      </c>
      <c r="I2879" s="26" t="n">
        <v>9</v>
      </c>
      <c r="J2879" s="26" t="inlineStr">
        <is>
          <t>cnt</t>
        </is>
      </c>
      <c r="K2879" s="26" t="n">
        <v>15.03</v>
      </c>
    </row>
    <row r="2880" ht="15" customFormat="1" customHeight="1" s="5">
      <c r="A2880" s="27" t="n">
        <v>45808</v>
      </c>
      <c r="B2880" s="67" t="n">
        <v>0.7416666666666667</v>
      </c>
      <c r="C2880" s="26" t="inlineStr">
        <is>
          <t>Safeway</t>
        </is>
      </c>
      <c r="D2880" s="26" t="inlineStr">
        <is>
          <t> </t>
        </is>
      </c>
      <c r="E2880" s="26" t="n">
        <v>1</v>
      </c>
      <c r="F2880" s="26" t="inlineStr">
        <is>
          <t>2612 54 129 8854</t>
        </is>
      </c>
      <c r="G2880" s="7" t="n"/>
      <c r="H2880" s="26" t="inlineStr">
        <is>
          <t>V CRNR Whole Milk</t>
        </is>
      </c>
      <c r="I2880" s="26" t="n">
        <v>1</v>
      </c>
      <c r="J2880" s="26" t="inlineStr">
        <is>
          <t>gal</t>
        </is>
      </c>
      <c r="K2880" s="26" t="n">
        <v>3.49</v>
      </c>
    </row>
    <row r="2881" ht="15" customFormat="1" customHeight="1" s="5">
      <c r="A2881" s="27" t="n">
        <v>45808</v>
      </c>
      <c r="B2881" s="67" t="n">
        <v>0.7416666666666667</v>
      </c>
      <c r="C2881" s="26" t="inlineStr">
        <is>
          <t>Safeway</t>
        </is>
      </c>
      <c r="D2881" s="26" t="inlineStr">
        <is>
          <t> </t>
        </is>
      </c>
      <c r="E2881" s="26" t="n">
        <v>1</v>
      </c>
      <c r="F2881" s="26" t="inlineStr">
        <is>
          <t>2612 54 129 8854</t>
        </is>
      </c>
      <c r="G2881" s="7" t="n"/>
      <c r="H2881" s="26" t="inlineStr">
        <is>
          <t>Lucerne Greek Yogurt Whole Milk Plain 5.3 Oz</t>
        </is>
      </c>
      <c r="I2881" s="26" t="n">
        <v>5.3</v>
      </c>
      <c r="J2881" s="26" t="inlineStr">
        <is>
          <t>oz</t>
        </is>
      </c>
      <c r="K2881" s="26" t="n">
        <v>0.99</v>
      </c>
    </row>
    <row r="2882" ht="15" customFormat="1" customHeight="1" s="5">
      <c r="A2882" s="29" t="n">
        <v>45808</v>
      </c>
      <c r="B2882" s="69" t="n">
        <v>0.7416666666666667</v>
      </c>
      <c r="C2882" s="28" t="inlineStr">
        <is>
          <t>Safeway</t>
        </is>
      </c>
      <c r="D2882" s="28" t="inlineStr">
        <is>
          <t> </t>
        </is>
      </c>
      <c r="E2882" s="28" t="n">
        <v>1</v>
      </c>
      <c r="F2882" s="28" t="inlineStr">
        <is>
          <t>2612 54 129 8854</t>
        </is>
      </c>
      <c r="G2882" s="7" t="n"/>
      <c r="H2882" s="28" t="inlineStr">
        <is>
          <t>**DISCOUNT** Basket Savings Safeway</t>
        </is>
      </c>
      <c r="I2882" s="28" t="n">
        <v>5.3</v>
      </c>
      <c r="J2882" s="28" t="inlineStr">
        <is>
          <t>oz</t>
        </is>
      </c>
      <c r="K2882" s="28" t="n">
        <v>-0.05</v>
      </c>
    </row>
    <row r="2883" ht="15" customFormat="1" customHeight="1" s="5">
      <c r="A2883" s="29" t="n">
        <v>45808</v>
      </c>
      <c r="B2883" s="69" t="n">
        <v>0.7416666666666667</v>
      </c>
      <c r="C2883" s="28" t="inlineStr">
        <is>
          <t>Safeway</t>
        </is>
      </c>
      <c r="D2883" s="28" t="inlineStr">
        <is>
          <t> </t>
        </is>
      </c>
      <c r="E2883" s="28" t="n">
        <v>1</v>
      </c>
      <c r="F2883" s="28" t="inlineStr">
        <is>
          <t>2612 54 129 8854</t>
        </is>
      </c>
      <c r="G2883" s="7" t="n"/>
      <c r="H2883" s="28" t="inlineStr">
        <is>
          <t>**DISCOUNT** Basket Savings Safeway</t>
        </is>
      </c>
      <c r="I2883" s="28" t="n">
        <v>9</v>
      </c>
      <c r="J2883" s="28" t="inlineStr">
        <is>
          <t>cnt</t>
        </is>
      </c>
      <c r="K2883" s="28" t="n">
        <v>-8.42</v>
      </c>
    </row>
    <row r="2884" ht="15" customFormat="1" customHeight="1" s="5">
      <c r="A2884" s="81" t="n">
        <v>45807</v>
      </c>
      <c r="B2884" s="82" t="n">
        <v>0.9013888888888889</v>
      </c>
      <c r="C2884" s="5" t="inlineStr">
        <is>
          <t>Venmo</t>
        </is>
      </c>
      <c r="D2884" s="5" t="n">
        <v>1</v>
      </c>
      <c r="F2884" s="6" t="inlineStr">
        <is>
          <t>4344415465797364336</t>
        </is>
      </c>
      <c r="G2884" s="10" t="n"/>
      <c r="H2884" s="9" t="inlineStr">
        <is>
          <t>Pay Carly for babysitting</t>
        </is>
      </c>
      <c r="I2884" s="9" t="n">
        <v>4</v>
      </c>
      <c r="J2884" s="9" t="inlineStr">
        <is>
          <t>cnt</t>
        </is>
      </c>
      <c r="K2884" s="9" t="n">
        <v>50</v>
      </c>
    </row>
    <row r="2885" ht="15" customFormat="1" customHeight="1" s="5">
      <c r="A2885" s="81" t="n">
        <v>45807</v>
      </c>
      <c r="B2885" s="82" t="n">
        <v>0.7444444444444445</v>
      </c>
      <c r="C2885" s="5" t="inlineStr">
        <is>
          <t>Guard and Grace</t>
        </is>
      </c>
      <c r="E2885" s="5" t="n">
        <v>1</v>
      </c>
      <c r="F2885" s="6" t="inlineStr">
        <is>
          <t>#61</t>
        </is>
      </c>
      <c r="G2885" s="7" t="n"/>
      <c r="H2885" s="9" t="inlineStr">
        <is>
          <t>Snake River Wagyu NY Strip 8oz medium rare</t>
        </is>
      </c>
      <c r="I2885" s="9" t="n">
        <v>8</v>
      </c>
      <c r="J2885" s="9" t="inlineStr">
        <is>
          <t>oz</t>
        </is>
      </c>
      <c r="K2885" s="9" t="n">
        <v>74</v>
      </c>
    </row>
    <row r="2886" ht="15" customFormat="1" customHeight="1" s="5">
      <c r="A2886" s="81" t="n">
        <v>45807</v>
      </c>
      <c r="B2886" s="82" t="n">
        <v>0.7444444444444445</v>
      </c>
      <c r="C2886" s="5" t="inlineStr">
        <is>
          <t>Guard and Grace</t>
        </is>
      </c>
      <c r="E2886" s="5" t="n">
        <v>1</v>
      </c>
      <c r="F2886" s="6" t="inlineStr">
        <is>
          <t>#61</t>
        </is>
      </c>
      <c r="G2886" s="7" t="n"/>
      <c r="H2886" s="9" t="inlineStr">
        <is>
          <t>Creek stone Prime Filet Mignon 4 oz medium rare</t>
        </is>
      </c>
      <c r="I2886" s="9" t="n">
        <v>4</v>
      </c>
      <c r="J2886" s="9" t="inlineStr">
        <is>
          <t>oz</t>
        </is>
      </c>
      <c r="K2886" s="9" t="n">
        <v>38</v>
      </c>
    </row>
    <row r="2887" ht="15" customFormat="1" customHeight="1" s="5">
      <c r="A2887" s="81" t="n">
        <v>45807</v>
      </c>
      <c r="B2887" s="82" t="n">
        <v>0.7444444444444445</v>
      </c>
      <c r="C2887" s="5" t="inlineStr">
        <is>
          <t>Guard and Grace</t>
        </is>
      </c>
      <c r="E2887" s="5" t="n">
        <v>1</v>
      </c>
      <c r="F2887" s="6" t="inlineStr">
        <is>
          <t>#61</t>
        </is>
      </c>
      <c r="G2887" s="7" t="n"/>
      <c r="H2887" s="9" t="inlineStr">
        <is>
          <t>Tip for Lindsey (and Jonathan and Gladys)</t>
        </is>
      </c>
      <c r="I2887" s="9" t="n">
        <v>3</v>
      </c>
      <c r="J2887" s="9" t="inlineStr">
        <is>
          <t>cnt</t>
        </is>
      </c>
      <c r="K2887" s="9" t="n">
        <v>34.39</v>
      </c>
    </row>
    <row r="2888" ht="15" customFormat="1" customHeight="1" s="5">
      <c r="A2888" s="81" t="n">
        <v>45807</v>
      </c>
      <c r="B2888" s="82" t="n">
        <v>0.7444444444444445</v>
      </c>
      <c r="C2888" s="5" t="inlineStr">
        <is>
          <t>Guard and Grace</t>
        </is>
      </c>
      <c r="E2888" s="5" t="n">
        <v>1</v>
      </c>
      <c r="F2888" s="6" t="inlineStr">
        <is>
          <t>#61</t>
        </is>
      </c>
      <c r="G2888" s="7" t="n"/>
      <c r="H2888" s="9" t="inlineStr">
        <is>
          <t>AO Half ALASKAN BLACK COD*
charred broccolini, sweet soy butter</t>
        </is>
      </c>
      <c r="I2888" s="9" t="n">
        <v>1</v>
      </c>
      <c r="J2888" s="9" t="inlineStr">
        <is>
          <t>cnt</t>
        </is>
      </c>
      <c r="K2888" s="9" t="n">
        <v>32</v>
      </c>
    </row>
    <row r="2889" ht="15" customFormat="1" customHeight="1" s="5">
      <c r="A2889" s="81" t="n">
        <v>45807</v>
      </c>
      <c r="B2889" s="82" t="n">
        <v>0.7444444444444445</v>
      </c>
      <c r="C2889" s="5" t="inlineStr">
        <is>
          <t>Guard and Grace</t>
        </is>
      </c>
      <c r="E2889" s="5" t="n">
        <v>1</v>
      </c>
      <c r="F2889" s="6" t="inlineStr">
        <is>
          <t>#61</t>
        </is>
      </c>
      <c r="G2889" s="7" t="n"/>
      <c r="H2889" s="9" t="inlineStr">
        <is>
          <t>A5 Beef Tartare: black garlic, radish, vietnamese vinaigrette, house potato chips</t>
        </is>
      </c>
      <c r="I2889" s="9" t="n">
        <v>1</v>
      </c>
      <c r="J2889" s="9" t="inlineStr">
        <is>
          <t>cnt</t>
        </is>
      </c>
      <c r="K2889" s="9" t="n">
        <v>27</v>
      </c>
    </row>
    <row r="2890" ht="15" customFormat="1" customHeight="1" s="5">
      <c r="A2890" s="81" t="n">
        <v>45807</v>
      </c>
      <c r="B2890" s="82" t="n">
        <v>0.7444444444444445</v>
      </c>
      <c r="C2890" s="5" t="inlineStr">
        <is>
          <t>Guard and Grace</t>
        </is>
      </c>
      <c r="E2890" s="5" t="n">
        <v>1</v>
      </c>
      <c r="F2890" s="6" t="inlineStr">
        <is>
          <t>#61</t>
        </is>
      </c>
      <c r="G2890" s="7" t="n"/>
      <c r="H2890" s="9" t="inlineStr">
        <is>
          <t>Side of Gnocchi: truffle, chive</t>
        </is>
      </c>
      <c r="I2890" s="9" t="n">
        <v>1</v>
      </c>
      <c r="J2890" s="9" t="inlineStr">
        <is>
          <t>cnt</t>
        </is>
      </c>
      <c r="K2890" s="9" t="n">
        <v>24</v>
      </c>
    </row>
    <row r="2891" ht="15" customFormat="1" customHeight="1" s="5">
      <c r="A2891" s="81" t="n">
        <v>45807</v>
      </c>
      <c r="B2891" s="82" t="n">
        <v>0.7444444444444445</v>
      </c>
      <c r="C2891" s="5" t="inlineStr">
        <is>
          <t>Guard and Grace</t>
        </is>
      </c>
      <c r="E2891" s="5" t="n">
        <v>1</v>
      </c>
      <c r="F2891" s="6" t="inlineStr">
        <is>
          <t>#61</t>
        </is>
      </c>
      <c r="G2891" s="7" t="n"/>
      <c r="H2891" s="9" t="inlineStr">
        <is>
          <t>Tax</t>
        </is>
      </c>
      <c r="I2891" s="9" t="n">
        <v>7</v>
      </c>
      <c r="J2891" s="9" t="inlineStr">
        <is>
          <t>cnt</t>
        </is>
      </c>
      <c r="K2891" s="9" t="n">
        <v>18.65</v>
      </c>
    </row>
    <row r="2892" ht="15" customFormat="1" customHeight="1" s="5">
      <c r="A2892" s="81" t="n">
        <v>45807</v>
      </c>
      <c r="B2892" s="82" t="n">
        <v>0.7444444444444445</v>
      </c>
      <c r="C2892" s="5" t="inlineStr">
        <is>
          <t>Guard and Grace</t>
        </is>
      </c>
      <c r="E2892" s="5" t="n">
        <v>1</v>
      </c>
      <c r="F2892" s="6" t="inlineStr">
        <is>
          <t>#61</t>
        </is>
      </c>
      <c r="G2892" s="7" t="n"/>
      <c r="H2892" s="9" t="inlineStr">
        <is>
          <t>Side of Broccolini: nam chim, crispy shallots, asian herbs mint and cilantro, lemon</t>
        </is>
      </c>
      <c r="I2892" s="9" t="n">
        <v>1</v>
      </c>
      <c r="J2892" s="9" t="inlineStr">
        <is>
          <t>cnt</t>
        </is>
      </c>
      <c r="K2892" s="9" t="n">
        <v>15</v>
      </c>
    </row>
    <row r="2893" ht="15" customFormat="1" customHeight="1" s="5">
      <c r="A2893" s="81" t="n">
        <v>45807</v>
      </c>
      <c r="B2893" s="82" t="n">
        <v>0.7444444444444445</v>
      </c>
      <c r="C2893" s="5" t="inlineStr">
        <is>
          <t>Guard and Grace</t>
        </is>
      </c>
      <c r="E2893" s="5" t="n">
        <v>1</v>
      </c>
      <c r="F2893" s="6" t="inlineStr">
        <is>
          <t>#61</t>
        </is>
      </c>
      <c r="G2893" s="7" t="n"/>
      <c r="H2893" s="9" t="inlineStr">
        <is>
          <t>AO Oak Grilled Bone Marrow</t>
        </is>
      </c>
      <c r="I2893" s="9" t="n">
        <v>1</v>
      </c>
      <c r="J2893" s="9" t="inlineStr">
        <is>
          <t>cnt</t>
        </is>
      </c>
      <c r="K2893" s="9" t="n">
        <v>14</v>
      </c>
    </row>
    <row r="2894" ht="15" customFormat="1" customHeight="1" s="5">
      <c r="A2894" s="81" t="n">
        <v>45807</v>
      </c>
      <c r="B2894" s="82" t="n">
        <v>0.7444444444444445</v>
      </c>
      <c r="C2894" s="5" t="inlineStr">
        <is>
          <t>Guard and Grace</t>
        </is>
      </c>
      <c r="E2894" s="5" t="n">
        <v>1</v>
      </c>
      <c r="F2894" s="6" t="inlineStr">
        <is>
          <t>#61</t>
        </is>
      </c>
      <c r="G2894" s="7" t="n"/>
      <c r="H2894" s="9" t="inlineStr">
        <is>
          <t>4.00% "Culinary Share fee"</t>
        </is>
      </c>
      <c r="I2894" s="9" t="n">
        <v>7</v>
      </c>
      <c r="J2894" s="9" t="inlineStr">
        <is>
          <t>cnt</t>
        </is>
      </c>
      <c r="K2894" s="9" t="n">
        <v>8.960000000000001</v>
      </c>
    </row>
    <row r="2895" ht="15" customFormat="1" customHeight="1" s="5">
      <c r="A2895" s="81" t="n">
        <v>45807</v>
      </c>
      <c r="B2895" s="82" t="n">
        <v>0.6381944444444444</v>
      </c>
      <c r="C2895" s="5" t="inlineStr">
        <is>
          <t>Tyndall Green</t>
        </is>
      </c>
      <c r="D2895" s="5" t="n">
        <v>1</v>
      </c>
      <c r="F2895" s="6" t="inlineStr">
        <is>
          <t>10400289_382391642</t>
        </is>
      </c>
      <c r="G2895" s="7" t="n"/>
      <c r="H2895" s="9" t="inlineStr">
        <is>
          <t>Monthly HOA payment (including annual increase)</t>
        </is>
      </c>
      <c r="I2895" s="9" t="n">
        <v>1</v>
      </c>
      <c r="J2895" s="9" t="inlineStr">
        <is>
          <t>cnt</t>
        </is>
      </c>
      <c r="K2895" s="9" t="n">
        <v>331.12</v>
      </c>
    </row>
    <row r="2896" ht="15" customFormat="1" customHeight="1" s="5">
      <c r="A2896" s="81" t="n">
        <v>45807</v>
      </c>
      <c r="B2896" s="82" t="n">
        <v>0.5715277777777777</v>
      </c>
      <c r="C2896" s="5" t="inlineStr">
        <is>
          <t>Costco</t>
        </is>
      </c>
      <c r="E2896" s="5" t="n">
        <v>1</v>
      </c>
      <c r="F2896" s="6" t="inlineStr">
        <is>
          <t>439 203 99 703</t>
        </is>
      </c>
      <c r="G2896" s="10" t="inlineStr">
        <is>
          <t>E 1842720</t>
        </is>
      </c>
      <c r="H2896" s="9" t="inlineStr">
        <is>
          <t>Strawberry Freeze-Dried Crisps, Brothers All Natural</t>
        </is>
      </c>
      <c r="I2896" s="9" t="n">
        <v>85</v>
      </c>
      <c r="J2896" s="9" t="inlineStr">
        <is>
          <t>grams</t>
        </is>
      </c>
      <c r="K2896" s="9" t="n">
        <v>6.99</v>
      </c>
    </row>
    <row r="2897" ht="15" customFormat="1" customHeight="1" s="5">
      <c r="A2897" s="81" t="n">
        <v>45807</v>
      </c>
      <c r="B2897" s="82" t="n">
        <v>0.5715277777777777</v>
      </c>
      <c r="C2897" s="5" t="inlineStr">
        <is>
          <t>Costco</t>
        </is>
      </c>
      <c r="E2897" s="5" t="n">
        <v>1</v>
      </c>
      <c r="F2897" s="6" t="inlineStr">
        <is>
          <t>439 203 99 703</t>
        </is>
      </c>
      <c r="G2897" s="10" t="inlineStr">
        <is>
          <t>E 4007</t>
        </is>
      </c>
      <c r="H2897" s="9" t="inlineStr">
        <is>
          <t>Peanuts, in shell and not fried in oil</t>
        </is>
      </c>
      <c r="I2897" s="9" t="n">
        <v>5</v>
      </c>
      <c r="J2897" s="9" t="inlineStr">
        <is>
          <t>lb</t>
        </is>
      </c>
      <c r="K2897" s="9" t="n">
        <v>8.789999999999999</v>
      </c>
    </row>
    <row r="2898" ht="15" customFormat="1" customHeight="1" s="5">
      <c r="A2898" s="81" t="n">
        <v>45807</v>
      </c>
      <c r="B2898" s="82" t="n">
        <v>0.5715277777777777</v>
      </c>
      <c r="C2898" s="5" t="inlineStr">
        <is>
          <t>Costco</t>
        </is>
      </c>
      <c r="E2898" s="5" t="n">
        <v>1</v>
      </c>
      <c r="F2898" s="6" t="inlineStr">
        <is>
          <t>439 203 99 703</t>
        </is>
      </c>
      <c r="G2898" s="10" t="inlineStr">
        <is>
          <t>E 555000</t>
        </is>
      </c>
      <c r="H2898" s="9" t="inlineStr">
        <is>
          <t>KS Peanut Butter</t>
        </is>
      </c>
      <c r="I2898" s="9" t="n">
        <v>28</v>
      </c>
      <c r="J2898" s="9" t="inlineStr">
        <is>
          <t>oz</t>
        </is>
      </c>
      <c r="K2898" s="9" t="n">
        <v>9.99</v>
      </c>
    </row>
    <row r="2899" ht="15" customFormat="1" customHeight="1" s="5">
      <c r="A2899" s="81" t="n">
        <v>45807</v>
      </c>
      <c r="B2899" s="82" t="n">
        <v>0.5715277777777777</v>
      </c>
      <c r="C2899" s="5" t="inlineStr">
        <is>
          <t>Costco</t>
        </is>
      </c>
      <c r="E2899" s="5" t="n">
        <v>1</v>
      </c>
      <c r="F2899" s="6" t="inlineStr">
        <is>
          <t>439 203 99 703</t>
        </is>
      </c>
      <c r="G2899" s="10" t="inlineStr">
        <is>
          <t>E 1719821</t>
        </is>
      </c>
      <c r="H2899" s="9" t="inlineStr">
        <is>
          <t>Lemon and Herb Sauce</t>
        </is>
      </c>
      <c r="I2899" s="9" t="n">
        <v>24.5</v>
      </c>
      <c r="J2899" s="9" t="inlineStr">
        <is>
          <t>oz</t>
        </is>
      </c>
      <c r="K2899" s="9" t="n">
        <v>10.99</v>
      </c>
    </row>
    <row r="2900" ht="15" customFormat="1" customHeight="1" s="5">
      <c r="A2900" s="81" t="n">
        <v>45807</v>
      </c>
      <c r="B2900" s="82" t="n">
        <v>0.5715277777777777</v>
      </c>
      <c r="C2900" s="5" t="inlineStr">
        <is>
          <t>Costco</t>
        </is>
      </c>
      <c r="E2900" s="5" t="n">
        <v>1</v>
      </c>
      <c r="F2900" s="6" t="inlineStr">
        <is>
          <t>439 203 99 703</t>
        </is>
      </c>
      <c r="G2900" s="10" t="inlineStr">
        <is>
          <t>E 67072</t>
        </is>
      </c>
      <c r="H2900" s="9" t="inlineStr">
        <is>
          <t>Oranges</t>
        </is>
      </c>
      <c r="I2900" s="9" t="n">
        <v>8</v>
      </c>
      <c r="J2900" s="9" t="inlineStr">
        <is>
          <t>lb</t>
        </is>
      </c>
      <c r="K2900" s="9" t="n">
        <v>7.89</v>
      </c>
    </row>
    <row r="2901" ht="15" customFormat="1" customHeight="1" s="5">
      <c r="A2901" s="81" t="n">
        <v>45807</v>
      </c>
      <c r="B2901" s="82" t="n">
        <v>0.5715277777777777</v>
      </c>
      <c r="C2901" s="5" t="inlineStr">
        <is>
          <t>Costco</t>
        </is>
      </c>
      <c r="E2901" s="5" t="n">
        <v>1</v>
      </c>
      <c r="F2901" s="6" t="inlineStr">
        <is>
          <t>439 203 99 703</t>
        </is>
      </c>
      <c r="G2901" s="10" t="inlineStr">
        <is>
          <t>E 1346763</t>
        </is>
      </c>
      <c r="H2901" s="9" t="inlineStr">
        <is>
          <t>La Croix Variety Pack -- 24 x 355 mL cans (288 fl oz total)</t>
        </is>
      </c>
      <c r="I2901" s="9" t="n">
        <v>288</v>
      </c>
      <c r="J2901" s="9" t="inlineStr">
        <is>
          <t>fl oz</t>
        </is>
      </c>
      <c r="K2901" s="9" t="inlineStr">
        <is>
          <t>8.99 A</t>
        </is>
      </c>
    </row>
    <row r="2902" ht="15" customFormat="1" customHeight="1" s="5">
      <c r="A2902" s="81" t="n">
        <v>45807</v>
      </c>
      <c r="B2902" s="82" t="n">
        <v>0.5715277777777777</v>
      </c>
      <c r="C2902" s="5" t="inlineStr">
        <is>
          <t>Costco</t>
        </is>
      </c>
      <c r="E2902" s="5" t="n">
        <v>1</v>
      </c>
      <c r="F2902" s="6" t="inlineStr">
        <is>
          <t>439 203 99 703</t>
        </is>
      </c>
      <c r="G2902" s="10" t="inlineStr">
        <is>
          <t>E 0000353655</t>
        </is>
      </c>
      <c r="H2902" s="9" t="inlineStr">
        <is>
          <t>**DISCOUNT** La Croix</t>
        </is>
      </c>
      <c r="I2902" s="9" t="n">
        <v>288</v>
      </c>
      <c r="J2902" s="9" t="inlineStr">
        <is>
          <t>fl oz</t>
        </is>
      </c>
      <c r="K2902" s="9" t="inlineStr">
        <is>
          <t>2.50-A</t>
        </is>
      </c>
    </row>
    <row r="2903" ht="15" customFormat="1" customHeight="1" s="5">
      <c r="A2903" s="81" t="n">
        <v>45807</v>
      </c>
      <c r="B2903" s="82" t="n">
        <v>0.5715277777777777</v>
      </c>
      <c r="C2903" s="5" t="inlineStr">
        <is>
          <t>Costco</t>
        </is>
      </c>
      <c r="E2903" s="5" t="n">
        <v>1</v>
      </c>
      <c r="F2903" s="6" t="inlineStr">
        <is>
          <t>439 203 99 703</t>
        </is>
      </c>
      <c r="G2903" s="10" t="n"/>
      <c r="H2903" s="9" t="inlineStr">
        <is>
          <t>TAX A 8.00%</t>
        </is>
      </c>
      <c r="I2903" s="9" t="n">
        <v>1</v>
      </c>
      <c r="J2903" s="9" t="inlineStr">
        <is>
          <t>cnt</t>
        </is>
      </c>
      <c r="K2903" s="9" t="n">
        <v>0.52</v>
      </c>
    </row>
    <row r="2904" ht="15" customFormat="1" customHeight="1" s="5">
      <c r="A2904" s="81" t="n">
        <v>45807</v>
      </c>
      <c r="B2904" s="82" t="n">
        <v>0.5715277777777777</v>
      </c>
      <c r="C2904" s="5" t="inlineStr">
        <is>
          <t>Costco</t>
        </is>
      </c>
      <c r="E2904" s="5" t="n">
        <v>1</v>
      </c>
      <c r="F2904" s="6" t="inlineStr">
        <is>
          <t>439 203 99 703</t>
        </is>
      </c>
      <c r="G2904" s="10" t="inlineStr">
        <is>
          <t>E 720650</t>
        </is>
      </c>
      <c r="H2904" s="9" t="inlineStr">
        <is>
          <t>Mini Cukes Cocktail Cucumbers</t>
        </is>
      </c>
      <c r="I2904" s="9" t="n">
        <v>1.5</v>
      </c>
      <c r="J2904" s="9" t="inlineStr">
        <is>
          <t>lb</t>
        </is>
      </c>
      <c r="K2904" s="9" t="n">
        <v>5.99</v>
      </c>
    </row>
    <row r="2905" ht="15" customFormat="1" customHeight="1" s="5">
      <c r="A2905" s="81" t="n">
        <v>45806</v>
      </c>
      <c r="B2905" s="82" t="n">
        <v>0.51875</v>
      </c>
      <c r="C2905" s="5" t="inlineStr">
        <is>
          <t>Spot Hero</t>
        </is>
      </c>
      <c r="D2905" s="5" t="n">
        <v>1</v>
      </c>
      <c r="F2905" s="6" t="inlineStr">
        <is>
          <t>100134615</t>
        </is>
      </c>
      <c r="G2905" s="10" t="n"/>
      <c r="H2905" s="9" t="inlineStr">
        <is>
          <t>Parking 1801 California Garage 5/30 5p-8p</t>
        </is>
      </c>
      <c r="I2905" s="9" t="n">
        <v>3</v>
      </c>
      <c r="J2905" s="9" t="inlineStr">
        <is>
          <t>cnt</t>
        </is>
      </c>
      <c r="K2905" s="85" t="n">
        <v>7</v>
      </c>
    </row>
    <row r="2906" ht="15" customFormat="1" customHeight="1" s="5">
      <c r="A2906" s="81" t="n">
        <v>45806</v>
      </c>
      <c r="B2906" s="82" t="n">
        <v>0.51875</v>
      </c>
      <c r="C2906" s="5" t="inlineStr">
        <is>
          <t>Spot Hero</t>
        </is>
      </c>
      <c r="D2906" s="5" t="n">
        <v>1</v>
      </c>
      <c r="F2906" s="6" t="inlineStr">
        <is>
          <t>100134615</t>
        </is>
      </c>
      <c r="G2906" s="10" t="n"/>
      <c r="H2906" s="9" t="inlineStr">
        <is>
          <t>Spot Hero Service Fee</t>
        </is>
      </c>
      <c r="I2906" s="9" t="n">
        <v>1</v>
      </c>
      <c r="J2906" s="9" t="inlineStr">
        <is>
          <t>cnt</t>
        </is>
      </c>
      <c r="K2906" s="85" t="n">
        <v>0.75</v>
      </c>
    </row>
    <row r="2907" ht="15" customFormat="1" customHeight="1" s="5">
      <c r="A2907" s="81" t="n">
        <v>45806</v>
      </c>
      <c r="B2907" s="82" t="n">
        <v>0.2916666666666667</v>
      </c>
      <c r="C2907" s="5" t="inlineStr">
        <is>
          <t>US Tax Witholding</t>
        </is>
      </c>
      <c r="D2907" s="5" t="n">
        <v>1</v>
      </c>
      <c r="F2907" s="6" t="inlineStr">
        <is>
          <t>RTX_Paycheck_25_37</t>
        </is>
      </c>
      <c r="G2907" s="7" t="n"/>
      <c r="H2907" s="9" t="inlineStr">
        <is>
          <t>Federal Income Tax</t>
        </is>
      </c>
      <c r="I2907" s="9" t="n"/>
      <c r="J2907" s="9" t="n"/>
      <c r="K2907" s="9" t="n">
        <v>293.88</v>
      </c>
    </row>
    <row r="2908" ht="15" customFormat="1" customHeight="1" s="5">
      <c r="A2908" s="81" t="n">
        <v>45806</v>
      </c>
      <c r="B2908" s="82" t="n">
        <v>0.2916666666666667</v>
      </c>
      <c r="C2908" s="5" t="inlineStr">
        <is>
          <t>US Tax Witholding</t>
        </is>
      </c>
      <c r="D2908" s="5" t="n">
        <v>1</v>
      </c>
      <c r="F2908" s="6" t="inlineStr">
        <is>
          <t>RTX_Paycheck_25_37</t>
        </is>
      </c>
      <c r="G2908" s="7" t="n"/>
      <c r="H2908" s="9" t="inlineStr">
        <is>
          <t>Social Security Tax</t>
        </is>
      </c>
      <c r="I2908" s="9" t="n"/>
      <c r="J2908" s="9" t="n"/>
      <c r="K2908" s="9" t="n">
        <v>228.88</v>
      </c>
    </row>
    <row r="2909" ht="15" customFormat="1" customHeight="1" s="5">
      <c r="A2909" s="81" t="n">
        <v>45806</v>
      </c>
      <c r="B2909" s="82" t="n">
        <v>0.2916666666666667</v>
      </c>
      <c r="C2909" s="5" t="inlineStr">
        <is>
          <t>US Tax Witholding</t>
        </is>
      </c>
      <c r="D2909" s="5" t="n">
        <v>1</v>
      </c>
      <c r="F2909" s="6" t="inlineStr">
        <is>
          <t>RTX_Paycheck_25_37</t>
        </is>
      </c>
      <c r="G2909" s="7" t="n"/>
      <c r="H2909" s="9" t="inlineStr">
        <is>
          <t>Medicare Tax</t>
        </is>
      </c>
      <c r="I2909" s="9" t="n"/>
      <c r="J2909" s="9" t="n"/>
      <c r="K2909" s="9" t="n">
        <v>53.53</v>
      </c>
    </row>
    <row r="2910" ht="15" customFormat="1" customHeight="1" s="5">
      <c r="A2910" s="81" t="n">
        <v>45806</v>
      </c>
      <c r="B2910" s="82" t="n">
        <v>0.2916666666666667</v>
      </c>
      <c r="C2910" s="5" t="inlineStr">
        <is>
          <t>Raytheon</t>
        </is>
      </c>
      <c r="D2910" s="5" t="n">
        <v>1</v>
      </c>
      <c r="F2910" s="6" t="inlineStr">
        <is>
          <t>RTX_Paycheck_25_37</t>
        </is>
      </c>
      <c r="G2910" s="17" t="inlineStr">
        <is>
          <t>XXXX3523</t>
        </is>
      </c>
      <c r="H2910" s="9" t="inlineStr">
        <is>
          <t>Net Paycheck [May 10- May 23]</t>
        </is>
      </c>
      <c r="I2910" s="9" t="n"/>
      <c r="J2910" s="9" t="n"/>
      <c r="K2910" s="9" t="n">
        <v>2706.5</v>
      </c>
    </row>
    <row r="2911" ht="15" customFormat="1" customHeight="1" s="5">
      <c r="A2911" s="81" t="n">
        <v>45806</v>
      </c>
      <c r="B2911" s="82" t="n">
        <v>0.2916666666666667</v>
      </c>
      <c r="C2911" s="5" t="inlineStr">
        <is>
          <t>Raytheon</t>
        </is>
      </c>
      <c r="D2911" s="5" t="n">
        <v>1</v>
      </c>
      <c r="F2911" s="6" t="inlineStr">
        <is>
          <t>RTX_Paycheck_25_37</t>
        </is>
      </c>
      <c r="G2911" s="7" t="n"/>
      <c r="H2911" s="9" t="inlineStr">
        <is>
          <t>RTX Direct Deposit -- cancelling offset</t>
        </is>
      </c>
      <c r="I2911" s="9" t="n"/>
      <c r="J2911" s="9" t="n"/>
      <c r="K2911" s="9" t="n">
        <v>-2706.51</v>
      </c>
    </row>
    <row r="2912" ht="15" customFormat="1" customHeight="1" s="5">
      <c r="A2912" s="81" t="n">
        <v>45806</v>
      </c>
      <c r="B2912" s="82" t="n">
        <v>0.2916666666666667</v>
      </c>
      <c r="C2912" s="5" t="inlineStr">
        <is>
          <t>Raytheon</t>
        </is>
      </c>
      <c r="D2912" s="5" t="n">
        <v>1</v>
      </c>
      <c r="F2912" s="6" t="inlineStr">
        <is>
          <t>RTX_Paycheck_25_37</t>
        </is>
      </c>
      <c r="G2912" s="7" t="n"/>
      <c r="H2912" s="9" t="inlineStr">
        <is>
          <t>Gross Paycheck [May 10 - May 23]</t>
        </is>
      </c>
      <c r="I2912" s="9" t="n"/>
      <c r="J2912" s="9" t="n"/>
      <c r="K2912" s="9" t="n">
        <v>-4200.97</v>
      </c>
    </row>
    <row r="2913" ht="15" customFormat="1" customHeight="1" s="5">
      <c r="A2913" s="81" t="n">
        <v>45806</v>
      </c>
      <c r="B2913" s="82" t="n">
        <v>0.2916666666666667</v>
      </c>
      <c r="C2913" s="5" t="inlineStr">
        <is>
          <t>Parents Gift Account</t>
        </is>
      </c>
      <c r="D2913" s="5" t="n">
        <v>1</v>
      </c>
      <c r="F2913" s="6" t="inlineStr">
        <is>
          <t>RTX_Paycheck_25_37</t>
        </is>
      </c>
      <c r="G2913" s="17" t="inlineStr">
        <is>
          <t>XXXX7146</t>
        </is>
      </c>
      <c r="H2913" s="9" t="inlineStr">
        <is>
          <t>Contribution to Parents Gift Account</t>
        </is>
      </c>
      <c r="I2913" s="9" t="n"/>
      <c r="J2913" s="9" t="n"/>
      <c r="K2913" s="9" t="n">
        <v>0.01</v>
      </c>
    </row>
    <row r="2914" ht="15" customFormat="1" customHeight="1" s="5">
      <c r="A2914" s="81" t="n">
        <v>45806</v>
      </c>
      <c r="B2914" s="82" t="n">
        <v>0.2916666666666667</v>
      </c>
      <c r="C2914" s="5" t="inlineStr">
        <is>
          <t>HSA</t>
        </is>
      </c>
      <c r="D2914" s="5" t="n">
        <v>1</v>
      </c>
      <c r="F2914" s="6" t="inlineStr">
        <is>
          <t>RTX_Paycheck_25_37</t>
        </is>
      </c>
      <c r="G2914" s="7" t="n"/>
      <c r="H2914" s="9" t="inlineStr">
        <is>
          <t>Personal contribution to HSA</t>
        </is>
      </c>
      <c r="I2914" s="9" t="n"/>
      <c r="J2914" s="9" t="n"/>
      <c r="K2914" s="9" t="n">
        <v>239.93</v>
      </c>
    </row>
    <row r="2915" ht="15" customFormat="1" customHeight="1" s="5">
      <c r="A2915" s="81" t="n">
        <v>45806</v>
      </c>
      <c r="B2915" s="82" t="n">
        <v>0.2916666666666667</v>
      </c>
      <c r="C2915" s="5" t="inlineStr">
        <is>
          <t>Delta Dental</t>
        </is>
      </c>
      <c r="D2915" s="5" t="n">
        <v>1</v>
      </c>
      <c r="F2915" s="6" t="inlineStr">
        <is>
          <t>RTX_Paycheck_25_37</t>
        </is>
      </c>
      <c r="G2915" s="10" t="n"/>
      <c r="H2915" s="9" t="inlineStr">
        <is>
          <t>Dental Insurance</t>
        </is>
      </c>
      <c r="I2915" s="9" t="n"/>
      <c r="J2915" s="9" t="n"/>
      <c r="K2915" s="9" t="n">
        <v>8.52</v>
      </c>
    </row>
    <row r="2916" ht="15" customFormat="1" customHeight="1" s="5">
      <c r="A2916" s="81" t="n">
        <v>45806</v>
      </c>
      <c r="B2916" s="82" t="n">
        <v>0.2916666666666667</v>
      </c>
      <c r="C2916" s="5" t="inlineStr">
        <is>
          <t>CO Tax Witholding</t>
        </is>
      </c>
      <c r="D2916" s="5" t="n">
        <v>1</v>
      </c>
      <c r="F2916" s="6" t="inlineStr">
        <is>
          <t>RTX_Paycheck_25_37</t>
        </is>
      </c>
      <c r="G2916" s="7" t="n"/>
      <c r="H2916" s="9" t="inlineStr">
        <is>
          <t>CO State Income Tax</t>
        </is>
      </c>
      <c r="I2916" s="9" t="n"/>
      <c r="J2916" s="9" t="n"/>
      <c r="K2916" s="9" t="n">
        <v>136.19</v>
      </c>
    </row>
    <row r="2917" ht="15" customFormat="1" customHeight="1" s="5">
      <c r="A2917" s="81" t="n">
        <v>45806</v>
      </c>
      <c r="B2917" s="82" t="n">
        <v>0.2916666666666667</v>
      </c>
      <c r="C2917" s="5" t="inlineStr">
        <is>
          <t>CO Tax Witholding</t>
        </is>
      </c>
      <c r="D2917" s="5" t="n">
        <v>1</v>
      </c>
      <c r="F2917" s="6" t="inlineStr">
        <is>
          <t>RTX_Paycheck_25_37</t>
        </is>
      </c>
      <c r="G2917" s="7" t="n"/>
      <c r="H2917" s="9" t="inlineStr">
        <is>
          <t>CO Paid Family Leave Insurance</t>
        </is>
      </c>
      <c r="I2917" s="9" t="n"/>
      <c r="J2917" s="9" t="n"/>
      <c r="K2917" s="9" t="n">
        <v>18.91</v>
      </c>
    </row>
    <row r="2918" ht="15" customFormat="1" customHeight="1" s="5">
      <c r="A2918" s="81" t="n">
        <v>45806</v>
      </c>
      <c r="B2918" s="82" t="n">
        <v>0.2916666666666667</v>
      </c>
      <c r="C2918" s="5" t="inlineStr">
        <is>
          <t>Anthem BcBs</t>
        </is>
      </c>
      <c r="D2918" s="5" t="n">
        <v>1</v>
      </c>
      <c r="F2918" s="6" t="inlineStr">
        <is>
          <t>RTX_Paycheck_25_37</t>
        </is>
      </c>
      <c r="G2918" s="7" t="n"/>
      <c r="H2918" s="9" t="inlineStr">
        <is>
          <t>Medical Insurance</t>
        </is>
      </c>
      <c r="I2918" s="9" t="n"/>
      <c r="J2918" s="9" t="n"/>
      <c r="K2918" s="9" t="n">
        <v>262.56</v>
      </c>
    </row>
    <row r="2919" ht="15" customFormat="1" customHeight="1" s="5">
      <c r="A2919" s="81" t="n">
        <v>45806</v>
      </c>
      <c r="B2919" s="82" t="n">
        <v>0.2916666666666667</v>
      </c>
      <c r="C2919" s="5" t="inlineStr">
        <is>
          <t>Alight</t>
        </is>
      </c>
      <c r="D2919" s="5" t="n">
        <v>1</v>
      </c>
      <c r="F2919" s="6" t="inlineStr">
        <is>
          <t>RTX_Paycheck_25_37</t>
        </is>
      </c>
      <c r="G2919" s="7" t="n"/>
      <c r="H2919" s="9" t="inlineStr">
        <is>
          <t>401k Basic -- Traditional</t>
        </is>
      </c>
      <c r="I2919" s="9" t="n"/>
      <c r="J2919" s="9" t="n"/>
      <c r="K2919" s="9" t="n">
        <v>210.05</v>
      </c>
    </row>
    <row r="2920" ht="15" customFormat="1" customHeight="1" s="5">
      <c r="A2920" s="81" t="n">
        <v>45806</v>
      </c>
      <c r="B2920" s="82" t="n">
        <v>0.2916666666666667</v>
      </c>
      <c r="C2920" s="5" t="inlineStr">
        <is>
          <t>Alight</t>
        </is>
      </c>
      <c r="D2920" s="5" t="n">
        <v>1</v>
      </c>
      <c r="F2920" s="6" t="inlineStr">
        <is>
          <t>RTX_Paycheck_25_37</t>
        </is>
      </c>
      <c r="G2920" s="7" t="n"/>
      <c r="H2920" s="9" t="inlineStr">
        <is>
          <t>Roth 401k Basic</t>
        </is>
      </c>
      <c r="I2920" s="9" t="n"/>
      <c r="J2920" s="9" t="n"/>
      <c r="K2920" s="9" t="n">
        <v>42.01</v>
      </c>
    </row>
    <row r="2921" ht="15" customFormat="1" customHeight="1" s="5">
      <c r="A2921" s="81" t="n">
        <v>45803</v>
      </c>
      <c r="B2921" s="82" t="n">
        <v>0.3666666666666666</v>
      </c>
      <c r="C2921" s="5" t="inlineStr">
        <is>
          <t>Safeway</t>
        </is>
      </c>
      <c r="E2921" s="5" t="n">
        <v>1</v>
      </c>
      <c r="F2921" s="6" t="inlineStr">
        <is>
          <t>00261205100272505260848</t>
        </is>
      </c>
      <c r="G2921" s="10" t="n"/>
      <c r="H2921" s="18" t="inlineStr">
        <is>
          <t>Cabbage Green @$0.88/lb</t>
        </is>
      </c>
      <c r="I2921" s="9" t="n">
        <v>4.27</v>
      </c>
      <c r="J2921" s="9" t="inlineStr">
        <is>
          <t>lb</t>
        </is>
      </c>
      <c r="K2921" s="85" t="n">
        <v>3.75</v>
      </c>
    </row>
    <row r="2922" ht="15" customFormat="1" customHeight="1" s="5">
      <c r="A2922" s="81" t="n">
        <v>45803</v>
      </c>
      <c r="B2922" s="82" t="n">
        <v>0.3666666666666666</v>
      </c>
      <c r="C2922" s="5" t="inlineStr">
        <is>
          <t>Safeway</t>
        </is>
      </c>
      <c r="E2922" s="5" t="n">
        <v>1</v>
      </c>
      <c r="F2922" s="6" t="inlineStr">
        <is>
          <t>00261205100272505260848</t>
        </is>
      </c>
      <c r="G2922" s="10" t="n"/>
      <c r="H2922" s="18" t="inlineStr">
        <is>
          <t>Signature Select Bread Crumb Panko Regular 8 Ounce</t>
        </is>
      </c>
      <c r="I2922" s="9" t="n">
        <v>8</v>
      </c>
      <c r="J2922" s="9" t="inlineStr">
        <is>
          <t>oz</t>
        </is>
      </c>
      <c r="K2922" s="85" t="n">
        <v>2.21</v>
      </c>
    </row>
    <row r="2923" ht="15" customFormat="1" customHeight="1" s="5">
      <c r="A2923" s="81" t="n">
        <v>45803</v>
      </c>
      <c r="B2923" s="82" t="n">
        <v>0.3666666666666666</v>
      </c>
      <c r="C2923" s="5" t="inlineStr">
        <is>
          <t>Safeway</t>
        </is>
      </c>
      <c r="E2923" s="5" t="n">
        <v>1</v>
      </c>
      <c r="F2923" s="6" t="inlineStr">
        <is>
          <t>00261205100272505260848</t>
        </is>
      </c>
      <c r="G2923" s="10" t="n"/>
      <c r="H2923" s="18" t="inlineStr">
        <is>
          <t>Bell Peppers Green</t>
        </is>
      </c>
      <c r="I2923" s="9" t="n">
        <v>1</v>
      </c>
      <c r="J2923" s="9" t="inlineStr">
        <is>
          <t>cnt</t>
        </is>
      </c>
      <c r="K2923" s="85" t="n">
        <v>1.15</v>
      </c>
    </row>
    <row r="2924" ht="15" customFormat="1" customHeight="1" s="5">
      <c r="A2924" s="81" t="n">
        <v>45803</v>
      </c>
      <c r="B2924" s="82" t="n">
        <v>0.3666666666666666</v>
      </c>
      <c r="C2924" s="5" t="inlineStr">
        <is>
          <t>Safeway</t>
        </is>
      </c>
      <c r="E2924" s="5" t="n">
        <v>1</v>
      </c>
      <c r="F2924" s="6" t="inlineStr">
        <is>
          <t>00261205100272505260848</t>
        </is>
      </c>
      <c r="G2924" s="10" t="n"/>
      <c r="H2924" s="9" t="inlineStr">
        <is>
          <t>Tax</t>
        </is>
      </c>
      <c r="I2924" s="9" t="n">
        <v>7</v>
      </c>
      <c r="J2924" s="9" t="inlineStr">
        <is>
          <t>cnt</t>
        </is>
      </c>
      <c r="K2924" s="85" t="n">
        <v>0</v>
      </c>
    </row>
    <row r="2925" ht="15" customFormat="1" customHeight="1" s="5">
      <c r="A2925" s="81" t="n">
        <v>45803</v>
      </c>
      <c r="B2925" s="82" t="n">
        <v>0.3666666666666666</v>
      </c>
      <c r="C2925" s="5" t="inlineStr">
        <is>
          <t>Safeway</t>
        </is>
      </c>
      <c r="E2925" s="5" t="n">
        <v>1</v>
      </c>
      <c r="F2925" s="6" t="inlineStr">
        <is>
          <t>00261205100272505260848</t>
        </is>
      </c>
      <c r="G2925" s="10" t="n"/>
      <c r="H2925" s="18" t="inlineStr">
        <is>
          <t>Signature Select Fruit Cocktail In Heavy Syrup 30 Ounce</t>
        </is>
      </c>
      <c r="I2925" s="9" t="n">
        <v>30</v>
      </c>
      <c r="J2925" s="9" t="inlineStr">
        <is>
          <t>oz</t>
        </is>
      </c>
      <c r="K2925" s="85" t="n">
        <v>3.09</v>
      </c>
    </row>
    <row r="2926" ht="15" customFormat="1" customHeight="1" s="5">
      <c r="A2926" s="81" t="n">
        <v>45803</v>
      </c>
      <c r="B2926" s="82" t="n">
        <v>0.3666666666666666</v>
      </c>
      <c r="C2926" s="5" t="inlineStr">
        <is>
          <t>Safeway</t>
        </is>
      </c>
      <c r="E2926" s="5" t="n">
        <v>1</v>
      </c>
      <c r="F2926" s="6" t="inlineStr">
        <is>
          <t>00261205100272505260848</t>
        </is>
      </c>
      <c r="G2926" s="10" t="n"/>
      <c r="H2926" s="18" t="inlineStr">
        <is>
          <t>Jello Strawberry Gelatin Mix</t>
        </is>
      </c>
      <c r="I2926" s="9" t="n">
        <v>6</v>
      </c>
      <c r="J2926" s="9" t="inlineStr">
        <is>
          <t>oz</t>
        </is>
      </c>
      <c r="K2926" s="85" t="n">
        <v>1.78</v>
      </c>
    </row>
    <row r="2927" ht="15" customFormat="1" customHeight="1" s="5">
      <c r="A2927" s="81" t="n">
        <v>45803</v>
      </c>
      <c r="B2927" s="82" t="n">
        <v>0.3666666666666666</v>
      </c>
      <c r="C2927" s="5" t="inlineStr">
        <is>
          <t>Safeway</t>
        </is>
      </c>
      <c r="E2927" s="5" t="n">
        <v>1</v>
      </c>
      <c r="F2927" s="6" t="inlineStr">
        <is>
          <t>00261205100272505260848</t>
        </is>
      </c>
      <c r="G2927" s="10" t="n"/>
      <c r="H2927" s="18" t="inlineStr">
        <is>
          <t>Jello Raspberry Gelatin Mix</t>
        </is>
      </c>
      <c r="I2927" s="9" t="n">
        <v>3</v>
      </c>
      <c r="J2927" s="9" t="inlineStr">
        <is>
          <t>oz</t>
        </is>
      </c>
      <c r="K2927" s="85" t="n">
        <v>1.49</v>
      </c>
    </row>
    <row r="2928" ht="15" customFormat="1" customHeight="1" s="5">
      <c r="A2928" s="81" t="n">
        <v>45803</v>
      </c>
      <c r="B2928" s="82" t="n">
        <v>0.3666666666666666</v>
      </c>
      <c r="C2928" s="5" t="inlineStr">
        <is>
          <t>Safeway</t>
        </is>
      </c>
      <c r="E2928" s="5" t="n">
        <v>1</v>
      </c>
      <c r="F2928" s="6" t="inlineStr">
        <is>
          <t>00261205100272505260848</t>
        </is>
      </c>
      <c r="G2928" s="10" t="n"/>
      <c r="H2928" s="18" t="inlineStr">
        <is>
          <t>Value Corner Whole Milk</t>
        </is>
      </c>
      <c r="I2928" s="9" t="n">
        <v>1</v>
      </c>
      <c r="J2928" s="9" t="inlineStr">
        <is>
          <t>gal</t>
        </is>
      </c>
      <c r="K2928" s="85" t="n">
        <v>3.49</v>
      </c>
    </row>
    <row r="2929" ht="15" customFormat="1" customHeight="1" s="5">
      <c r="A2929" s="81" t="n">
        <v>45803</v>
      </c>
      <c r="B2929" s="82" t="n">
        <v>0.3326388888888889</v>
      </c>
      <c r="C2929" s="5" t="inlineStr">
        <is>
          <t>Amazon</t>
        </is>
      </c>
      <c r="D2929" s="5" t="n">
        <v>1</v>
      </c>
      <c r="F2929" s="6" t="inlineStr">
        <is>
          <t>111-2702820-0350632</t>
        </is>
      </c>
      <c r="G2929" s="10" t="n"/>
      <c r="H2929" s="18" t="inlineStr">
        <is>
          <t>Wooden Digital Alarm Clock with Dual USB Charging Ports, DST, Dimmable, Snooze, RGB Colors, Modern Large Time Display LED Clock for Kids Bedrooms, Living Room, Desk, Table, Bedside, Nightstand (Brown)</t>
        </is>
      </c>
      <c r="I2929" s="9" t="n">
        <v>1</v>
      </c>
      <c r="J2929" s="9" t="inlineStr">
        <is>
          <t>cnt</t>
        </is>
      </c>
      <c r="K2929" s="9" t="n">
        <v>21.99</v>
      </c>
    </row>
    <row r="2930" ht="15" customFormat="1" customHeight="1" s="5">
      <c r="A2930" s="81" t="n">
        <v>45803</v>
      </c>
      <c r="B2930" s="82" t="n">
        <v>0.3326388888888889</v>
      </c>
      <c r="C2930" s="5" t="inlineStr">
        <is>
          <t>Amazon</t>
        </is>
      </c>
      <c r="D2930" s="5" t="n">
        <v>1</v>
      </c>
      <c r="F2930" s="6" t="inlineStr">
        <is>
          <t>111-2702820-0350632</t>
        </is>
      </c>
      <c r="G2930" s="10" t="n"/>
      <c r="H2930" s="18" t="inlineStr">
        <is>
          <t>uscce Wooden Digital Alarm Clocks for Bedrooms: Dimmable Dual Alarm Clock with Large Numbers for Bedside Desk - Loud Alarm for Heavy Sleepers with Volume Control - Wood Decor &amp; Gifts</t>
        </is>
      </c>
      <c r="I2930" s="9" t="n">
        <v>1</v>
      </c>
      <c r="J2930" s="9" t="inlineStr">
        <is>
          <t>cnt</t>
        </is>
      </c>
      <c r="K2930" s="9" t="n">
        <v>14.99</v>
      </c>
    </row>
    <row r="2931" ht="15" customFormat="1" customHeight="1" s="5">
      <c r="A2931" s="81" t="n">
        <v>45803</v>
      </c>
      <c r="B2931" s="82" t="n">
        <v>0.3326388888888889</v>
      </c>
      <c r="C2931" s="5" t="inlineStr">
        <is>
          <t>Amazon</t>
        </is>
      </c>
      <c r="D2931" s="5" t="n">
        <v>1</v>
      </c>
      <c r="F2931" s="6" t="inlineStr">
        <is>
          <t>111-2702820-0350632</t>
        </is>
      </c>
      <c r="G2931" s="10" t="n"/>
      <c r="H2931" s="9" t="inlineStr">
        <is>
          <t>Tax</t>
        </is>
      </c>
      <c r="I2931" s="9" t="n">
        <v>2</v>
      </c>
      <c r="J2931" s="9" t="inlineStr">
        <is>
          <t>cnt</t>
        </is>
      </c>
      <c r="K2931" s="9" t="n">
        <v>2.49</v>
      </c>
    </row>
    <row r="2932" ht="15" customFormat="1" customHeight="1" s="5">
      <c r="A2932" s="81" t="n">
        <v>45803</v>
      </c>
      <c r="B2932" s="82" t="n">
        <v>0.3326388888888889</v>
      </c>
      <c r="C2932" s="5" t="inlineStr">
        <is>
          <t>Amazon</t>
        </is>
      </c>
      <c r="D2932" s="5" t="n">
        <v>1</v>
      </c>
      <c r="F2932" s="6" t="inlineStr">
        <is>
          <t>111-2702820-0350632</t>
        </is>
      </c>
      <c r="G2932" s="10" t="n"/>
      <c r="H2932" s="9" t="inlineStr">
        <is>
          <t>CO Retail Delivery Fees</t>
        </is>
      </c>
      <c r="I2932" s="9" t="n">
        <v>2</v>
      </c>
      <c r="J2932" s="9" t="inlineStr">
        <is>
          <t>cnt</t>
        </is>
      </c>
      <c r="K2932" s="9" t="n">
        <v>0.29</v>
      </c>
    </row>
    <row r="2933" ht="15" customFormat="1" customHeight="1" s="5">
      <c r="A2933" s="81" t="n">
        <v>45803</v>
      </c>
      <c r="B2933" s="82" t="n">
        <v>0.3326388888888889</v>
      </c>
      <c r="C2933" s="5" t="inlineStr">
        <is>
          <t>Amazon</t>
        </is>
      </c>
      <c r="D2933" s="5" t="n">
        <v>1</v>
      </c>
      <c r="F2933" s="6" t="inlineStr">
        <is>
          <t>111-2702820-0350632</t>
        </is>
      </c>
      <c r="G2933" s="10" t="n"/>
      <c r="H2933" s="18" t="inlineStr">
        <is>
          <t>**DISCOUNT** Amazon Coupon</t>
        </is>
      </c>
      <c r="I2933" s="9" t="n">
        <v>1</v>
      </c>
      <c r="J2933" s="9" t="inlineStr">
        <is>
          <t>cnt</t>
        </is>
      </c>
      <c r="K2933" s="9" t="n">
        <v>-2.25</v>
      </c>
    </row>
    <row r="2934" ht="15" customFormat="1" customHeight="1" s="5">
      <c r="A2934" s="81" t="n">
        <v>45802</v>
      </c>
      <c r="B2934" s="82" t="n">
        <v>0.5659606481481482</v>
      </c>
      <c r="C2934" s="5" t="inlineStr">
        <is>
          <t>Star of India</t>
        </is>
      </c>
      <c r="E2934" s="5" t="n">
        <v>1</v>
      </c>
      <c r="F2934" s="6" t="inlineStr">
        <is>
          <t>005775</t>
        </is>
      </c>
      <c r="G2934" s="17" t="n"/>
      <c r="H2934" s="9" t="inlineStr">
        <is>
          <t>Adult lunch buffet</t>
        </is>
      </c>
      <c r="I2934" s="5" t="n">
        <v>1</v>
      </c>
      <c r="J2934" s="5" t="inlineStr">
        <is>
          <t>cnt</t>
        </is>
      </c>
      <c r="K2934" s="5" t="n">
        <v>17.99</v>
      </c>
    </row>
    <row r="2935" ht="15" customFormat="1" customHeight="1" s="5">
      <c r="A2935" s="81" t="n">
        <v>45802</v>
      </c>
      <c r="B2935" s="82" t="n">
        <v>0.5659606481481482</v>
      </c>
      <c r="C2935" s="5" t="inlineStr">
        <is>
          <t>Star of India</t>
        </is>
      </c>
      <c r="E2935" s="5" t="n">
        <v>1</v>
      </c>
      <c r="F2935" s="6" t="inlineStr">
        <is>
          <t>005775</t>
        </is>
      </c>
      <c r="G2935" s="17" t="n"/>
      <c r="H2935" s="9" t="inlineStr">
        <is>
          <t>Adult lunch buffet</t>
        </is>
      </c>
      <c r="I2935" s="5" t="n">
        <v>1</v>
      </c>
      <c r="J2935" s="5" t="inlineStr">
        <is>
          <t>cnt</t>
        </is>
      </c>
      <c r="K2935" s="5" t="n">
        <v>17.99</v>
      </c>
    </row>
    <row r="2936" ht="15" customFormat="1" customHeight="1" s="5">
      <c r="A2936" s="81" t="n">
        <v>45802</v>
      </c>
      <c r="B2936" s="82" t="n">
        <v>0.5659606481481482</v>
      </c>
      <c r="C2936" s="5" t="inlineStr">
        <is>
          <t>Star of India</t>
        </is>
      </c>
      <c r="E2936" s="5" t="n">
        <v>1</v>
      </c>
      <c r="F2936" s="6" t="inlineStr">
        <is>
          <t>005775</t>
        </is>
      </c>
      <c r="G2936" s="17" t="n"/>
      <c r="H2936" s="9" t="inlineStr">
        <is>
          <t>Tip</t>
        </is>
      </c>
      <c r="I2936" s="5" t="n">
        <v>3</v>
      </c>
      <c r="J2936" s="5" t="inlineStr">
        <is>
          <t>cnt</t>
        </is>
      </c>
      <c r="K2936" s="5" t="n">
        <v>9.960000000000001</v>
      </c>
    </row>
    <row r="2937" ht="15" customFormat="1" customHeight="1" s="5">
      <c r="A2937" s="81" t="n">
        <v>45802</v>
      </c>
      <c r="B2937" s="82" t="n">
        <v>0.5659606481481482</v>
      </c>
      <c r="C2937" s="5" t="inlineStr">
        <is>
          <t>Star of India</t>
        </is>
      </c>
      <c r="E2937" s="5" t="n">
        <v>1</v>
      </c>
      <c r="F2937" s="6" t="inlineStr">
        <is>
          <t>005775</t>
        </is>
      </c>
      <c r="G2937" s="17" t="n"/>
      <c r="H2937" s="9" t="inlineStr">
        <is>
          <t>Inflation fee 3.25%</t>
        </is>
      </c>
      <c r="K2937" s="5" t="n">
        <v>1.75</v>
      </c>
    </row>
    <row r="2938" ht="15" customFormat="1" customHeight="1" s="5">
      <c r="A2938" s="81" t="n">
        <v>45802</v>
      </c>
      <c r="B2938" s="82" t="n">
        <v>0.5659606481481482</v>
      </c>
      <c r="C2938" s="5" t="inlineStr">
        <is>
          <t>Star of India</t>
        </is>
      </c>
      <c r="E2938" s="5" t="n">
        <v>1</v>
      </c>
      <c r="F2938" s="6" t="inlineStr">
        <is>
          <t>005775</t>
        </is>
      </c>
      <c r="G2938" s="17" t="n"/>
      <c r="H2938" s="9" t="inlineStr">
        <is>
          <t>Sales Tax 8.0%</t>
        </is>
      </c>
      <c r="I2938" s="5" t="n">
        <v>3</v>
      </c>
      <c r="J2938" s="5" t="inlineStr">
        <is>
          <t>cnt</t>
        </is>
      </c>
      <c r="K2938" s="5" t="n">
        <v>4.32</v>
      </c>
    </row>
    <row r="2939" ht="15" customFormat="1" customHeight="1" s="5">
      <c r="A2939" s="81" t="n">
        <v>45802</v>
      </c>
      <c r="B2939" s="82" t="n">
        <v>0.5659606481481482</v>
      </c>
      <c r="C2939" s="5" t="inlineStr">
        <is>
          <t>Star of India</t>
        </is>
      </c>
      <c r="E2939" s="5" t="n">
        <v>1</v>
      </c>
      <c r="F2939" s="6" t="inlineStr">
        <is>
          <t>005775</t>
        </is>
      </c>
      <c r="G2939" s="17" t="n"/>
      <c r="H2939" s="9" t="inlineStr">
        <is>
          <t>Adult lunch buffet</t>
        </is>
      </c>
      <c r="I2939" s="5" t="n">
        <v>1</v>
      </c>
      <c r="J2939" s="5" t="inlineStr">
        <is>
          <t>cnt</t>
        </is>
      </c>
      <c r="K2939" s="5" t="n">
        <v>17.99</v>
      </c>
    </row>
    <row r="2940" ht="15" customFormat="1" customHeight="1" s="5">
      <c r="A2940" s="81" t="n">
        <v>45801</v>
      </c>
      <c r="B2940" s="82" t="n">
        <v>0.8069444444444445</v>
      </c>
      <c r="C2940" s="5" t="inlineStr">
        <is>
          <t>Safeway</t>
        </is>
      </c>
      <c r="E2940" s="5" t="n">
        <v>1</v>
      </c>
      <c r="F2940" s="6" t="inlineStr">
        <is>
          <t>452206451820</t>
        </is>
      </c>
      <c r="G2940" s="10" t="n"/>
      <c r="H2940" s="9" t="inlineStr">
        <is>
          <t>Signature SELECT Paprika - 2.12 Oz</t>
        </is>
      </c>
      <c r="I2940" s="9" t="n">
        <v>2.12</v>
      </c>
      <c r="J2940" s="9" t="inlineStr">
        <is>
          <t>oz</t>
        </is>
      </c>
      <c r="K2940" s="85" t="n">
        <v>3.31</v>
      </c>
    </row>
    <row r="2941" ht="15" customFormat="1" customHeight="1" s="5">
      <c r="A2941" s="81" t="n">
        <v>45801</v>
      </c>
      <c r="B2941" s="82" t="n">
        <v>0.8069444444444445</v>
      </c>
      <c r="C2941" s="5" t="inlineStr">
        <is>
          <t>Safeway</t>
        </is>
      </c>
      <c r="E2941" s="5" t="n">
        <v>1</v>
      </c>
      <c r="F2941" s="6" t="inlineStr">
        <is>
          <t>452206451820</t>
        </is>
      </c>
      <c r="G2941" s="10" t="n"/>
      <c r="H2941" s="9" t="inlineStr">
        <is>
          <t>Breyers Mint Chocolate Chip Ice Cream - 48 Oz</t>
        </is>
      </c>
      <c r="I2941" s="9" t="n">
        <v>48</v>
      </c>
      <c r="J2941" s="9" t="inlineStr">
        <is>
          <t>oz</t>
        </is>
      </c>
      <c r="K2941" s="85" t="n">
        <v>3.3</v>
      </c>
    </row>
    <row r="2942" ht="15" customFormat="1" customHeight="1" s="5">
      <c r="A2942" s="81" t="n">
        <v>45801</v>
      </c>
      <c r="B2942" s="82" t="n">
        <v>0.8069444444444445</v>
      </c>
      <c r="C2942" s="5" t="inlineStr">
        <is>
          <t>Safeway</t>
        </is>
      </c>
      <c r="E2942" s="5" t="n">
        <v>1</v>
      </c>
      <c r="F2942" s="6" t="inlineStr">
        <is>
          <t>452206451820</t>
        </is>
      </c>
      <c r="G2942" s="10" t="n"/>
      <c r="H2942" s="9" t="inlineStr">
        <is>
          <t xml:space="preserve">REESE'S Peanut Butter Cups &amp; Peanut Butter Swirl Ice Cream - 48 Oz </t>
        </is>
      </c>
      <c r="I2942" s="9" t="n">
        <v>48</v>
      </c>
      <c r="J2942" s="9" t="inlineStr">
        <is>
          <t>oz</t>
        </is>
      </c>
      <c r="K2942" s="85" t="n">
        <v>3.29</v>
      </c>
    </row>
    <row r="2943" ht="15" customFormat="1" customHeight="1" s="5">
      <c r="A2943" s="81" t="n">
        <v>45801</v>
      </c>
      <c r="B2943" s="82" t="n">
        <v>0.8069444444444445</v>
      </c>
      <c r="C2943" s="5" t="inlineStr">
        <is>
          <t>Safeway</t>
        </is>
      </c>
      <c r="E2943" s="5" t="n">
        <v>1</v>
      </c>
      <c r="F2943" s="6" t="inlineStr">
        <is>
          <t>452206451820</t>
        </is>
      </c>
      <c r="G2943" s="10" t="n"/>
      <c r="H2943" s="9" t="inlineStr">
        <is>
          <t>Tax</t>
        </is>
      </c>
      <c r="I2943" s="9" t="n">
        <v>3</v>
      </c>
      <c r="J2943" s="9" t="inlineStr">
        <is>
          <t>cnt</t>
        </is>
      </c>
      <c r="K2943" s="85" t="n">
        <v>0</v>
      </c>
    </row>
    <row r="2944" ht="15" customFormat="1" customHeight="1" s="5">
      <c r="A2944" s="81" t="n">
        <v>45801</v>
      </c>
      <c r="B2944" s="78" t="n">
        <v>0.2916666666666667</v>
      </c>
      <c r="C2944" s="35" t="inlineStr">
        <is>
          <t>BELLA Health + Wellness</t>
        </is>
      </c>
      <c r="D2944" s="35" t="n">
        <v>1</v>
      </c>
      <c r="E2944" s="35" t="n"/>
      <c r="F2944" s="47" t="inlineStr">
        <is>
          <t>None_FullyCovered</t>
        </is>
      </c>
      <c r="G2944" s="17" t="inlineStr">
        <is>
          <t>2025144BF7249</t>
        </is>
      </c>
      <c r="H2944" s="9" t="inlineStr">
        <is>
          <t>5/21 Sheva 9mo wellness appointment</t>
        </is>
      </c>
      <c r="I2944" s="5" t="n">
        <v>1</v>
      </c>
      <c r="J2944" s="5" t="inlineStr">
        <is>
          <t>cnt</t>
        </is>
      </c>
      <c r="K2944" s="5" t="n">
        <v>0</v>
      </c>
    </row>
    <row r="2945" ht="15" customFormat="1" customHeight="1" s="5">
      <c r="A2945" s="81" t="n">
        <v>45800</v>
      </c>
      <c r="B2945" s="82" t="n">
        <v>0.7506944444444444</v>
      </c>
      <c r="C2945" s="5" t="inlineStr">
        <is>
          <t>Safeway</t>
        </is>
      </c>
      <c r="E2945" s="5" t="n">
        <v>1</v>
      </c>
      <c r="F2945" s="6" t="inlineStr">
        <is>
          <t>2612 51 125 8851</t>
        </is>
      </c>
      <c r="G2945" s="6" t="inlineStr">
        <is>
          <t>7403020300</t>
        </is>
      </c>
      <c r="H2945" s="9" t="inlineStr">
        <is>
          <t>Galbani Cheese Ricotta Whole Milk - 32 Oz</t>
        </is>
      </c>
      <c r="I2945" s="9" t="n">
        <v>32</v>
      </c>
      <c r="J2945" s="9" t="inlineStr">
        <is>
          <t>oz</t>
        </is>
      </c>
      <c r="K2945" s="85" t="n">
        <v>7.99</v>
      </c>
    </row>
    <row r="2946" ht="15" customFormat="1" customHeight="1" s="5">
      <c r="A2946" s="81" t="n">
        <v>45800</v>
      </c>
      <c r="B2946" s="82" t="n">
        <v>0.7506944444444444</v>
      </c>
      <c r="C2946" s="5" t="inlineStr">
        <is>
          <t>Safeway</t>
        </is>
      </c>
      <c r="E2946" s="5" t="n">
        <v>1</v>
      </c>
      <c r="F2946" s="6" t="inlineStr">
        <is>
          <t>2612 51 125 8851</t>
        </is>
      </c>
      <c r="G2946" s="10" t="n"/>
      <c r="H2946" s="9" t="inlineStr">
        <is>
          <t>**DISCOUNT** Ricotta Cheese</t>
        </is>
      </c>
      <c r="I2946" s="9" t="n">
        <v>32</v>
      </c>
      <c r="J2946" s="9" t="inlineStr">
        <is>
          <t>oz</t>
        </is>
      </c>
      <c r="K2946" s="85" t="n">
        <v>-2.3</v>
      </c>
    </row>
    <row r="2947" ht="15" customFormat="1" customHeight="1" s="5">
      <c r="A2947" s="81" t="n">
        <v>45800</v>
      </c>
      <c r="B2947" s="82" t="n">
        <v>0.7409953703703703</v>
      </c>
      <c r="C2947" s="5" t="inlineStr">
        <is>
          <t>H-Mart</t>
        </is>
      </c>
      <c r="E2947" s="5" t="n">
        <v>1</v>
      </c>
      <c r="F2947" s="6" t="inlineStr">
        <is>
          <t>15162 091606</t>
        </is>
      </c>
      <c r="G2947" s="10" t="n"/>
      <c r="H2947" s="9" t="inlineStr">
        <is>
          <t>Seasoned Shredded Squid @$19.99/lb</t>
        </is>
      </c>
      <c r="I2947" s="9" t="n">
        <v>0.355</v>
      </c>
      <c r="J2947" s="9" t="inlineStr">
        <is>
          <t>lb</t>
        </is>
      </c>
      <c r="K2947" s="85" t="inlineStr">
        <is>
          <t>7.10 T</t>
        </is>
      </c>
    </row>
    <row r="2948" ht="15" customFormat="1" customHeight="1" s="5">
      <c r="A2948" s="81" t="n">
        <v>45800</v>
      </c>
      <c r="B2948" s="82" t="n">
        <v>0.7409953703703703</v>
      </c>
      <c r="C2948" s="5" t="inlineStr">
        <is>
          <t>H-Mart</t>
        </is>
      </c>
      <c r="E2948" s="5" t="n">
        <v>1</v>
      </c>
      <c r="F2948" s="6" t="inlineStr">
        <is>
          <t>15162 091606</t>
        </is>
      </c>
      <c r="G2948" s="10" t="n"/>
      <c r="H2948" s="9" t="inlineStr">
        <is>
          <t>LT Red Bean Cake w Mochi Ice Cream Fish Bar 5 x 150 mL</t>
        </is>
      </c>
      <c r="I2948" s="9" t="n">
        <v>750</v>
      </c>
      <c r="J2948" s="9" t="inlineStr">
        <is>
          <t>mL</t>
        </is>
      </c>
      <c r="K2948" s="85" t="n">
        <v>6.99</v>
      </c>
    </row>
    <row r="2949" ht="15" customFormat="1" customHeight="1" s="5">
      <c r="A2949" s="81" t="n">
        <v>45800</v>
      </c>
      <c r="B2949" s="82" t="n">
        <v>0.7409953703703703</v>
      </c>
      <c r="C2949" s="5" t="inlineStr">
        <is>
          <t>H-Mart</t>
        </is>
      </c>
      <c r="E2949" s="5" t="n">
        <v>1</v>
      </c>
      <c r="F2949" s="6" t="inlineStr">
        <is>
          <t>15162 091606</t>
        </is>
      </c>
      <c r="G2949" s="10" t="n"/>
      <c r="H2949" s="9" t="inlineStr">
        <is>
          <t>LT Choco Pie Green Tea 28grams x 12</t>
        </is>
      </c>
      <c r="I2949" s="9" t="n">
        <v>336</v>
      </c>
      <c r="J2949" s="9" t="inlineStr">
        <is>
          <t>g</t>
        </is>
      </c>
      <c r="K2949" s="85" t="n">
        <v>5.99</v>
      </c>
    </row>
    <row r="2950" ht="15" customFormat="1" customHeight="1" s="5">
      <c r="A2950" s="81" t="n">
        <v>45800</v>
      </c>
      <c r="B2950" s="82" t="n">
        <v>0.7409953703703703</v>
      </c>
      <c r="C2950" s="5" t="inlineStr">
        <is>
          <t>H-Mart</t>
        </is>
      </c>
      <c r="E2950" s="5" t="n">
        <v>1</v>
      </c>
      <c r="F2950" s="6" t="inlineStr">
        <is>
          <t>15162 091606</t>
        </is>
      </c>
      <c r="G2950" s="10" t="n"/>
      <c r="H2950" s="9" t="inlineStr">
        <is>
          <t>LT Choco Pie Green Tea 28grams x 12</t>
        </is>
      </c>
      <c r="I2950" s="9" t="n">
        <v>336</v>
      </c>
      <c r="J2950" s="9" t="inlineStr">
        <is>
          <t>g</t>
        </is>
      </c>
      <c r="K2950" s="85" t="n">
        <v>-1.01</v>
      </c>
    </row>
    <row r="2951" ht="15" customFormat="1" customHeight="1" s="5">
      <c r="A2951" s="81" t="n">
        <v>45800</v>
      </c>
      <c r="B2951" s="82" t="n">
        <v>0.7409953703703703</v>
      </c>
      <c r="C2951" s="5" t="inlineStr">
        <is>
          <t>H-Mart</t>
        </is>
      </c>
      <c r="E2951" s="5" t="n">
        <v>1</v>
      </c>
      <c r="F2951" s="6" t="inlineStr">
        <is>
          <t>15162 091606</t>
        </is>
      </c>
      <c r="G2951" s="10" t="n"/>
      <c r="H2951" s="9" t="inlineStr">
        <is>
          <t>Sweet Basil @$7.99/lb</t>
        </is>
      </c>
      <c r="I2951" s="9" t="n">
        <v>1.12</v>
      </c>
      <c r="J2951" s="9" t="inlineStr">
        <is>
          <t>lb</t>
        </is>
      </c>
      <c r="K2951" s="85" t="n">
        <v>8.949999999999999</v>
      </c>
    </row>
    <row r="2952" ht="15" customFormat="1" customHeight="1" s="5">
      <c r="A2952" s="81" t="n">
        <v>45800</v>
      </c>
      <c r="B2952" s="82" t="n">
        <v>0.7409953703703703</v>
      </c>
      <c r="C2952" s="5" t="inlineStr">
        <is>
          <t>H-Mart</t>
        </is>
      </c>
      <c r="E2952" s="5" t="n">
        <v>1</v>
      </c>
      <c r="F2952" s="6" t="inlineStr">
        <is>
          <t>15162 091606</t>
        </is>
      </c>
      <c r="G2952" s="10" t="n"/>
      <c r="H2952" s="9" t="inlineStr">
        <is>
          <t>Persian Cucumber 4 cnt @$2.79/lb</t>
        </is>
      </c>
      <c r="I2952" s="9" t="n">
        <v>1.21</v>
      </c>
      <c r="J2952" s="9" t="inlineStr">
        <is>
          <t>lb</t>
        </is>
      </c>
      <c r="K2952" s="85" t="n">
        <v>3.38</v>
      </c>
    </row>
    <row r="2953" ht="15" customFormat="1" customHeight="1" s="5">
      <c r="A2953" s="81" t="n">
        <v>45800</v>
      </c>
      <c r="B2953" s="82" t="n">
        <v>0.7409953703703703</v>
      </c>
      <c r="C2953" s="5" t="inlineStr">
        <is>
          <t>H-Mart</t>
        </is>
      </c>
      <c r="E2953" s="5" t="n">
        <v>1</v>
      </c>
      <c r="F2953" s="6" t="inlineStr">
        <is>
          <t>15162 091606</t>
        </is>
      </c>
      <c r="G2953" s="10" t="n"/>
      <c r="H2953" s="9" t="inlineStr">
        <is>
          <t>Shanghai Bok Choy USA @$1.79/lb</t>
        </is>
      </c>
      <c r="I2953" s="9" t="n">
        <v>1.83</v>
      </c>
      <c r="J2953" s="9" t="inlineStr">
        <is>
          <t>lb</t>
        </is>
      </c>
      <c r="K2953" s="85" t="n">
        <v>3.28</v>
      </c>
    </row>
    <row r="2954" ht="15" customFormat="1" customHeight="1" s="5">
      <c r="A2954" s="81" t="n">
        <v>45800</v>
      </c>
      <c r="B2954" s="82" t="n">
        <v>0.7409953703703703</v>
      </c>
      <c r="C2954" s="5" t="inlineStr">
        <is>
          <t>H-Mart</t>
        </is>
      </c>
      <c r="E2954" s="5" t="n">
        <v>1</v>
      </c>
      <c r="F2954" s="6" t="inlineStr">
        <is>
          <t>15162 091606</t>
        </is>
      </c>
      <c r="G2954" s="10" t="n"/>
      <c r="H2954" s="9" t="inlineStr">
        <is>
          <t>Tax1</t>
        </is>
      </c>
      <c r="I2954" s="9" t="n">
        <v>5</v>
      </c>
      <c r="J2954" s="9" t="inlineStr">
        <is>
          <t>cnt</t>
        </is>
      </c>
      <c r="K2954" s="85" t="n">
        <v>0.57</v>
      </c>
    </row>
    <row r="2955" ht="15" customFormat="1" customHeight="1" s="5">
      <c r="A2955" s="81" t="n">
        <v>45800</v>
      </c>
      <c r="B2955" s="82" t="n">
        <v>0.7409953703703703</v>
      </c>
      <c r="C2955" s="5" t="inlineStr">
        <is>
          <t>H-Mart</t>
        </is>
      </c>
      <c r="E2955" s="5" t="n">
        <v>1</v>
      </c>
      <c r="F2955" s="6" t="inlineStr">
        <is>
          <t>15162 091606</t>
        </is>
      </c>
      <c r="G2955" s="10" t="n"/>
      <c r="H2955" s="9" t="inlineStr">
        <is>
          <t>**DISCOUNT** Bok Choy @$1.28/lb</t>
        </is>
      </c>
      <c r="I2955" s="9" t="n">
        <v>1.83</v>
      </c>
      <c r="J2955" s="9" t="inlineStr">
        <is>
          <t>lb</t>
        </is>
      </c>
      <c r="K2955" s="85" t="n">
        <v>-0.9399999999999999</v>
      </c>
    </row>
    <row r="2956" ht="15" customFormat="1" customHeight="1" s="5">
      <c r="A2956" s="81" t="n">
        <v>45800</v>
      </c>
      <c r="B2956" s="82" t="n">
        <v>0.7409953703703703</v>
      </c>
      <c r="C2956" s="5" t="inlineStr">
        <is>
          <t>H-Mart</t>
        </is>
      </c>
      <c r="E2956" s="5" t="n">
        <v>1</v>
      </c>
      <c r="F2956" s="6" t="inlineStr">
        <is>
          <t>15162 091606</t>
        </is>
      </c>
      <c r="G2956" s="10" t="n"/>
      <c r="H2956" s="9" t="inlineStr">
        <is>
          <t>**DISCOUNT** Cucumber @$0.98/lb</t>
        </is>
      </c>
      <c r="I2956" s="9" t="n">
        <v>1.21</v>
      </c>
      <c r="J2956" s="9" t="inlineStr">
        <is>
          <t>lb</t>
        </is>
      </c>
      <c r="K2956" s="85" t="n">
        <v>-2.19</v>
      </c>
    </row>
    <row r="2957" ht="15" customFormat="1" customHeight="1" s="5">
      <c r="A2957" s="81" t="n">
        <v>45800</v>
      </c>
      <c r="B2957" s="82" t="n">
        <v>0.7138888888888889</v>
      </c>
      <c r="C2957" s="5" t="inlineStr">
        <is>
          <t>Costco</t>
        </is>
      </c>
      <c r="E2957" s="5" t="n">
        <v>1</v>
      </c>
      <c r="F2957" s="6" t="inlineStr">
        <is>
          <t>439 208 170 708</t>
        </is>
      </c>
      <c r="G2957" s="10" t="inlineStr">
        <is>
          <t>E 5938</t>
        </is>
      </c>
      <c r="H2957" s="9" t="inlineStr">
        <is>
          <t>Golden Yukon Potatoes</t>
        </is>
      </c>
      <c r="I2957" s="9" t="n">
        <v>22.7</v>
      </c>
      <c r="J2957" s="9" t="inlineStr">
        <is>
          <t>kg</t>
        </is>
      </c>
      <c r="K2957" s="85" t="n">
        <v>6.99</v>
      </c>
    </row>
    <row r="2958" ht="15" customFormat="1" customHeight="1" s="5">
      <c r="A2958" s="81" t="n">
        <v>45800</v>
      </c>
      <c r="B2958" s="82" t="n">
        <v>0.7138888888888889</v>
      </c>
      <c r="C2958" s="5" t="inlineStr">
        <is>
          <t>Costco</t>
        </is>
      </c>
      <c r="E2958" s="5" t="n">
        <v>1</v>
      </c>
      <c r="F2958" s="6" t="inlineStr">
        <is>
          <t>439 208 170 708</t>
        </is>
      </c>
      <c r="G2958" s="10" t="n"/>
      <c r="H2958" s="9" t="inlineStr">
        <is>
          <t>Tax</t>
        </is>
      </c>
      <c r="I2958" s="9" t="n">
        <v>1</v>
      </c>
      <c r="J2958" s="9" t="inlineStr">
        <is>
          <t>cnt</t>
        </is>
      </c>
      <c r="K2958" s="85" t="n">
        <v>0</v>
      </c>
    </row>
    <row r="2959" ht="15" customFormat="1" customHeight="1" s="5">
      <c r="A2959" s="81" t="n">
        <v>45800</v>
      </c>
      <c r="B2959" s="82" t="n">
        <v>0.7118055555555556</v>
      </c>
      <c r="C2959" s="5" t="inlineStr">
        <is>
          <t>Costco</t>
        </is>
      </c>
      <c r="E2959" s="5" t="n">
        <v>1</v>
      </c>
      <c r="F2959" s="6" t="inlineStr">
        <is>
          <t>439 206 212 706</t>
        </is>
      </c>
      <c r="G2959" s="15" t="inlineStr">
        <is>
          <t>7771418</t>
        </is>
      </c>
      <c r="H2959" s="9" t="inlineStr">
        <is>
          <t>Kirkland Tech Pant 30x32 gray</t>
        </is>
      </c>
      <c r="I2959" s="9" t="n">
        <v>1</v>
      </c>
      <c r="J2959" s="9" t="inlineStr">
        <is>
          <t>cnt</t>
        </is>
      </c>
      <c r="K2959" s="85" t="inlineStr">
        <is>
          <t>19.99 A</t>
        </is>
      </c>
    </row>
    <row r="2960" ht="15" customFormat="1" customHeight="1" s="5">
      <c r="A2960" s="81" t="n">
        <v>45800</v>
      </c>
      <c r="B2960" s="82" t="n">
        <v>0.7118055555555556</v>
      </c>
      <c r="C2960" s="5" t="inlineStr">
        <is>
          <t>Costco</t>
        </is>
      </c>
      <c r="E2960" s="5" t="n">
        <v>1</v>
      </c>
      <c r="F2960" s="6" t="inlineStr">
        <is>
          <t>439 206 212 706</t>
        </is>
      </c>
      <c r="G2960" s="10" t="n"/>
      <c r="H2960" s="9" t="inlineStr">
        <is>
          <t>Tax A 8.00%</t>
        </is>
      </c>
      <c r="I2960" s="9" t="n">
        <v>5</v>
      </c>
      <c r="J2960" s="9" t="inlineStr">
        <is>
          <t>cnt</t>
        </is>
      </c>
      <c r="K2960" s="85" t="n">
        <v>1.6</v>
      </c>
    </row>
    <row r="2961" ht="15" customFormat="1" customHeight="1" s="5">
      <c r="A2961" s="81" t="n">
        <v>45800</v>
      </c>
      <c r="B2961" s="82" t="n">
        <v>0.7118055555555556</v>
      </c>
      <c r="C2961" s="5" t="inlineStr">
        <is>
          <t>Costco</t>
        </is>
      </c>
      <c r="E2961" s="5" t="n">
        <v>1</v>
      </c>
      <c r="F2961" s="6" t="inlineStr">
        <is>
          <t>439 206 212 706</t>
        </is>
      </c>
      <c r="G2961" s="10" t="inlineStr">
        <is>
          <t>E 47739</t>
        </is>
      </c>
      <c r="H2961" s="9" t="inlineStr">
        <is>
          <t>Young Chicken Drumsticks 8.28lb @$0.99/lb</t>
        </is>
      </c>
      <c r="I2961" s="9" t="n">
        <v>8.279999999999999</v>
      </c>
      <c r="J2961" s="9" t="inlineStr">
        <is>
          <t>lb</t>
        </is>
      </c>
      <c r="K2961" s="85" t="n">
        <v>8.199999999999999</v>
      </c>
    </row>
    <row r="2962" ht="15" customFormat="1" customHeight="1" s="5">
      <c r="A2962" s="81" t="n">
        <v>45800</v>
      </c>
      <c r="B2962" s="82" t="n">
        <v>0.7118055555555556</v>
      </c>
      <c r="C2962" s="5" t="inlineStr">
        <is>
          <t>Costco</t>
        </is>
      </c>
      <c r="E2962" s="5" t="n">
        <v>1</v>
      </c>
      <c r="F2962" s="6" t="inlineStr">
        <is>
          <t>439 206 212 706</t>
        </is>
      </c>
      <c r="G2962" s="10" t="inlineStr">
        <is>
          <t>E 96716</t>
        </is>
      </c>
      <c r="H2962" s="9" t="inlineStr">
        <is>
          <t>Organic Baby Spinach Box</t>
        </is>
      </c>
      <c r="I2962" s="9" t="n">
        <v>16</v>
      </c>
      <c r="J2962" s="9" t="inlineStr">
        <is>
          <t>oz</t>
        </is>
      </c>
      <c r="K2962" s="85" t="n">
        <v>3.89</v>
      </c>
    </row>
    <row r="2963" ht="15" customFormat="1" customHeight="1" s="5">
      <c r="A2963" s="81" t="n">
        <v>45800</v>
      </c>
      <c r="B2963" s="82" t="n">
        <v>0.7118055555555556</v>
      </c>
      <c r="C2963" s="5" t="inlineStr">
        <is>
          <t>Costco</t>
        </is>
      </c>
      <c r="E2963" s="5" t="n">
        <v>1</v>
      </c>
      <c r="F2963" s="6" t="inlineStr">
        <is>
          <t>439 206 212 706</t>
        </is>
      </c>
      <c r="G2963" s="10" t="inlineStr">
        <is>
          <t>E 0000355770</t>
        </is>
      </c>
      <c r="H2963" s="9" t="inlineStr">
        <is>
          <t>**DISCOUNT** Artisan Ciabatta Rolls</t>
        </is>
      </c>
      <c r="I2963" s="9" t="n">
        <v>2.5</v>
      </c>
      <c r="J2963" s="9" t="inlineStr">
        <is>
          <t>lb</t>
        </is>
      </c>
      <c r="K2963" s="85" t="inlineStr">
        <is>
          <t>1.0-</t>
        </is>
      </c>
    </row>
    <row r="2964" ht="15" customFormat="1" customHeight="1" s="5">
      <c r="A2964" s="81" t="n">
        <v>45800</v>
      </c>
      <c r="B2964" s="82" t="n">
        <v>0.7118055555555556</v>
      </c>
      <c r="C2964" s="5" t="inlineStr">
        <is>
          <t>Costco</t>
        </is>
      </c>
      <c r="E2964" s="5" t="n">
        <v>1</v>
      </c>
      <c r="F2964" s="6" t="inlineStr">
        <is>
          <t>439 206 212 706</t>
        </is>
      </c>
      <c r="G2964" s="10" t="inlineStr">
        <is>
          <t>E 73616</t>
        </is>
      </c>
      <c r="H2964" s="9" t="inlineStr">
        <is>
          <t>Pork Loin Boneless 6.53lb @$2.29/lb</t>
        </is>
      </c>
      <c r="I2964" s="9" t="n">
        <v>6.53</v>
      </c>
      <c r="J2964" s="9" t="inlineStr">
        <is>
          <t>lb</t>
        </is>
      </c>
      <c r="K2964" s="85" t="n">
        <v>14.95</v>
      </c>
    </row>
    <row r="2965" ht="15" customFormat="1" customHeight="1" s="5">
      <c r="A2965" s="81" t="n">
        <v>45800</v>
      </c>
      <c r="B2965" s="82" t="n">
        <v>0.7118055555555556</v>
      </c>
      <c r="C2965" s="5" t="inlineStr">
        <is>
          <t>Costco</t>
        </is>
      </c>
      <c r="E2965" s="5" t="n">
        <v>1</v>
      </c>
      <c r="F2965" s="6" t="inlineStr">
        <is>
          <t>439 206 212 706</t>
        </is>
      </c>
      <c r="G2965" s="10" t="inlineStr">
        <is>
          <t>E 1221092</t>
        </is>
      </c>
      <c r="H2965" s="9" t="inlineStr">
        <is>
          <t>Artisan Ciabatta Rolls 12 cnt</t>
        </is>
      </c>
      <c r="I2965" s="9" t="n">
        <v>2.5</v>
      </c>
      <c r="J2965" s="9" t="inlineStr">
        <is>
          <t>lb</t>
        </is>
      </c>
      <c r="K2965" s="85" t="n">
        <v>6.99</v>
      </c>
    </row>
    <row r="2966" ht="15" customFormat="1" customHeight="1" s="5">
      <c r="A2966" s="81" t="n">
        <v>45800</v>
      </c>
      <c r="B2966" s="82" t="n">
        <v>0.7097222222222223</v>
      </c>
      <c r="C2966" s="5" t="inlineStr">
        <is>
          <t>Costco</t>
        </is>
      </c>
      <c r="E2966" s="5" t="n">
        <v>1</v>
      </c>
      <c r="F2966" s="6" t="n">
        <v>52973</v>
      </c>
      <c r="G2966" s="15" t="inlineStr">
        <is>
          <t>5</t>
        </is>
      </c>
      <c r="H2966" s="9" t="inlineStr">
        <is>
          <t>Subaru Gas 14.072 Gallons @ $2.439/gal</t>
        </is>
      </c>
      <c r="I2966" s="9" t="n">
        <v>14.072</v>
      </c>
      <c r="J2966" s="9" t="inlineStr">
        <is>
          <t>gal</t>
        </is>
      </c>
      <c r="K2966" s="85" t="n">
        <v>34.32</v>
      </c>
    </row>
    <row r="2967" ht="15" customFormat="1" customHeight="1" s="5">
      <c r="A2967" s="81" t="n">
        <v>45800</v>
      </c>
      <c r="B2967" s="82" t="n">
        <v>0.3736111111111111</v>
      </c>
      <c r="C2967" s="5" t="inlineStr">
        <is>
          <t>Carl's Jr</t>
        </is>
      </c>
      <c r="D2967" s="5" t="n">
        <v>1</v>
      </c>
      <c r="F2967" s="6" t="inlineStr">
        <is>
          <t>noreceiptOops</t>
        </is>
      </c>
      <c r="G2967" s="10" t="n"/>
      <c r="H2967" s="9" t="inlineStr">
        <is>
          <t>Monster biscuit</t>
        </is>
      </c>
      <c r="I2967" s="9" t="n">
        <v>1</v>
      </c>
      <c r="J2967" s="9" t="inlineStr">
        <is>
          <t>cnt</t>
        </is>
      </c>
      <c r="K2967" s="85" t="n">
        <v>5.59</v>
      </c>
    </row>
    <row r="2968" ht="15" customFormat="1" customHeight="1" s="5">
      <c r="A2968" s="81" t="n">
        <v>45800</v>
      </c>
      <c r="B2968" s="82" t="n">
        <v>0.3736111111111111</v>
      </c>
      <c r="C2968" s="5" t="inlineStr">
        <is>
          <t>Carl's Jr</t>
        </is>
      </c>
      <c r="D2968" s="5" t="n">
        <v>1</v>
      </c>
      <c r="F2968" s="6" t="inlineStr">
        <is>
          <t>noreceiptOops</t>
        </is>
      </c>
      <c r="G2968" s="10" t="n"/>
      <c r="H2968" s="9" t="inlineStr">
        <is>
          <t>Monster biscuit</t>
        </is>
      </c>
      <c r="I2968" s="9" t="n">
        <v>1</v>
      </c>
      <c r="J2968" s="9" t="inlineStr">
        <is>
          <t>cnt</t>
        </is>
      </c>
      <c r="K2968" s="85" t="n">
        <v>5.59</v>
      </c>
    </row>
    <row r="2969" ht="15" customFormat="1" customHeight="1" s="5">
      <c r="A2969" s="81" t="n">
        <v>45800</v>
      </c>
      <c r="B2969" s="82" t="n">
        <v>0.3736111111111111</v>
      </c>
      <c r="C2969" s="5" t="inlineStr">
        <is>
          <t>Carl's Jr</t>
        </is>
      </c>
      <c r="D2969" s="5" t="n">
        <v>1</v>
      </c>
      <c r="F2969" s="6" t="inlineStr">
        <is>
          <t>noreceiptOops</t>
        </is>
      </c>
      <c r="G2969" s="10" t="n"/>
      <c r="H2969" s="9" t="inlineStr">
        <is>
          <t>Tax</t>
        </is>
      </c>
      <c r="I2969" s="9" t="n">
        <v>2</v>
      </c>
      <c r="J2969" s="9" t="inlineStr">
        <is>
          <t>cnt</t>
        </is>
      </c>
      <c r="K2969" s="85" t="n">
        <v>0.4</v>
      </c>
    </row>
    <row r="2970" ht="15" customFormat="1" customHeight="1" s="5">
      <c r="A2970" s="81" t="n">
        <v>45800</v>
      </c>
      <c r="B2970" s="82" t="n">
        <v>0.3736111111111111</v>
      </c>
      <c r="C2970" s="5" t="inlineStr">
        <is>
          <t>Carl's Jr</t>
        </is>
      </c>
      <c r="D2970" s="5" t="n">
        <v>1</v>
      </c>
      <c r="F2970" s="6" t="inlineStr">
        <is>
          <t>noreceiptOops</t>
        </is>
      </c>
      <c r="G2970" s="10" t="n"/>
      <c r="H2970" s="9" t="inlineStr">
        <is>
          <t>**DISCOUNT** 2 biscuits for $5</t>
        </is>
      </c>
      <c r="I2970" s="9" t="n">
        <v>1</v>
      </c>
      <c r="J2970" s="9" t="inlineStr">
        <is>
          <t>cnt</t>
        </is>
      </c>
      <c r="K2970" s="85" t="n">
        <v>-6.18</v>
      </c>
    </row>
    <row r="2971" ht="15" customFormat="1" customHeight="1" s="5">
      <c r="A2971" s="81" t="n">
        <v>45800</v>
      </c>
      <c r="B2971" s="82" t="n">
        <v>0.2916666666666667</v>
      </c>
      <c r="C2971" s="5" t="inlineStr">
        <is>
          <t>Cobblestone Carwash</t>
        </is>
      </c>
      <c r="D2971" s="5" t="n">
        <v>1</v>
      </c>
      <c r="F2971" s="6" t="n"/>
      <c r="G2971" s="7" t="n"/>
      <c r="H2971" s="9" t="inlineStr">
        <is>
          <t>1 month, electronic error so has discount, top "premium 4 step wash" unlimited for 1 month</t>
        </is>
      </c>
      <c r="I2971" s="9" t="n">
        <v>1</v>
      </c>
      <c r="J2971" s="9" t="inlineStr">
        <is>
          <t>cnt</t>
        </is>
      </c>
      <c r="K2971" s="9" t="n">
        <v>23</v>
      </c>
    </row>
    <row r="2972" ht="15" customFormat="1" customHeight="1" s="5">
      <c r="A2972" s="81" t="n">
        <v>45799</v>
      </c>
      <c r="B2972" s="82" t="n">
        <v>0.8041666666666667</v>
      </c>
      <c r="C2972" s="5" t="inlineStr">
        <is>
          <t>Joann Fabrics</t>
        </is>
      </c>
      <c r="E2972" s="5" t="n">
        <v>1</v>
      </c>
      <c r="F2972" s="6" t="inlineStr">
        <is>
          <t>242484</t>
        </is>
      </c>
      <c r="G2972" s="15" t="inlineStr">
        <is>
          <t>13358916</t>
        </is>
      </c>
      <c r="H2972" s="9" t="inlineStr">
        <is>
          <t>FOLK FA HOME DECOR PARISIAN GREY 80Z x 5 bottles</t>
        </is>
      </c>
      <c r="I2972" s="9" t="n">
        <v>40</v>
      </c>
      <c r="J2972" s="9" t="inlineStr">
        <is>
          <t>oz</t>
        </is>
      </c>
      <c r="K2972" s="85" t="n">
        <v>49.95</v>
      </c>
    </row>
    <row r="2973" ht="15" customFormat="1" customHeight="1" s="5">
      <c r="A2973" s="81" t="n">
        <v>45799</v>
      </c>
      <c r="B2973" s="82" t="n">
        <v>0.8041666666666667</v>
      </c>
      <c r="C2973" s="5" t="inlineStr">
        <is>
          <t>Joann Fabrics</t>
        </is>
      </c>
      <c r="E2973" s="5" t="n">
        <v>1</v>
      </c>
      <c r="F2973" s="6" t="inlineStr">
        <is>
          <t>242484</t>
        </is>
      </c>
      <c r="G2973" s="15" t="inlineStr">
        <is>
          <t>18459537</t>
        </is>
      </c>
      <c r="H2973" s="9" t="inlineStr">
        <is>
          <t>KAM  BLACK TONAL CHARM felt squares precut</t>
        </is>
      </c>
      <c r="I2973" s="9" t="n">
        <v>2</v>
      </c>
      <c r="J2973" s="9" t="inlineStr">
        <is>
          <t>cnt</t>
        </is>
      </c>
      <c r="K2973" s="85" t="n">
        <v>29.98</v>
      </c>
    </row>
    <row r="2974" ht="15" customFormat="1" customHeight="1" s="5">
      <c r="A2974" s="81" t="n">
        <v>45799</v>
      </c>
      <c r="B2974" s="82" t="n">
        <v>0.8041666666666667</v>
      </c>
      <c r="C2974" s="5" t="inlineStr">
        <is>
          <t>Joann Fabrics</t>
        </is>
      </c>
      <c r="E2974" s="5" t="n">
        <v>1</v>
      </c>
      <c r="F2974" s="6" t="inlineStr">
        <is>
          <t>242484</t>
        </is>
      </c>
      <c r="G2974" s="15" t="inlineStr">
        <is>
          <t>10121291</t>
        </is>
      </c>
      <c r="H2974" s="9" t="inlineStr">
        <is>
          <t>CORE CF 12X12 JAVA BEAN 25/PKG</t>
        </is>
      </c>
      <c r="I2974" s="9" t="n">
        <v>10</v>
      </c>
      <c r="J2974" s="9" t="inlineStr">
        <is>
          <t>cnt</t>
        </is>
      </c>
      <c r="K2974" s="85" t="n">
        <v>7.9</v>
      </c>
    </row>
    <row r="2975" ht="15" customFormat="1" customHeight="1" s="5">
      <c r="A2975" s="81" t="n">
        <v>45799</v>
      </c>
      <c r="B2975" s="82" t="n">
        <v>0.8041666666666667</v>
      </c>
      <c r="C2975" s="5" t="inlineStr">
        <is>
          <t>Joann Fabrics</t>
        </is>
      </c>
      <c r="E2975" s="5" t="n">
        <v>1</v>
      </c>
      <c r="F2975" s="6" t="inlineStr">
        <is>
          <t>242484</t>
        </is>
      </c>
      <c r="G2975" s="15" t="inlineStr">
        <is>
          <t>12527016</t>
        </is>
      </c>
      <c r="H2975" s="9" t="inlineStr">
        <is>
          <t>BAZZ CARDSHOPPE ROCK CANDY paper, 1 sheet</t>
        </is>
      </c>
      <c r="I2975" s="9" t="n">
        <v>4</v>
      </c>
      <c r="J2975" s="9" t="inlineStr">
        <is>
          <t>cnt</t>
        </is>
      </c>
      <c r="K2975" s="85" t="n">
        <v>2.76</v>
      </c>
    </row>
    <row r="2976" ht="15" customFormat="1" customHeight="1" s="5">
      <c r="A2976" s="81" t="n">
        <v>45799</v>
      </c>
      <c r="B2976" s="82" t="n">
        <v>0.8041666666666667</v>
      </c>
      <c r="C2976" s="5" t="inlineStr">
        <is>
          <t>Joann Fabrics</t>
        </is>
      </c>
      <c r="E2976" s="5" t="n">
        <v>1</v>
      </c>
      <c r="F2976" s="6" t="inlineStr">
        <is>
          <t>242484</t>
        </is>
      </c>
      <c r="G2976" s="10" t="n"/>
      <c r="H2976" s="9" t="inlineStr">
        <is>
          <t>City tax</t>
        </is>
      </c>
      <c r="I2976" s="9" t="n">
        <v>21</v>
      </c>
      <c r="J2976" s="9" t="inlineStr">
        <is>
          <t>cnt</t>
        </is>
      </c>
      <c r="K2976" s="85" t="n">
        <v>0.14</v>
      </c>
    </row>
    <row r="2977" ht="15" customFormat="1" customHeight="1" s="5">
      <c r="A2977" s="81" t="n">
        <v>45799</v>
      </c>
      <c r="B2977" s="82" t="n">
        <v>0.8041666666666667</v>
      </c>
      <c r="C2977" s="5" t="inlineStr">
        <is>
          <t>Joann Fabrics</t>
        </is>
      </c>
      <c r="E2977" s="5" t="n">
        <v>1</v>
      </c>
      <c r="F2977" s="6" t="inlineStr">
        <is>
          <t>242484</t>
        </is>
      </c>
      <c r="G2977" s="10" t="n"/>
      <c r="H2977" s="9" t="inlineStr">
        <is>
          <t>State tax</t>
        </is>
      </c>
      <c r="I2977" s="9" t="n">
        <v>21</v>
      </c>
      <c r="J2977" s="9" t="inlineStr">
        <is>
          <t>cnt</t>
        </is>
      </c>
      <c r="K2977" s="85" t="n">
        <v>0.07000000000000001</v>
      </c>
    </row>
    <row r="2978" ht="15" customFormat="1" customHeight="1" s="5">
      <c r="A2978" s="81" t="n">
        <v>45799</v>
      </c>
      <c r="B2978" s="82" t="n">
        <v>0.8041666666666667</v>
      </c>
      <c r="C2978" s="5" t="inlineStr">
        <is>
          <t>Joann Fabrics</t>
        </is>
      </c>
      <c r="E2978" s="5" t="n">
        <v>1</v>
      </c>
      <c r="F2978" s="6" t="inlineStr">
        <is>
          <t>242484</t>
        </is>
      </c>
      <c r="G2978" s="10" t="n"/>
      <c r="H2978" s="9" t="inlineStr">
        <is>
          <t>District tax</t>
        </is>
      </c>
      <c r="I2978" s="9" t="n">
        <v>21</v>
      </c>
      <c r="J2978" s="9" t="inlineStr">
        <is>
          <t>cnt</t>
        </is>
      </c>
      <c r="K2978" s="85" t="n">
        <v>0</v>
      </c>
    </row>
    <row r="2979" ht="15" customFormat="1" customHeight="1" s="5">
      <c r="A2979" s="81" t="n">
        <v>45799</v>
      </c>
      <c r="B2979" s="82" t="n">
        <v>0.8041666666666667</v>
      </c>
      <c r="C2979" s="5" t="inlineStr">
        <is>
          <t>Joann Fabrics</t>
        </is>
      </c>
      <c r="E2979" s="5" t="n">
        <v>1</v>
      </c>
      <c r="F2979" s="6" t="inlineStr">
        <is>
          <t>242484</t>
        </is>
      </c>
      <c r="G2979" s="10" t="n"/>
      <c r="H2979" s="9" t="inlineStr">
        <is>
          <t>**DISCOUNT** to offset for the total receipt that I see</t>
        </is>
      </c>
      <c r="I2979" s="9" t="n">
        <v>21</v>
      </c>
      <c r="J2979" s="9" t="inlineStr">
        <is>
          <t>cnt</t>
        </is>
      </c>
      <c r="K2979" s="85" t="n">
        <v>-0.9</v>
      </c>
    </row>
    <row r="2980" ht="15" customFormat="1" customHeight="1" s="5">
      <c r="A2980" s="81" t="n">
        <v>45799</v>
      </c>
      <c r="B2980" s="82" t="n">
        <v>0.8041666666666667</v>
      </c>
      <c r="C2980" s="5" t="inlineStr">
        <is>
          <t>Joann Fabrics</t>
        </is>
      </c>
      <c r="E2980" s="5" t="n">
        <v>1</v>
      </c>
      <c r="F2980" s="6" t="inlineStr">
        <is>
          <t>242484</t>
        </is>
      </c>
      <c r="G2980" s="15" t="inlineStr">
        <is>
          <t>12527016</t>
        </is>
      </c>
      <c r="H2980" s="9" t="inlineStr">
        <is>
          <t>**DISCOUNT** 95% off grey paper</t>
        </is>
      </c>
      <c r="I2980" s="9" t="n">
        <v>4</v>
      </c>
      <c r="J2980" s="9" t="inlineStr">
        <is>
          <t>cnt</t>
        </is>
      </c>
      <c r="K2980" s="85" t="n">
        <v>-2.72</v>
      </c>
    </row>
    <row r="2981" ht="15" customFormat="1" customHeight="1" s="5">
      <c r="A2981" s="81" t="n">
        <v>45799</v>
      </c>
      <c r="B2981" s="82" t="n">
        <v>0.8041666666666667</v>
      </c>
      <c r="C2981" s="5" t="inlineStr">
        <is>
          <t>Joann Fabrics</t>
        </is>
      </c>
      <c r="E2981" s="5" t="n">
        <v>1</v>
      </c>
      <c r="F2981" s="6" t="inlineStr">
        <is>
          <t>242484</t>
        </is>
      </c>
      <c r="G2981" s="15" t="inlineStr">
        <is>
          <t>10121291</t>
        </is>
      </c>
      <c r="H2981" s="9" t="inlineStr">
        <is>
          <t>**DISCOUNT** 95% borne card stock paper</t>
        </is>
      </c>
      <c r="I2981" s="9" t="n">
        <v>10</v>
      </c>
      <c r="J2981" s="9" t="inlineStr">
        <is>
          <t>cnt</t>
        </is>
      </c>
      <c r="K2981" s="85" t="n">
        <v>-6.9</v>
      </c>
    </row>
    <row r="2982" ht="15" customFormat="1" customHeight="1" s="5">
      <c r="A2982" s="81" t="n">
        <v>45799</v>
      </c>
      <c r="B2982" s="82" t="n">
        <v>0.8041666666666667</v>
      </c>
      <c r="C2982" s="5" t="inlineStr">
        <is>
          <t>Joann Fabrics</t>
        </is>
      </c>
      <c r="E2982" s="5" t="n">
        <v>1</v>
      </c>
      <c r="F2982" s="6" t="inlineStr">
        <is>
          <t>242484</t>
        </is>
      </c>
      <c r="G2982" s="15" t="inlineStr">
        <is>
          <t>18459537</t>
        </is>
      </c>
      <c r="H2982" s="9" t="inlineStr">
        <is>
          <t xml:space="preserve">**DISCOUNT** felt squares </t>
        </is>
      </c>
      <c r="I2982" s="9" t="n">
        <v>2</v>
      </c>
      <c r="J2982" s="9" t="inlineStr">
        <is>
          <t>cnt</t>
        </is>
      </c>
      <c r="K2982" s="85" t="n">
        <v>-29.08</v>
      </c>
    </row>
    <row r="2983" ht="15" customFormat="1" customHeight="1" s="5">
      <c r="A2983" s="81" t="n">
        <v>45799</v>
      </c>
      <c r="B2983" s="82" t="n">
        <v>0.8041666666666667</v>
      </c>
      <c r="C2983" s="5" t="inlineStr">
        <is>
          <t>Joann Fabrics</t>
        </is>
      </c>
      <c r="E2983" s="5" t="n">
        <v>1</v>
      </c>
      <c r="F2983" s="6" t="inlineStr">
        <is>
          <t>242484</t>
        </is>
      </c>
      <c r="G2983" s="15" t="inlineStr">
        <is>
          <t>13358916</t>
        </is>
      </c>
      <c r="H2983" s="9" t="inlineStr">
        <is>
          <t>**DISCOUNT** grey paint</t>
        </is>
      </c>
      <c r="I2983" s="9" t="n">
        <v>40</v>
      </c>
      <c r="J2983" s="9" t="inlineStr">
        <is>
          <t>oz</t>
        </is>
      </c>
      <c r="K2983" s="85" t="n">
        <v>-48.45</v>
      </c>
    </row>
    <row r="2984" ht="15" customFormat="1" customHeight="1" s="5">
      <c r="A2984" s="81" t="n">
        <v>45799</v>
      </c>
      <c r="B2984" s="82" t="n">
        <v>0.6930555555555555</v>
      </c>
      <c r="C2984" s="5" t="inlineStr">
        <is>
          <t>Piramides Mexican Restaurant</t>
        </is>
      </c>
      <c r="E2984" s="5" t="n">
        <v>1</v>
      </c>
      <c r="F2984" s="6" t="inlineStr">
        <is>
          <t>250522-02-6</t>
        </is>
      </c>
      <c r="G2984" s="10" t="n"/>
      <c r="H2984" s="9" t="inlineStr">
        <is>
          <t>VEGGIE FAJITAS $15.95: Bell pepper, onions, mushrooms, spinach, served with lettuce, pico de gallo, black beans, rice, guacamole, sour cream and tortillas</t>
        </is>
      </c>
      <c r="I2984" s="9" t="n">
        <v>1</v>
      </c>
      <c r="J2984" s="9" t="inlineStr">
        <is>
          <t>cnt</t>
        </is>
      </c>
      <c r="K2984" s="85" t="n">
        <v>15.95</v>
      </c>
    </row>
    <row r="2985" ht="15" customFormat="1" customHeight="1" s="5">
      <c r="A2985" s="81" t="n">
        <v>45799</v>
      </c>
      <c r="B2985" s="82" t="n">
        <v>0.6930555555555555</v>
      </c>
      <c r="C2985" s="5" t="inlineStr">
        <is>
          <t>Piramides Mexican Restaurant</t>
        </is>
      </c>
      <c r="E2985" s="5" t="n">
        <v>1</v>
      </c>
      <c r="F2985" s="6" t="inlineStr">
        <is>
          <t>250522-02-6</t>
        </is>
      </c>
      <c r="G2985" s="10" t="n"/>
      <c r="H2985" s="9" t="inlineStr">
        <is>
          <t>Torta de Carnitas: All Tortas come with beans, mayo, lettuce, onions, tomatoes, avocado, white melted cheese &amp; pickle jalapenos.</t>
        </is>
      </c>
      <c r="I2985" s="9" t="n">
        <v>1</v>
      </c>
      <c r="J2985" s="9" t="inlineStr">
        <is>
          <t>cnt</t>
        </is>
      </c>
      <c r="K2985" s="85" t="n">
        <v>13.95</v>
      </c>
    </row>
    <row r="2986" ht="15" customFormat="1" customHeight="1" s="5">
      <c r="A2986" s="81" t="n">
        <v>45799</v>
      </c>
      <c r="B2986" s="82" t="n">
        <v>0.6930555555555555</v>
      </c>
      <c r="C2986" s="5" t="inlineStr">
        <is>
          <t>Piramides Mexican Restaurant</t>
        </is>
      </c>
      <c r="E2986" s="5" t="n">
        <v>1</v>
      </c>
      <c r="F2986" s="6" t="inlineStr">
        <is>
          <t>250522-02-6</t>
        </is>
      </c>
      <c r="G2986" s="10" t="n"/>
      <c r="H2986" s="9" t="inlineStr">
        <is>
          <t>Enchiladas sauce ("red chile")</t>
        </is>
      </c>
      <c r="I2986" s="9" t="n">
        <v>8</v>
      </c>
      <c r="J2986" s="9" t="inlineStr">
        <is>
          <t>oz</t>
        </is>
      </c>
      <c r="K2986" s="85" t="n">
        <v>4.25</v>
      </c>
    </row>
    <row r="2987" ht="15" customFormat="1" customHeight="1" s="5">
      <c r="A2987" s="81" t="n">
        <v>45799</v>
      </c>
      <c r="B2987" s="82" t="n">
        <v>0.6930555555555555</v>
      </c>
      <c r="C2987" s="5" t="inlineStr">
        <is>
          <t>Piramides Mexican Restaurant</t>
        </is>
      </c>
      <c r="E2987" s="5" t="n">
        <v>1</v>
      </c>
      <c r="F2987" s="6" t="inlineStr">
        <is>
          <t>250522-02-6</t>
        </is>
      </c>
      <c r="G2987" s="10" t="n"/>
      <c r="H2987" s="9" t="inlineStr">
        <is>
          <t>Tax</t>
        </is>
      </c>
      <c r="I2987" s="9" t="n">
        <v>3</v>
      </c>
      <c r="J2987" s="9" t="inlineStr">
        <is>
          <t>cnt</t>
        </is>
      </c>
      <c r="K2987" s="85" t="n">
        <v>2.87</v>
      </c>
    </row>
    <row r="2988" ht="15" customFormat="1" customHeight="1" s="5">
      <c r="A2988" s="81" t="n">
        <v>45799</v>
      </c>
      <c r="B2988" s="82" t="n">
        <v>0.6930555555555555</v>
      </c>
      <c r="C2988" s="5" t="inlineStr">
        <is>
          <t>Piramides Mexican Restaurant</t>
        </is>
      </c>
      <c r="E2988" s="5" t="n">
        <v>1</v>
      </c>
      <c r="F2988" s="6" t="inlineStr">
        <is>
          <t>250522-02-6</t>
        </is>
      </c>
      <c r="G2988" s="10" t="n"/>
      <c r="H2988" s="9" t="inlineStr">
        <is>
          <t>"Inflation Relief Fee"</t>
        </is>
      </c>
      <c r="I2988" s="9" t="n">
        <v>1</v>
      </c>
      <c r="J2988" s="9" t="inlineStr">
        <is>
          <t>cnt</t>
        </is>
      </c>
      <c r="K2988" s="85" t="n">
        <v>1.2</v>
      </c>
    </row>
    <row r="2989" ht="15" customFormat="1" customHeight="1" s="5">
      <c r="A2989" s="81" t="n">
        <v>45799</v>
      </c>
      <c r="B2989" s="82" t="n">
        <v>0.6326388888888889</v>
      </c>
      <c r="C2989" s="5" t="inlineStr">
        <is>
          <t>Amazon</t>
        </is>
      </c>
      <c r="D2989" s="5" t="n">
        <v>1</v>
      </c>
      <c r="F2989" s="6" t="inlineStr">
        <is>
          <t>111-0686461-3301803</t>
        </is>
      </c>
      <c r="G2989" s="10" t="n"/>
      <c r="H2989" s="9" t="inlineStr">
        <is>
          <t>Amazon Basics AAA Alkaline High-Performance Batteries, 1.5 Volt, 10-Year Shelf Life, 20 count (Pack of 1)</t>
        </is>
      </c>
      <c r="I2989" s="9" t="n">
        <v>20</v>
      </c>
      <c r="J2989" s="9" t="inlineStr">
        <is>
          <t>cnt</t>
        </is>
      </c>
      <c r="K2989" s="85" t="n">
        <v>6.69</v>
      </c>
    </row>
    <row r="2990" ht="15" customFormat="1" customHeight="1" s="5">
      <c r="A2990" s="81" t="n">
        <v>45799</v>
      </c>
      <c r="B2990" s="82" t="n">
        <v>0.6326388888888889</v>
      </c>
      <c r="C2990" s="5" t="inlineStr">
        <is>
          <t>Amazon</t>
        </is>
      </c>
      <c r="D2990" s="5" t="n">
        <v>1</v>
      </c>
      <c r="F2990" s="6" t="inlineStr">
        <is>
          <t>111-0686461-3301803</t>
        </is>
      </c>
      <c r="G2990" s="10" t="n"/>
      <c r="H2990" s="9" t="inlineStr">
        <is>
          <t>Co retail delivery fees</t>
        </is>
      </c>
      <c r="I2990" s="9" t="n">
        <v>1</v>
      </c>
      <c r="J2990" s="9" t="inlineStr">
        <is>
          <t>cnt</t>
        </is>
      </c>
      <c r="K2990" s="85" t="n">
        <v>0.29</v>
      </c>
    </row>
    <row r="2991" ht="15" customFormat="1" customHeight="1" s="5">
      <c r="A2991" s="81" t="n">
        <v>45799</v>
      </c>
      <c r="B2991" s="82" t="n">
        <v>0.6326388888888889</v>
      </c>
      <c r="C2991" s="5" t="inlineStr">
        <is>
          <t>Amazon</t>
        </is>
      </c>
      <c r="D2991" s="5" t="n">
        <v>1</v>
      </c>
      <c r="F2991" s="6" t="inlineStr">
        <is>
          <t>111-0686461-3301803</t>
        </is>
      </c>
      <c r="G2991" s="10" t="n"/>
      <c r="H2991" s="9" t="inlineStr">
        <is>
          <t>Tax</t>
        </is>
      </c>
      <c r="I2991" s="9" t="n">
        <v>1</v>
      </c>
      <c r="J2991" s="9" t="inlineStr">
        <is>
          <t>cnt</t>
        </is>
      </c>
      <c r="K2991" s="85" t="n">
        <v>0.25</v>
      </c>
    </row>
    <row r="2992" ht="15" customFormat="1" customHeight="1" s="5">
      <c r="A2992" s="81" t="n">
        <v>45799</v>
      </c>
      <c r="B2992" s="82" t="n">
        <v>0.4375</v>
      </c>
      <c r="C2992" s="5" t="inlineStr">
        <is>
          <t>Lamar's Doughnuts</t>
        </is>
      </c>
      <c r="E2992" s="5" t="n">
        <v>1</v>
      </c>
      <c r="F2992" s="6" t="inlineStr">
        <is>
          <t>noreceiptOops</t>
        </is>
      </c>
      <c r="G2992" s="7" t="n"/>
      <c r="H2992" s="9" t="inlineStr">
        <is>
          <t>Small Black Coffee</t>
        </is>
      </c>
      <c r="I2992" s="9" t="n"/>
      <c r="J2992" s="9" t="n"/>
      <c r="K2992" s="9" t="n">
        <v>3.99</v>
      </c>
    </row>
    <row r="2993" ht="15" customFormat="1" customHeight="1" s="5">
      <c r="A2993" s="81" t="n">
        <v>45799</v>
      </c>
      <c r="B2993" s="82" t="n">
        <v>0.4375</v>
      </c>
      <c r="C2993" s="5" t="inlineStr">
        <is>
          <t>Lamar's Doughnuts</t>
        </is>
      </c>
      <c r="E2993" s="5" t="n">
        <v>1</v>
      </c>
      <c r="F2993" s="6" t="inlineStr">
        <is>
          <t>noreceiptOops</t>
        </is>
      </c>
      <c r="G2993" s="7" t="n"/>
      <c r="H2993" s="9" t="inlineStr">
        <is>
          <t>Chocolate Iced Donut</t>
        </is>
      </c>
      <c r="I2993" s="9" t="n"/>
      <c r="J2993" s="9" t="n"/>
      <c r="K2993" s="9" t="n">
        <v>2.99</v>
      </c>
    </row>
    <row r="2994" customFormat="1" s="5">
      <c r="A2994" s="81" t="n">
        <v>45799</v>
      </c>
      <c r="B2994" s="82" t="n">
        <v>0.4375</v>
      </c>
      <c r="C2994" s="5" t="inlineStr">
        <is>
          <t>Lamar's Doughnuts</t>
        </is>
      </c>
      <c r="E2994" s="5" t="n">
        <v>1</v>
      </c>
      <c r="F2994" s="6" t="inlineStr">
        <is>
          <t>noreceiptOops</t>
        </is>
      </c>
      <c r="G2994" s="7" t="n"/>
      <c r="H2994" s="9" t="inlineStr">
        <is>
          <t>**DISCOUNT** Free coffee and donut</t>
        </is>
      </c>
      <c r="I2994" s="9" t="n"/>
      <c r="J2994" s="9" t="n"/>
      <c r="K2994" s="9" t="n">
        <v>-6.98</v>
      </c>
    </row>
    <row r="2995" ht="15" customFormat="1" customHeight="1" s="5">
      <c r="A2995" s="81" t="n">
        <v>45799</v>
      </c>
      <c r="B2995" s="82" t="n">
        <v>0.2916666666666667</v>
      </c>
      <c r="C2995" s="5" t="inlineStr">
        <is>
          <t>Xcel Energy</t>
        </is>
      </c>
      <c r="D2995" s="5" t="n">
        <v>1</v>
      </c>
      <c r="F2995" s="6" t="inlineStr">
        <is>
          <t>925751125_</t>
        </is>
      </c>
      <c r="G2995" s="7" t="n"/>
      <c r="H2995" s="9" t="inlineStr">
        <is>
          <t>Electricity 03/31/25 - 04/29/25</t>
        </is>
      </c>
      <c r="I2995" s="9" t="n">
        <v>252</v>
      </c>
      <c r="J2995" s="9" t="inlineStr">
        <is>
          <t>kWh</t>
        </is>
      </c>
      <c r="K2995" s="9" t="n">
        <v>42.91</v>
      </c>
    </row>
    <row r="2996" ht="15" customFormat="1" customHeight="1" s="5">
      <c r="A2996" s="81" t="n">
        <v>45799</v>
      </c>
      <c r="B2996" s="82" t="n">
        <v>0.2916666666666667</v>
      </c>
      <c r="C2996" s="5" t="inlineStr">
        <is>
          <t>Xcel Energy</t>
        </is>
      </c>
      <c r="D2996" s="5" t="n">
        <v>1</v>
      </c>
      <c r="F2996" s="6" t="inlineStr">
        <is>
          <t>925751125_</t>
        </is>
      </c>
      <c r="G2996" s="7" t="n"/>
      <c r="H2996" s="9" t="inlineStr">
        <is>
          <t>Natural Gas 04/01/25 - 04/30/25</t>
        </is>
      </c>
      <c r="I2996" s="9" t="n">
        <v>16</v>
      </c>
      <c r="J2996" s="9" t="inlineStr">
        <is>
          <t>therms</t>
        </is>
      </c>
      <c r="K2996" s="9" t="n">
        <v>26.19</v>
      </c>
    </row>
    <row r="2997" ht="15" customFormat="1" customHeight="1" s="5">
      <c r="A2997" s="81" t="n">
        <v>45799</v>
      </c>
      <c r="B2997" s="82" t="n">
        <v>0.2916666666666667</v>
      </c>
      <c r="C2997" s="5" t="inlineStr">
        <is>
          <t>Xcel Energy</t>
        </is>
      </c>
      <c r="D2997" s="5" t="n">
        <v>1</v>
      </c>
      <c r="F2997" s="6" t="inlineStr">
        <is>
          <t>925751125_</t>
        </is>
      </c>
      <c r="G2997" s="7" t="n"/>
      <c r="H2997" s="9" t="inlineStr">
        <is>
          <t>Sales Tax</t>
        </is>
      </c>
      <c r="I2997" s="9" t="n"/>
      <c r="J2997" s="9" t="n"/>
      <c r="K2997" s="9">
        <f>1.66+1.01</f>
        <v/>
      </c>
    </row>
    <row r="2998" ht="15" customFormat="1" customHeight="1" s="5">
      <c r="A2998" s="81" t="n">
        <v>45799</v>
      </c>
      <c r="B2998" s="82" t="n">
        <v>0.2916666666666667</v>
      </c>
      <c r="C2998" s="5" t="inlineStr">
        <is>
          <t>Xcel Energy</t>
        </is>
      </c>
      <c r="D2998" s="5" t="n">
        <v>1</v>
      </c>
      <c r="F2998" s="6" t="inlineStr">
        <is>
          <t>925751125_</t>
        </is>
      </c>
      <c r="G2998" s="7" t="n"/>
      <c r="H2998" s="9" t="inlineStr">
        <is>
          <t>Franchise Fee 3.00%</t>
        </is>
      </c>
      <c r="I2998" s="9" t="n"/>
      <c r="J2998" s="9" t="n"/>
      <c r="K2998" s="9">
        <f>1.29+0.79</f>
        <v/>
      </c>
    </row>
    <row r="2999" ht="15" customFormat="1" customHeight="1" s="5">
      <c r="A2999" s="81" t="n">
        <v>45797</v>
      </c>
      <c r="B2999" s="82" t="n">
        <v>0.7375</v>
      </c>
      <c r="C2999" s="5" t="inlineStr">
        <is>
          <t>Costco</t>
        </is>
      </c>
      <c r="E2999" s="5" t="n">
        <v>1</v>
      </c>
      <c r="F2999" s="6" t="inlineStr">
        <is>
          <t>439 203 204 703</t>
        </is>
      </c>
      <c r="G2999" s="7" t="inlineStr">
        <is>
          <t>E 1335089</t>
        </is>
      </c>
      <c r="H2999" s="9" t="inlineStr">
        <is>
          <t>Bagels: 6 everything, 6 cheese</t>
        </is>
      </c>
      <c r="I2999" s="9" t="n">
        <v>3</v>
      </c>
      <c r="J2999" s="9" t="inlineStr">
        <is>
          <t>lb</t>
        </is>
      </c>
      <c r="K2999" s="9" t="n">
        <v>7.99</v>
      </c>
    </row>
    <row r="3000" ht="15" customFormat="1" customHeight="1" s="5">
      <c r="A3000" s="81" t="n">
        <v>45797</v>
      </c>
      <c r="B3000" s="82" t="n">
        <v>0.7375</v>
      </c>
      <c r="C3000" s="5" t="inlineStr">
        <is>
          <t>Costco</t>
        </is>
      </c>
      <c r="E3000" s="5" t="n">
        <v>1</v>
      </c>
      <c r="F3000" s="6" t="inlineStr">
        <is>
          <t>439 203 204 703</t>
        </is>
      </c>
      <c r="G3000" s="7" t="inlineStr">
        <is>
          <t>E 5638</t>
        </is>
      </c>
      <c r="H3000" s="9" t="inlineStr">
        <is>
          <t>California Yellow Peaches - Kingsburg Orchards</t>
        </is>
      </c>
      <c r="I3000" s="9" t="n">
        <v>3</v>
      </c>
      <c r="J3000" s="9" t="inlineStr">
        <is>
          <t>lb</t>
        </is>
      </c>
      <c r="K3000" s="9" t="n">
        <v>6.99</v>
      </c>
    </row>
    <row r="3001" ht="15" customFormat="1" customHeight="1" s="5">
      <c r="A3001" s="81" t="n">
        <v>45797</v>
      </c>
      <c r="B3001" s="82" t="n">
        <v>0.7375</v>
      </c>
      <c r="C3001" s="5" t="inlineStr">
        <is>
          <t>Costco</t>
        </is>
      </c>
      <c r="E3001" s="5" t="n">
        <v>1</v>
      </c>
      <c r="F3001" s="6" t="inlineStr">
        <is>
          <t>439 203 204 703</t>
        </is>
      </c>
      <c r="G3001" s="7" t="inlineStr">
        <is>
          <t>E 77053</t>
        </is>
      </c>
      <c r="H3001" s="9" t="inlineStr">
        <is>
          <t>Grape tomatoes concerto</t>
        </is>
      </c>
      <c r="I3001" s="9" t="n">
        <v>2</v>
      </c>
      <c r="J3001" s="9" t="inlineStr">
        <is>
          <t>lb</t>
        </is>
      </c>
      <c r="K3001" s="9" t="n">
        <v>5.39</v>
      </c>
    </row>
    <row r="3002" ht="15" customFormat="1" customHeight="1" s="5">
      <c r="A3002" s="81" t="n">
        <v>45797</v>
      </c>
      <c r="B3002" s="82" t="n">
        <v>0.7375</v>
      </c>
      <c r="C3002" s="5" t="inlineStr">
        <is>
          <t>Costco</t>
        </is>
      </c>
      <c r="E3002" s="5" t="n">
        <v>1</v>
      </c>
      <c r="F3002" s="6" t="inlineStr">
        <is>
          <t>439 203 204 703</t>
        </is>
      </c>
      <c r="G3002" s="7" t="inlineStr">
        <is>
          <t>E 38175</t>
        </is>
      </c>
      <c r="H3002" s="9" t="inlineStr">
        <is>
          <t>Cara Oranges</t>
        </is>
      </c>
      <c r="I3002" s="9" t="n">
        <v>5</v>
      </c>
      <c r="J3002" s="9" t="inlineStr">
        <is>
          <t>lb</t>
        </is>
      </c>
      <c r="K3002" s="9" t="n">
        <v>4.49</v>
      </c>
    </row>
    <row r="3003" ht="15" customFormat="1" customHeight="1" s="5">
      <c r="A3003" s="81" t="n">
        <v>45797</v>
      </c>
      <c r="B3003" s="82" t="n">
        <v>0.7375</v>
      </c>
      <c r="C3003" s="5" t="inlineStr">
        <is>
          <t>Costco</t>
        </is>
      </c>
      <c r="E3003" s="5" t="n">
        <v>1</v>
      </c>
      <c r="F3003" s="6" t="inlineStr">
        <is>
          <t>439 203 204 703</t>
        </is>
      </c>
      <c r="G3003" s="7" t="inlineStr">
        <is>
          <t>E 0000352936</t>
        </is>
      </c>
      <c r="H3003" s="9" t="inlineStr">
        <is>
          <t>**DISCOUNT** Kellogg Cracker Collection</t>
        </is>
      </c>
      <c r="I3003" s="9" t="n">
        <v>52</v>
      </c>
      <c r="J3003" s="9" t="inlineStr">
        <is>
          <t>oz</t>
        </is>
      </c>
      <c r="K3003" s="9" t="inlineStr">
        <is>
          <t>4.0-</t>
        </is>
      </c>
    </row>
    <row r="3004" ht="15" customFormat="1" customHeight="1" s="5">
      <c r="A3004" s="81" t="n">
        <v>45797</v>
      </c>
      <c r="B3004" s="82" t="n">
        <v>0.7375</v>
      </c>
      <c r="C3004" s="5" t="inlineStr">
        <is>
          <t>Costco</t>
        </is>
      </c>
      <c r="E3004" s="5" t="n">
        <v>1</v>
      </c>
      <c r="F3004" s="6" t="inlineStr">
        <is>
          <t>439 203 204 703</t>
        </is>
      </c>
      <c r="G3004" s="7" t="inlineStr">
        <is>
          <t>E 1456653</t>
        </is>
      </c>
      <c r="H3004" s="9" t="inlineStr">
        <is>
          <t>Cracker Roll Collection Kellogg 13 stacks: Toasteds Buttercrisp(2), Toasteds Whole Wheat (2); Club Original (4); Townhouse Original (5)</t>
        </is>
      </c>
      <c r="I3004" s="9" t="n">
        <v>52</v>
      </c>
      <c r="J3004" s="9" t="inlineStr">
        <is>
          <t>oz</t>
        </is>
      </c>
      <c r="K3004" s="9" t="n">
        <v>12.89</v>
      </c>
    </row>
    <row r="3005" ht="15" customFormat="1" customHeight="1" s="5">
      <c r="A3005" s="81" t="n">
        <v>45797</v>
      </c>
      <c r="B3005" s="82" t="n">
        <v>0.7375</v>
      </c>
      <c r="C3005" s="5" t="inlineStr">
        <is>
          <t>Costco</t>
        </is>
      </c>
      <c r="E3005" s="5" t="n">
        <v>1</v>
      </c>
      <c r="F3005" s="6" t="inlineStr">
        <is>
          <t>439 203 204 703</t>
        </is>
      </c>
      <c r="G3005" s="7" t="inlineStr">
        <is>
          <t>E 635602</t>
        </is>
      </c>
      <c r="H3005" s="9" t="inlineStr">
        <is>
          <t>Organic Sun Dried Figs</t>
        </is>
      </c>
      <c r="I3005" s="9" t="n">
        <v>2.5</v>
      </c>
      <c r="J3005" s="9" t="inlineStr">
        <is>
          <t>lb</t>
        </is>
      </c>
      <c r="K3005" s="9" t="n">
        <v>11.59</v>
      </c>
    </row>
    <row r="3006" ht="15" customFormat="1" customHeight="1" s="5">
      <c r="A3006" s="81" t="n">
        <v>45797</v>
      </c>
      <c r="B3006" s="82" t="n">
        <v>0.7375</v>
      </c>
      <c r="C3006" s="5" t="inlineStr">
        <is>
          <t>Costco</t>
        </is>
      </c>
      <c r="E3006" s="5" t="n">
        <v>1</v>
      </c>
      <c r="F3006" s="6" t="inlineStr">
        <is>
          <t>439 203 204 703</t>
        </is>
      </c>
      <c r="G3006" s="17" t="inlineStr">
        <is>
          <t>723675</t>
        </is>
      </c>
      <c r="H3006" s="9" t="inlineStr">
        <is>
          <t>Kleenex Trusted Care Boxes 2-ply, 10 boxes x 230-cnt</t>
        </is>
      </c>
      <c r="I3006" s="9" t="n">
        <v>13202</v>
      </c>
      <c r="J3006" s="9" t="inlineStr">
        <is>
          <t>sq ft</t>
        </is>
      </c>
      <c r="K3006" s="9" t="inlineStr">
        <is>
          <t>20.99 A</t>
        </is>
      </c>
    </row>
    <row r="3007" ht="15" customFormat="1" customHeight="1" s="5">
      <c r="A3007" s="81" t="n">
        <v>45797</v>
      </c>
      <c r="B3007" s="82" t="n">
        <v>0.7375</v>
      </c>
      <c r="C3007" s="5" t="inlineStr">
        <is>
          <t>Costco</t>
        </is>
      </c>
      <c r="E3007" s="5" t="n">
        <v>1</v>
      </c>
      <c r="F3007" s="6" t="inlineStr">
        <is>
          <t>439 203 204 703</t>
        </is>
      </c>
      <c r="G3007" s="7" t="n"/>
      <c r="H3007" s="9" t="inlineStr">
        <is>
          <t>TAX A 8.00%</t>
        </is>
      </c>
      <c r="I3007" s="9" t="n">
        <v>7</v>
      </c>
      <c r="J3007" s="9" t="inlineStr">
        <is>
          <t>cnt</t>
        </is>
      </c>
      <c r="K3007" s="9" t="n">
        <v>1.68</v>
      </c>
    </row>
    <row r="3008" ht="15" customFormat="1" customHeight="1" s="5">
      <c r="A3008" s="81" t="n">
        <v>45797</v>
      </c>
      <c r="B3008" s="82" t="n">
        <v>0.6819444444444445</v>
      </c>
      <c r="C3008" s="5" t="inlineStr">
        <is>
          <t>Aurora Water</t>
        </is>
      </c>
      <c r="D3008" s="5" t="n">
        <v>1</v>
      </c>
      <c r="F3008" s="6" t="inlineStr">
        <is>
          <t>0002984655_4289984682</t>
        </is>
      </c>
      <c r="G3008" s="7" t="n"/>
      <c r="H3008" s="9" t="inlineStr">
        <is>
          <t>First 5K GAL @$5.63/KGal</t>
        </is>
      </c>
      <c r="I3008" s="9" t="n">
        <v>3</v>
      </c>
      <c r="J3008" s="9" t="inlineStr">
        <is>
          <t>KGal</t>
        </is>
      </c>
      <c r="K3008" s="9" t="n">
        <v>16.89</v>
      </c>
    </row>
    <row r="3009" ht="15" customFormat="1" customHeight="1" s="5">
      <c r="A3009" s="81" t="n">
        <v>45797</v>
      </c>
      <c r="B3009" s="82" t="n">
        <v>0.6819444444444445</v>
      </c>
      <c r="C3009" s="5" t="inlineStr">
        <is>
          <t>Aurora Water</t>
        </is>
      </c>
      <c r="D3009" s="5" t="n">
        <v>1</v>
      </c>
      <c r="F3009" s="6" t="inlineStr">
        <is>
          <t>0002984655_4289984682</t>
        </is>
      </c>
      <c r="G3009" s="7" t="n"/>
      <c r="H3009" s="9" t="inlineStr">
        <is>
          <t>Sewer Usage Chg @$5.06/Kgal</t>
        </is>
      </c>
      <c r="I3009" s="9" t="n">
        <v>3.33</v>
      </c>
      <c r="J3009" s="9" t="inlineStr">
        <is>
          <t>KGal</t>
        </is>
      </c>
      <c r="K3009" s="9" t="n">
        <v>16.85</v>
      </c>
    </row>
    <row r="3010" ht="15" customFormat="1" customHeight="1" s="5">
      <c r="A3010" s="81" t="n">
        <v>45797</v>
      </c>
      <c r="B3010" s="82" t="n">
        <v>0.6819444444444445</v>
      </c>
      <c r="C3010" s="5" t="inlineStr">
        <is>
          <t>Aurora Water</t>
        </is>
      </c>
      <c r="D3010" s="5" t="n">
        <v>1</v>
      </c>
      <c r="F3010" s="6" t="inlineStr">
        <is>
          <t>0002984655_4289984682</t>
        </is>
      </c>
      <c r="G3010" s="7" t="n"/>
      <c r="H3010" s="9" t="inlineStr">
        <is>
          <t>Water Monthly Svc Chg</t>
        </is>
      </c>
      <c r="I3010" s="9" t="n"/>
      <c r="J3010" s="9" t="n"/>
      <c r="K3010" s="9" t="n">
        <v>14.94</v>
      </c>
    </row>
    <row r="3011" ht="15" customFormat="1" customHeight="1" s="5">
      <c r="A3011" s="81" t="n">
        <v>45797</v>
      </c>
      <c r="B3011" s="82" t="n">
        <v>0.6819444444444445</v>
      </c>
      <c r="C3011" s="5" t="inlineStr">
        <is>
          <t>Aurora Water</t>
        </is>
      </c>
      <c r="D3011" s="5" t="n">
        <v>1</v>
      </c>
      <c r="F3011" s="6" t="inlineStr">
        <is>
          <t>0002984655_4289984682</t>
        </is>
      </c>
      <c r="G3011" s="7" t="n"/>
      <c r="H3011" s="9" t="inlineStr">
        <is>
          <t>Storm Drain Base</t>
        </is>
      </c>
      <c r="I3011" s="9" t="n"/>
      <c r="J3011" s="9" t="n"/>
      <c r="K3011" s="9" t="n">
        <v>11.6</v>
      </c>
    </row>
    <row r="3012" ht="15" customFormat="1" customHeight="1" s="5">
      <c r="A3012" s="81" t="n">
        <v>45797</v>
      </c>
      <c r="B3012" s="82" t="n">
        <v>0.6819444444444445</v>
      </c>
      <c r="C3012" s="5" t="inlineStr">
        <is>
          <t>Aurora Water</t>
        </is>
      </c>
      <c r="D3012" s="5" t="n">
        <v>1</v>
      </c>
      <c r="F3012" s="6" t="inlineStr">
        <is>
          <t>0002984655_4289984682</t>
        </is>
      </c>
      <c r="G3012" s="7" t="n"/>
      <c r="H3012" s="9" t="inlineStr">
        <is>
          <t>Sewer Monthly Svc Chg</t>
        </is>
      </c>
      <c r="I3012" s="9" t="n"/>
      <c r="J3012" s="9" t="n"/>
      <c r="K3012" s="9" t="n">
        <v>5.51</v>
      </c>
    </row>
    <row r="3013" ht="15" customFormat="1" customHeight="1" s="5">
      <c r="A3013" s="81" t="n">
        <v>45797</v>
      </c>
      <c r="B3013" s="82" t="n">
        <v>0.455</v>
      </c>
      <c r="C3013" s="5" t="inlineStr">
        <is>
          <t>Chick-Fil-A</t>
        </is>
      </c>
      <c r="E3013" s="5" t="n">
        <v>1</v>
      </c>
      <c r="F3013" s="6" t="inlineStr">
        <is>
          <t>7170204</t>
        </is>
      </c>
      <c r="G3013" s="7" t="n"/>
      <c r="H3013" s="9" t="inlineStr">
        <is>
          <t>Frosted Lemonade</t>
        </is>
      </c>
      <c r="I3013" s="9" t="n">
        <v>1</v>
      </c>
      <c r="J3013" s="9" t="inlineStr">
        <is>
          <t>cnt</t>
        </is>
      </c>
      <c r="K3013" s="9" t="n">
        <v>5.09</v>
      </c>
    </row>
    <row r="3014" ht="15" customFormat="1" customHeight="1" s="5">
      <c r="A3014" s="81" t="n">
        <v>45797</v>
      </c>
      <c r="B3014" s="82" t="n">
        <v>0.455</v>
      </c>
      <c r="C3014" s="5" t="inlineStr">
        <is>
          <t>Chick-Fil-A</t>
        </is>
      </c>
      <c r="E3014" s="5" t="n">
        <v>1</v>
      </c>
      <c r="F3014" s="6" t="inlineStr">
        <is>
          <t>7170204</t>
        </is>
      </c>
      <c r="G3014" s="7" t="n"/>
      <c r="H3014" s="9" t="inlineStr">
        <is>
          <t>**DISCOUNT** Birthday Dessert Credit</t>
        </is>
      </c>
      <c r="I3014" s="9" t="n">
        <v>1</v>
      </c>
      <c r="J3014" s="9" t="inlineStr">
        <is>
          <t>cnt</t>
        </is>
      </c>
      <c r="K3014" s="9" t="n">
        <v>-5.09</v>
      </c>
    </row>
    <row r="3015" ht="15" customFormat="1" customHeight="1" s="5">
      <c r="A3015" s="81" t="n">
        <v>45796</v>
      </c>
      <c r="B3015" s="82" t="n">
        <v>0.9402777777777778</v>
      </c>
      <c r="C3015" s="5" t="inlineStr">
        <is>
          <t>Amazon</t>
        </is>
      </c>
      <c r="D3015" s="5" t="n">
        <v>1</v>
      </c>
      <c r="F3015" s="6" t="inlineStr">
        <is>
          <t>111-7516662-4705025</t>
        </is>
      </c>
      <c r="G3015" s="10" t="n"/>
      <c r="H3015" s="9" t="inlineStr">
        <is>
          <t>DreamSky Wooden Digital Alarm Clocks for Bedrooms - Electric Desk Clock with Large Numbers, USB Port, Battery Backup Alarm, Adjustable Volume, Dimmer, Snooze, DST, 12/24H, Living Room Wood Décor (Red)</t>
        </is>
      </c>
      <c r="I3015" s="9" t="n">
        <v>1</v>
      </c>
      <c r="J3015" s="9" t="inlineStr">
        <is>
          <t>cnt</t>
        </is>
      </c>
      <c r="K3015" s="9" t="n">
        <v>16.99</v>
      </c>
    </row>
    <row r="3016" ht="16.25" customFormat="1" customHeight="1" s="5">
      <c r="A3016" s="81" t="n">
        <v>45796</v>
      </c>
      <c r="B3016" s="82" t="n">
        <v>0.9402777777777778</v>
      </c>
      <c r="C3016" s="5" t="inlineStr">
        <is>
          <t>Amazon</t>
        </is>
      </c>
      <c r="D3016" s="5" t="n">
        <v>1</v>
      </c>
      <c r="F3016" s="6" t="inlineStr">
        <is>
          <t>111-7516662-4705025</t>
        </is>
      </c>
      <c r="G3016" s="10" t="n"/>
      <c r="H3016" s="9" t="inlineStr">
        <is>
          <t>Estimated tax</t>
        </is>
      </c>
      <c r="I3016" s="9" t="n">
        <v>1</v>
      </c>
      <c r="J3016" s="9" t="inlineStr">
        <is>
          <t>cnt</t>
        </is>
      </c>
      <c r="K3016" s="9" t="n">
        <v>1.36</v>
      </c>
    </row>
    <row r="3017" ht="15" customFormat="1" customHeight="1" s="5">
      <c r="A3017" s="81" t="n">
        <v>45796</v>
      </c>
      <c r="B3017" s="82" t="n">
        <v>0.9402777777777778</v>
      </c>
      <c r="C3017" s="5" t="inlineStr">
        <is>
          <t>Amazon</t>
        </is>
      </c>
      <c r="D3017" s="5" t="n">
        <v>1</v>
      </c>
      <c r="F3017" s="6" t="inlineStr">
        <is>
          <t>111-9014387-7417853</t>
        </is>
      </c>
      <c r="G3017" s="10" t="n"/>
      <c r="H3017" s="9" t="inlineStr">
        <is>
          <t>USB C Block 30W PD Super Fast Charging Block Type C Plug Wall Adapter Quick Charger for iPhone 16/16 Plus/16 Pro/16 Pro Max/15/14/13/12/11/iPad/Mini/AirPod/Galaxy S25/S24/S23/S22 (White 1Pack)</t>
        </is>
      </c>
      <c r="I3017" s="9" t="n">
        <v>1</v>
      </c>
      <c r="J3017" s="9" t="inlineStr">
        <is>
          <t>cnt</t>
        </is>
      </c>
      <c r="K3017" s="9" t="n">
        <v>8.99</v>
      </c>
    </row>
    <row r="3018" ht="15" customFormat="1" customHeight="1" s="5">
      <c r="A3018" s="81" t="n">
        <v>45796</v>
      </c>
      <c r="B3018" s="82" t="n">
        <v>0.9402777777777778</v>
      </c>
      <c r="C3018" s="5" t="inlineStr">
        <is>
          <t>Amazon</t>
        </is>
      </c>
      <c r="D3018" s="5" t="n">
        <v>1</v>
      </c>
      <c r="F3018" s="6" t="inlineStr">
        <is>
          <t>111-9014387-7417853</t>
        </is>
      </c>
      <c r="G3018" s="10" t="n"/>
      <c r="H3018" s="9" t="inlineStr">
        <is>
          <t>4 Pack Lightning to USB C Adapter for iPhone 15/16 Pro/16 Pro Max/Plus,Samsung S24,iPad Air,Nintendo Switch,Fast Charging&amp;Data Transfer (Lightning to USB C Adapter)</t>
        </is>
      </c>
      <c r="I3018" s="9" t="n">
        <v>4</v>
      </c>
      <c r="J3018" s="9" t="inlineStr">
        <is>
          <t>cnt</t>
        </is>
      </c>
      <c r="K3018" s="9" t="n">
        <v>6.85</v>
      </c>
    </row>
    <row r="3019" ht="15" customFormat="1" customHeight="1" s="5">
      <c r="A3019" s="81" t="n">
        <v>45796</v>
      </c>
      <c r="B3019" s="82" t="n">
        <v>0.9402777777777778</v>
      </c>
      <c r="C3019" s="5" t="inlineStr">
        <is>
          <t>Amazon</t>
        </is>
      </c>
      <c r="D3019" s="5" t="n">
        <v>1</v>
      </c>
      <c r="F3019" s="6" t="inlineStr">
        <is>
          <t>111-9014387-7417853</t>
        </is>
      </c>
      <c r="G3019" s="10" t="n"/>
      <c r="H3019" s="9" t="inlineStr">
        <is>
          <t>Anker USB A to USB C Cable, Charger Cord (2 Pack, 3FT), for Samsung Galaxy Note 10/S10+ S10, LG V30 (Black)</t>
        </is>
      </c>
      <c r="I3019" s="9" t="n">
        <v>6</v>
      </c>
      <c r="J3019" s="9" t="inlineStr">
        <is>
          <t>feet</t>
        </is>
      </c>
      <c r="K3019" s="9" t="n">
        <v>6.64</v>
      </c>
    </row>
    <row r="3020" ht="15" customFormat="1" customHeight="1" s="5">
      <c r="A3020" s="81" t="n">
        <v>45796</v>
      </c>
      <c r="B3020" s="82" t="n">
        <v>0.9402777777777778</v>
      </c>
      <c r="C3020" s="5" t="inlineStr">
        <is>
          <t>Amazon</t>
        </is>
      </c>
      <c r="D3020" s="5" t="n">
        <v>1</v>
      </c>
      <c r="F3020" s="6" t="inlineStr">
        <is>
          <t>111-9014387-7417853</t>
        </is>
      </c>
      <c r="G3020" s="10" t="n"/>
      <c r="H3020" s="9" t="inlineStr">
        <is>
          <t>Huukein White USB C Cable 10 ft, Long USB A to USB C Cable Fast Charging, USBC Charger Cord Braided Compatible with iPhone 16 15 Pro Max Plus, for Samsung Galaxy S21 Note 10, Pixel</t>
        </is>
      </c>
      <c r="I3020" s="9" t="n">
        <v>10</v>
      </c>
      <c r="J3020" s="9" t="inlineStr">
        <is>
          <t>feet</t>
        </is>
      </c>
      <c r="K3020" s="9" t="n">
        <v>5.99</v>
      </c>
    </row>
    <row r="3021" ht="15" customFormat="1" customHeight="1" s="5">
      <c r="A3021" s="81" t="n">
        <v>45796</v>
      </c>
      <c r="B3021" s="82" t="n">
        <v>0.9402777777777778</v>
      </c>
      <c r="C3021" s="5" t="inlineStr">
        <is>
          <t>Amazon</t>
        </is>
      </c>
      <c r="D3021" s="5" t="n">
        <v>1</v>
      </c>
      <c r="F3021" s="6" t="inlineStr">
        <is>
          <t>111-9014387-7417853</t>
        </is>
      </c>
      <c r="G3021" s="10" t="n"/>
      <c r="H3021" s="9" t="inlineStr">
        <is>
          <t>Tax</t>
        </is>
      </c>
      <c r="I3021" s="9" t="n">
        <v>4</v>
      </c>
      <c r="J3021" s="9" t="inlineStr">
        <is>
          <t>cnt</t>
        </is>
      </c>
      <c r="K3021" s="9" t="n">
        <v>2.28</v>
      </c>
    </row>
    <row r="3022" ht="15" customFormat="1" customHeight="1" s="5">
      <c r="A3022" s="81" t="n">
        <v>45796</v>
      </c>
      <c r="B3022" s="82" t="n">
        <v>0.5326388888888889</v>
      </c>
      <c r="C3022" s="5" t="inlineStr">
        <is>
          <t>McDonald's</t>
        </is>
      </c>
      <c r="E3022" s="5" t="n">
        <v>1</v>
      </c>
      <c r="F3022" s="6" t="inlineStr">
        <is>
          <t>cantFindReceipt</t>
        </is>
      </c>
      <c r="G3022" s="10" t="n"/>
      <c r="H3022" s="9" t="inlineStr">
        <is>
          <t>Deluze McCrispy Chicken Sandwich</t>
        </is>
      </c>
      <c r="I3022" s="9" t="n">
        <v>1</v>
      </c>
      <c r="J3022" s="9" t="inlineStr">
        <is>
          <t>cnt</t>
        </is>
      </c>
      <c r="K3022" s="9" t="n">
        <v>5.99</v>
      </c>
    </row>
    <row r="3023" ht="15" customFormat="1" customHeight="1" s="5">
      <c r="A3023" s="81" t="n">
        <v>45796</v>
      </c>
      <c r="B3023" s="82" t="n">
        <v>0.5326388888888889</v>
      </c>
      <c r="C3023" s="5" t="inlineStr">
        <is>
          <t>McDonald's</t>
        </is>
      </c>
      <c r="E3023" s="5" t="n">
        <v>1</v>
      </c>
      <c r="F3023" s="6" t="inlineStr">
        <is>
          <t>cantFindReceipt</t>
        </is>
      </c>
      <c r="G3023" s="10" t="n"/>
      <c r="H3023" s="9" t="inlineStr">
        <is>
          <t xml:space="preserve">Sales Tax </t>
        </is>
      </c>
      <c r="I3023" s="9" t="n">
        <v>2</v>
      </c>
      <c r="J3023" s="9" t="inlineStr">
        <is>
          <t>cnt</t>
        </is>
      </c>
      <c r="K3023" s="9" t="n">
        <v>0.73</v>
      </c>
    </row>
    <row r="3024" ht="15" customFormat="1" customHeight="1" s="5">
      <c r="A3024" s="81" t="n">
        <v>45796</v>
      </c>
      <c r="B3024" s="82" t="n">
        <v>0.5326388888888889</v>
      </c>
      <c r="C3024" s="5" t="inlineStr">
        <is>
          <t>McDonald's</t>
        </is>
      </c>
      <c r="E3024" s="5" t="n">
        <v>1</v>
      </c>
      <c r="F3024" s="6" t="inlineStr">
        <is>
          <t>cantFindReceipt</t>
        </is>
      </c>
      <c r="G3024" s="10" t="n"/>
      <c r="H3024" s="9" t="inlineStr">
        <is>
          <t>Small Water</t>
        </is>
      </c>
      <c r="I3024" s="9" t="n">
        <v>1</v>
      </c>
      <c r="J3024" s="9" t="inlineStr">
        <is>
          <t>cnt</t>
        </is>
      </c>
      <c r="K3024" s="9" t="n">
        <v>0</v>
      </c>
    </row>
    <row r="3025" ht="15" customFormat="1" customHeight="1" s="5">
      <c r="A3025" s="81" t="n">
        <v>45796</v>
      </c>
      <c r="B3025" s="82" t="n">
        <v>0.5326388888888889</v>
      </c>
      <c r="C3025" s="5" t="inlineStr">
        <is>
          <t>McDonald's</t>
        </is>
      </c>
      <c r="E3025" s="5" t="n">
        <v>1</v>
      </c>
      <c r="F3025" s="6" t="inlineStr">
        <is>
          <t>cantFindReceipt</t>
        </is>
      </c>
      <c r="G3025" s="10" t="n"/>
      <c r="H3025" s="9" t="inlineStr">
        <is>
          <t>**DISCOUNT** 40% off chicken sandwiches</t>
        </is>
      </c>
      <c r="I3025" s="9" t="n">
        <v>1</v>
      </c>
      <c r="J3025" s="9" t="inlineStr">
        <is>
          <t>cnt</t>
        </is>
      </c>
      <c r="K3025" s="9" t="n">
        <v>-2.39</v>
      </c>
    </row>
    <row r="3026" ht="15" customFormat="1" customHeight="1" s="5">
      <c r="A3026" s="81" t="n">
        <v>45796</v>
      </c>
      <c r="B3026" s="82" t="n">
        <v>0.4229166666666667</v>
      </c>
      <c r="C3026" s="5" t="inlineStr">
        <is>
          <t>Fika Coffeehouse</t>
        </is>
      </c>
      <c r="E3026" s="5" t="n">
        <v>1</v>
      </c>
      <c r="F3026" s="6" t="inlineStr">
        <is>
          <t>#37QE</t>
        </is>
      </c>
      <c r="G3026" s="10" t="n"/>
      <c r="H3026" s="9" t="inlineStr">
        <is>
          <t>Small Flavored Latte: Borgia (Orange)</t>
        </is>
      </c>
      <c r="I3026" s="9" t="n">
        <v>8</v>
      </c>
      <c r="J3026" s="9" t="inlineStr">
        <is>
          <t>oz</t>
        </is>
      </c>
      <c r="K3026" s="9" t="n">
        <v>5</v>
      </c>
    </row>
    <row r="3027" ht="15" customFormat="1" customHeight="1" s="5">
      <c r="A3027" s="81" t="n">
        <v>45796</v>
      </c>
      <c r="B3027" s="82" t="n">
        <v>0.4229166666666667</v>
      </c>
      <c r="C3027" s="5" t="inlineStr">
        <is>
          <t>Fika Coffeehouse</t>
        </is>
      </c>
      <c r="E3027" s="5" t="n">
        <v>1</v>
      </c>
      <c r="F3027" s="6" t="inlineStr">
        <is>
          <t>#37QE</t>
        </is>
      </c>
      <c r="G3027" s="10" t="n"/>
      <c r="H3027" s="9" t="inlineStr">
        <is>
          <t>Sales Tax (8.0%)</t>
        </is>
      </c>
      <c r="I3027" s="9" t="n">
        <v>8</v>
      </c>
      <c r="J3027" s="9" t="inlineStr">
        <is>
          <t>oz</t>
        </is>
      </c>
      <c r="K3027" s="9" t="n">
        <v>0.4</v>
      </c>
    </row>
    <row r="3028" ht="15" customFormat="1" customHeight="1" s="5">
      <c r="A3028" s="81" t="n">
        <v>45796</v>
      </c>
      <c r="B3028" s="82" t="n">
        <v>0.3993055555555556</v>
      </c>
      <c r="C3028" s="5" t="inlineStr">
        <is>
          <t>CIT</t>
        </is>
      </c>
      <c r="D3028" s="5" t="n">
        <v>1</v>
      </c>
      <c r="F3028" s="6" t="n"/>
      <c r="G3028" s="10" t="n"/>
      <c r="H3028" s="9" t="inlineStr">
        <is>
          <t>Birthday gift from Kristi and David Best!</t>
        </is>
      </c>
      <c r="I3028" s="9" t="n">
        <v>1</v>
      </c>
      <c r="J3028" s="9" t="inlineStr">
        <is>
          <t>cnt</t>
        </is>
      </c>
      <c r="K3028" s="85" t="n">
        <v>-50</v>
      </c>
    </row>
    <row r="3029" ht="15" customFormat="1" customHeight="1" s="5">
      <c r="A3029" s="81" t="n">
        <v>45795</v>
      </c>
      <c r="B3029" s="82" t="n">
        <v>0.6388888888888888</v>
      </c>
      <c r="C3029" s="5" t="inlineStr">
        <is>
          <t>Whole Foods</t>
        </is>
      </c>
      <c r="E3029" s="5" t="n">
        <v>1</v>
      </c>
      <c r="F3029" s="6" t="inlineStr">
        <is>
          <t>906 64090</t>
        </is>
      </c>
      <c r="G3029" s="7" t="n"/>
      <c r="H3029" s="9" t="inlineStr">
        <is>
          <t>Lactalis, Le Petit Brie @ $16.99/lb</t>
        </is>
      </c>
      <c r="I3029" s="9" t="n">
        <v>0.37</v>
      </c>
      <c r="J3029" s="9" t="inlineStr">
        <is>
          <t>lb</t>
        </is>
      </c>
      <c r="K3029" s="9" t="n">
        <v>7.4</v>
      </c>
    </row>
    <row r="3030" ht="15" customFormat="1" customHeight="1" s="5">
      <c r="A3030" s="81" t="n">
        <v>45795</v>
      </c>
      <c r="B3030" s="82" t="n">
        <v>0.6388888888888888</v>
      </c>
      <c r="C3030" s="5" t="inlineStr">
        <is>
          <t>Whole Foods</t>
        </is>
      </c>
      <c r="E3030" s="5" t="n">
        <v>1</v>
      </c>
      <c r="F3030" s="6" t="inlineStr">
        <is>
          <t>906 64090</t>
        </is>
      </c>
      <c r="G3030" s="7" t="n"/>
      <c r="H3030" s="9" t="inlineStr">
        <is>
          <t>SARTORI CHEESE Merlot Bellavitano @ $19.99/lb</t>
        </is>
      </c>
      <c r="I3030" s="9" t="n">
        <v>0.32</v>
      </c>
      <c r="J3030" s="9" t="inlineStr">
        <is>
          <t>lb</t>
        </is>
      </c>
      <c r="K3030" s="9" t="n">
        <v>5.44</v>
      </c>
    </row>
    <row r="3031" ht="15" customFormat="1" customHeight="1" s="5">
      <c r="A3031" s="81" t="n">
        <v>45795</v>
      </c>
      <c r="B3031" s="82" t="n">
        <v>0.6388888888888888</v>
      </c>
      <c r="C3031" s="5" t="inlineStr">
        <is>
          <t>Whole Foods</t>
        </is>
      </c>
      <c r="E3031" s="5" t="n">
        <v>1</v>
      </c>
      <c r="F3031" s="6" t="inlineStr">
        <is>
          <t>906 64090</t>
        </is>
      </c>
      <c r="G3031" s="7" t="n"/>
      <c r="H3031" s="9" t="inlineStr">
        <is>
          <t>Tax</t>
        </is>
      </c>
      <c r="I3031" s="9" t="n">
        <v>2</v>
      </c>
      <c r="J3031" s="9" t="inlineStr">
        <is>
          <t>cnt</t>
        </is>
      </c>
      <c r="K3031" s="9" t="n">
        <v>0</v>
      </c>
    </row>
    <row r="3032" ht="15" customFormat="1" customHeight="1" s="5">
      <c r="A3032" s="81" t="n">
        <v>45795</v>
      </c>
      <c r="B3032" s="82" t="n">
        <v>0.6388888888888888</v>
      </c>
      <c r="C3032" s="5" t="inlineStr">
        <is>
          <t>Whole Foods</t>
        </is>
      </c>
      <c r="E3032" s="5" t="n">
        <v>1</v>
      </c>
      <c r="F3032" s="6" t="inlineStr">
        <is>
          <t>906 64090</t>
        </is>
      </c>
      <c r="G3032" s="7" t="n"/>
      <c r="H3032" s="9" t="inlineStr">
        <is>
          <t>50% off select cheeses</t>
        </is>
      </c>
      <c r="I3032" s="9" t="n">
        <v>0.6899999999999999</v>
      </c>
      <c r="J3032" s="9" t="inlineStr">
        <is>
          <t>lb</t>
        </is>
      </c>
      <c r="K3032" s="9" t="n">
        <v>-6.42</v>
      </c>
    </row>
    <row r="3033" ht="15" customFormat="1" customHeight="1" s="5">
      <c r="A3033" s="81" t="n">
        <v>45795</v>
      </c>
      <c r="B3033" s="82" t="n">
        <v>0.6298611111111111</v>
      </c>
      <c r="C3033" s="5" t="inlineStr">
        <is>
          <t>Amazon</t>
        </is>
      </c>
      <c r="D3033" s="5" t="n">
        <v>1</v>
      </c>
      <c r="F3033" s="6" t="inlineStr">
        <is>
          <t>111-2564892-2849037</t>
        </is>
      </c>
      <c r="G3033" s="7" t="n"/>
      <c r="H3033" s="9" t="inlineStr">
        <is>
          <t>**RETURNED** FAREVER Baby Bottle Handles, Easy Grip</t>
        </is>
      </c>
      <c r="I3033" s="9" t="n">
        <v>1</v>
      </c>
      <c r="J3033" s="9" t="inlineStr">
        <is>
          <t>cnt</t>
        </is>
      </c>
      <c r="K3033" s="9" t="n">
        <v>-3.23</v>
      </c>
    </row>
    <row r="3034" ht="15" customFormat="1" customHeight="1" s="5">
      <c r="A3034" s="81" t="n">
        <v>45795</v>
      </c>
      <c r="B3034" s="82" t="n">
        <v>0.6291666666666667</v>
      </c>
      <c r="C3034" s="5" t="inlineStr">
        <is>
          <t>Amazon</t>
        </is>
      </c>
      <c r="D3034" s="5" t="n">
        <v>1</v>
      </c>
      <c r="F3034" s="6" t="inlineStr">
        <is>
          <t>111-8827764-0000237</t>
        </is>
      </c>
      <c r="G3034" s="7" t="n"/>
      <c r="H3034" s="9" t="inlineStr">
        <is>
          <t>**RETURNED** boon sippy cup lids</t>
        </is>
      </c>
      <c r="I3034" s="9" t="n">
        <v>3</v>
      </c>
      <c r="J3034" s="9" t="inlineStr">
        <is>
          <t>cnt</t>
        </is>
      </c>
      <c r="K3034" s="9" t="n">
        <v>-11.87</v>
      </c>
    </row>
    <row r="3035" ht="15" customFormat="1" customHeight="1" s="5">
      <c r="A3035" s="81" t="n">
        <v>45795</v>
      </c>
      <c r="B3035" s="82" t="n">
        <v>0.6291666666666667</v>
      </c>
      <c r="C3035" s="5" t="inlineStr">
        <is>
          <t>Amazon</t>
        </is>
      </c>
      <c r="D3035" s="5" t="n">
        <v>1</v>
      </c>
      <c r="F3035" s="6" t="inlineStr">
        <is>
          <t>111-8827764-0000237</t>
        </is>
      </c>
      <c r="G3035" s="7" t="n"/>
      <c r="H3035" s="9" t="inlineStr">
        <is>
          <t>**RETURNED** Boon Snug Silicone Sippy Cup Lids - Convert Any Kids Cups or Toddler Cups into Soft Spout Sippy Cups - Toddler Feeding Supplies and Travel Essentials - Green - 3 Count</t>
        </is>
      </c>
      <c r="I3035" s="9" t="n">
        <v>3</v>
      </c>
      <c r="J3035" s="9" t="inlineStr">
        <is>
          <t>cnt</t>
        </is>
      </c>
      <c r="K3035" s="9" t="n">
        <v>-14.07</v>
      </c>
    </row>
    <row r="3036" ht="15" customFormat="1" customHeight="1" s="5">
      <c r="A3036" s="81" t="n">
        <v>45795</v>
      </c>
      <c r="B3036" s="82" t="n">
        <v>0.6284722222222222</v>
      </c>
      <c r="C3036" s="5" t="inlineStr">
        <is>
          <t>Amazon</t>
        </is>
      </c>
      <c r="D3036" s="5" t="n">
        <v>1</v>
      </c>
      <c r="F3036" s="6" t="inlineStr">
        <is>
          <t>111-5507083-6329845</t>
        </is>
      </c>
      <c r="G3036" s="7" t="n"/>
      <c r="H3036" s="9" t="inlineStr">
        <is>
          <t>**RETURNED** second hiccapop used tent</t>
        </is>
      </c>
      <c r="I3036" s="9" t="n">
        <v>1</v>
      </c>
      <c r="J3036" s="9" t="inlineStr">
        <is>
          <t>cnt</t>
        </is>
      </c>
      <c r="K3036" s="9" t="n">
        <v>-107.88</v>
      </c>
    </row>
    <row r="3037" ht="15" customFormat="1" customHeight="1" s="5">
      <c r="A3037" s="81" t="n">
        <v>45795</v>
      </c>
      <c r="B3037" s="82" t="n">
        <v>0.6284722222222222</v>
      </c>
      <c r="C3037" s="5" t="inlineStr">
        <is>
          <t>Amazon</t>
        </is>
      </c>
      <c r="D3037" s="5" t="n">
        <v>1</v>
      </c>
      <c r="F3037" s="6" t="inlineStr">
        <is>
          <t>111-5507083-6329845</t>
        </is>
      </c>
      <c r="G3037" s="7" t="n"/>
      <c r="H3037" s="9" t="inlineStr">
        <is>
          <t>**RETURNED** baby black Namebrand tent slumberPod</t>
        </is>
      </c>
      <c r="I3037" s="9" t="n">
        <v>1</v>
      </c>
      <c r="J3037" s="9" t="inlineStr">
        <is>
          <t>cnt</t>
        </is>
      </c>
      <c r="K3037" s="9" t="n">
        <v>-194.39</v>
      </c>
    </row>
    <row r="3038" ht="15" customFormat="1" customHeight="1" s="5">
      <c r="A3038" s="81" t="n">
        <v>45795</v>
      </c>
      <c r="B3038" s="82" t="n">
        <v>0.6284722222222222</v>
      </c>
      <c r="C3038" s="5" t="inlineStr">
        <is>
          <t>Amazon</t>
        </is>
      </c>
      <c r="D3038" s="5" t="n">
        <v>1</v>
      </c>
      <c r="F3038" s="6" t="inlineStr">
        <is>
          <t>111-9691691-1717813</t>
        </is>
      </c>
      <c r="G3038" s="7" t="n"/>
      <c r="H3038" s="9" t="inlineStr">
        <is>
          <t>**RETURNED** first hiccapop purchase</t>
        </is>
      </c>
      <c r="I3038" s="9" t="n">
        <v>1</v>
      </c>
      <c r="J3038" s="9" t="inlineStr">
        <is>
          <t>cnt</t>
        </is>
      </c>
      <c r="K3038" s="9" t="n">
        <v>-105.88</v>
      </c>
    </row>
    <row r="3039" ht="15" customFormat="1" customHeight="1" s="5">
      <c r="A3039" s="81" t="n">
        <v>45794</v>
      </c>
      <c r="B3039" s="82" t="n">
        <v>0.7236111111111111</v>
      </c>
      <c r="C3039" s="5" t="inlineStr">
        <is>
          <t>Costco</t>
        </is>
      </c>
      <c r="E3039" s="5" t="n">
        <v>1</v>
      </c>
      <c r="F3039" s="6" t="inlineStr">
        <is>
          <t>1027 231 385 731</t>
        </is>
      </c>
      <c r="G3039" s="17" t="inlineStr">
        <is>
          <t>1184862</t>
        </is>
      </c>
      <c r="H3039" s="9" t="inlineStr">
        <is>
          <t>Whole pepperoni pizza</t>
        </is>
      </c>
      <c r="I3039" s="9" t="n">
        <v>1</v>
      </c>
      <c r="J3039" s="9" t="inlineStr">
        <is>
          <t>cnt</t>
        </is>
      </c>
      <c r="K3039" s="9" t="inlineStr">
        <is>
          <t>9.95 AB</t>
        </is>
      </c>
    </row>
    <row r="3040" ht="15" customFormat="1" customHeight="1" s="5">
      <c r="A3040" s="81" t="n">
        <v>45794</v>
      </c>
      <c r="B3040" s="82" t="n">
        <v>0.7236111111111111</v>
      </c>
      <c r="C3040" s="5" t="inlineStr">
        <is>
          <t>Costco</t>
        </is>
      </c>
      <c r="E3040" s="5" t="n">
        <v>1</v>
      </c>
      <c r="F3040" s="6" t="inlineStr">
        <is>
          <t>1027 231 385 731</t>
        </is>
      </c>
      <c r="G3040" s="17" t="inlineStr">
        <is>
          <t>1214898</t>
        </is>
      </c>
      <c r="H3040" s="9" t="inlineStr">
        <is>
          <t>Whole Cheese/Pepperoni Pizza</t>
        </is>
      </c>
      <c r="I3040" s="9" t="n">
        <v>1</v>
      </c>
      <c r="J3040" s="9" t="inlineStr">
        <is>
          <t>cnt</t>
        </is>
      </c>
      <c r="K3040" s="9" t="inlineStr">
        <is>
          <t>9.95 AB</t>
        </is>
      </c>
    </row>
    <row r="3041" ht="15" customFormat="1" customHeight="1" s="5">
      <c r="A3041" s="81" t="n">
        <v>45794</v>
      </c>
      <c r="B3041" s="82" t="n">
        <v>0.7236111111111111</v>
      </c>
      <c r="C3041" s="5" t="inlineStr">
        <is>
          <t>Costco</t>
        </is>
      </c>
      <c r="E3041" s="5" t="n">
        <v>1</v>
      </c>
      <c r="F3041" s="6" t="inlineStr">
        <is>
          <t>1027 231 385 731</t>
        </is>
      </c>
      <c r="G3041" s="7" t="n"/>
      <c r="H3041" s="9" t="inlineStr">
        <is>
          <t>Tax A 7.75% Englewood</t>
        </is>
      </c>
      <c r="I3041" s="9" t="n">
        <v>2</v>
      </c>
      <c r="J3041" s="9" t="inlineStr">
        <is>
          <t>cnt</t>
        </is>
      </c>
      <c r="K3041" s="9" t="n">
        <v>1.56</v>
      </c>
    </row>
    <row r="3042" ht="15" customFormat="1" customHeight="1" s="5">
      <c r="A3042" s="81" t="n">
        <v>45794</v>
      </c>
      <c r="B3042" s="82" t="n">
        <v>0.7236111111111111</v>
      </c>
      <c r="C3042" s="5" t="inlineStr">
        <is>
          <t>Costco</t>
        </is>
      </c>
      <c r="E3042" s="5" t="n">
        <v>1</v>
      </c>
      <c r="F3042" s="6" t="inlineStr">
        <is>
          <t>1027 231 385 731</t>
        </is>
      </c>
      <c r="G3042" s="7" t="n"/>
      <c r="H3042" s="9" t="inlineStr">
        <is>
          <t>Tax B 1.00% PIF</t>
        </is>
      </c>
      <c r="I3042" s="9" t="n">
        <v>2</v>
      </c>
      <c r="J3042" s="9" t="inlineStr">
        <is>
          <t>cnt</t>
        </is>
      </c>
      <c r="K3042" s="9" t="n">
        <v>0.2</v>
      </c>
    </row>
    <row r="3043" ht="15" customFormat="1" customHeight="1" s="5">
      <c r="A3043" s="81" t="n">
        <v>45794</v>
      </c>
      <c r="B3043" s="82" t="n">
        <v>0.5159722222222223</v>
      </c>
      <c r="C3043" s="5" t="inlineStr">
        <is>
          <t>Shell</t>
        </is>
      </c>
      <c r="E3043" s="5" t="n">
        <v>1</v>
      </c>
      <c r="F3043" s="16" t="n">
        <v>9069056</v>
      </c>
      <c r="G3043" s="10" t="n"/>
      <c r="H3043" s="9" t="inlineStr">
        <is>
          <t>Kawi gas</t>
        </is>
      </c>
      <c r="I3043" s="9" t="n">
        <v>2.5</v>
      </c>
      <c r="J3043" s="9" t="inlineStr">
        <is>
          <t>gal</t>
        </is>
      </c>
      <c r="K3043" s="9" t="n">
        <v>7.5</v>
      </c>
    </row>
    <row r="3044" ht="15" customFormat="1" customHeight="1" s="5">
      <c r="A3044" s="81" t="n">
        <v>45794</v>
      </c>
      <c r="B3044" s="82" t="n">
        <v>0.4069444444444444</v>
      </c>
      <c r="C3044" s="5" t="inlineStr">
        <is>
          <t>Amazon</t>
        </is>
      </c>
      <c r="D3044" s="5" t="n">
        <v>1</v>
      </c>
      <c r="F3044" s="6" t="inlineStr">
        <is>
          <t>111-0522983-1561804</t>
        </is>
      </c>
      <c r="G3044" s="7" t="n"/>
      <c r="H3044" s="9" t="inlineStr">
        <is>
          <t>hiccapop Blackout Tent for Pack and Play, Patented Portable Crib Tent, Blackout Canopy Crib Cover, Sleep Pod for Kids, Black</t>
        </is>
      </c>
      <c r="I3044" s="9" t="n"/>
      <c r="J3044" s="9" t="n"/>
      <c r="K3044" s="9" t="n">
        <v>149.92</v>
      </c>
    </row>
    <row r="3045" ht="15" customFormat="1" customHeight="1" s="5">
      <c r="A3045" s="81" t="n">
        <v>45794</v>
      </c>
      <c r="B3045" s="82" t="n">
        <v>0.4069444444444444</v>
      </c>
      <c r="C3045" s="5" t="inlineStr">
        <is>
          <t>Amazon</t>
        </is>
      </c>
      <c r="D3045" s="5" t="n">
        <v>1</v>
      </c>
      <c r="F3045" s="6" t="inlineStr">
        <is>
          <t>111-0522983-1561804</t>
        </is>
      </c>
      <c r="G3045" s="7" t="n"/>
      <c r="H3045" s="9" t="inlineStr">
        <is>
          <t>Amazon May 15 mystery gift cards (clerical error..?)</t>
        </is>
      </c>
      <c r="I3045" s="9" t="n"/>
      <c r="J3045" s="9" t="n"/>
      <c r="K3045" s="9" t="n">
        <v>43.18</v>
      </c>
    </row>
    <row r="3046" ht="15" customFormat="1" customHeight="1" s="5">
      <c r="A3046" s="81" t="n">
        <v>45794</v>
      </c>
      <c r="B3046" s="82" t="n">
        <v>0.4069444444444444</v>
      </c>
      <c r="C3046" s="5" t="inlineStr">
        <is>
          <t>Amazon</t>
        </is>
      </c>
      <c r="D3046" s="5" t="n">
        <v>1</v>
      </c>
      <c r="F3046" s="6" t="inlineStr">
        <is>
          <t>111-0522983-1561804</t>
        </is>
      </c>
      <c r="G3046" s="7" t="n"/>
      <c r="H3046" s="9" t="inlineStr">
        <is>
          <t>Tax</t>
        </is>
      </c>
      <c r="I3046" s="9" t="n"/>
      <c r="J3046" s="9" t="n"/>
      <c r="K3046" s="9" t="n">
        <v>11.99</v>
      </c>
    </row>
    <row r="3047" ht="15" customFormat="1" customHeight="1" s="5">
      <c r="A3047" s="81" t="n">
        <v>45794</v>
      </c>
      <c r="B3047" s="82" t="n">
        <v>0.4069444444444444</v>
      </c>
      <c r="C3047" s="5" t="inlineStr">
        <is>
          <t>Amazon</t>
        </is>
      </c>
      <c r="D3047" s="5" t="n">
        <v>1</v>
      </c>
      <c r="F3047" s="6" t="inlineStr">
        <is>
          <t>111-0522983-1561804</t>
        </is>
      </c>
      <c r="G3047" s="7" t="n"/>
      <c r="H3047" s="9" t="inlineStr">
        <is>
          <t>Co retail delivery fee</t>
        </is>
      </c>
      <c r="I3047" s="9" t="n"/>
      <c r="J3047" s="9" t="n"/>
      <c r="K3047" s="9" t="n">
        <v>0.29</v>
      </c>
    </row>
    <row r="3048" ht="15" customFormat="1" customHeight="1" s="5">
      <c r="A3048" s="81" t="n">
        <v>45794</v>
      </c>
      <c r="B3048" s="82" t="n">
        <v>0.4069444444444444</v>
      </c>
      <c r="C3048" s="5" t="inlineStr">
        <is>
          <t>Amazon</t>
        </is>
      </c>
      <c r="D3048" s="5" t="n">
        <v>1</v>
      </c>
      <c r="F3048" s="6" t="inlineStr">
        <is>
          <t>111-0522983-1561804</t>
        </is>
      </c>
      <c r="G3048" s="7" t="n"/>
      <c r="H3048" s="9" t="inlineStr">
        <is>
          <t>Amazon May 15 mystery gift cards (clerical error..?)</t>
        </is>
      </c>
      <c r="I3048" s="9" t="n"/>
      <c r="J3048" s="9" t="n"/>
      <c r="K3048" s="9" t="n">
        <v>-43.18</v>
      </c>
    </row>
    <row r="3049" ht="15" customFormat="1" customHeight="1" s="5">
      <c r="A3049" s="81" t="n">
        <v>45793</v>
      </c>
      <c r="B3049" s="82" t="n">
        <v>0.7514930555555556</v>
      </c>
      <c r="C3049" s="5" t="inlineStr">
        <is>
          <t>Dairy Queen</t>
        </is>
      </c>
      <c r="E3049" s="5" t="n">
        <v>1</v>
      </c>
      <c r="F3049" s="6" t="inlineStr">
        <is>
          <t>AADF9MXYAEBV</t>
        </is>
      </c>
      <c r="G3049" s="7" t="n"/>
      <c r="H3049" s="9" t="inlineStr">
        <is>
          <t>Small Blizzard: Strawberry Cheesecake</t>
        </is>
      </c>
      <c r="I3049" s="9" t="n">
        <v>12</v>
      </c>
      <c r="J3049" s="9" t="inlineStr">
        <is>
          <t>oz</t>
        </is>
      </c>
      <c r="K3049" s="9" t="n">
        <v>5.29</v>
      </c>
    </row>
    <row r="3050" ht="15" customFormat="1" customHeight="1" s="5">
      <c r="A3050" s="81" t="n">
        <v>45793</v>
      </c>
      <c r="B3050" s="82" t="n">
        <v>0.7514930555555556</v>
      </c>
      <c r="C3050" s="5" t="inlineStr">
        <is>
          <t>Dairy Queen</t>
        </is>
      </c>
      <c r="E3050" s="5" t="n">
        <v>1</v>
      </c>
      <c r="F3050" s="6" t="inlineStr">
        <is>
          <t>AADF9MXYAEBV</t>
        </is>
      </c>
      <c r="G3050" s="7" t="n"/>
      <c r="H3050" s="9" t="inlineStr">
        <is>
          <t>Mini Blizzard: Oreo</t>
        </is>
      </c>
      <c r="I3050" s="9" t="n">
        <v>6</v>
      </c>
      <c r="J3050" s="9" t="inlineStr">
        <is>
          <t>oz</t>
        </is>
      </c>
      <c r="K3050" s="9" t="n">
        <v>4.39</v>
      </c>
    </row>
    <row r="3051" ht="15" customFormat="1" customHeight="1" s="5">
      <c r="A3051" s="81" t="n">
        <v>45793</v>
      </c>
      <c r="B3051" s="82" t="n">
        <v>0.7514930555555556</v>
      </c>
      <c r="C3051" s="5" t="inlineStr">
        <is>
          <t>Dairy Queen</t>
        </is>
      </c>
      <c r="E3051" s="5" t="n">
        <v>1</v>
      </c>
      <c r="F3051" s="6" t="inlineStr">
        <is>
          <t>AADF9MXYAEBV</t>
        </is>
      </c>
      <c r="G3051" s="7" t="n"/>
      <c r="H3051" s="9" t="inlineStr">
        <is>
          <t>Sales Tax</t>
        </is>
      </c>
      <c r="I3051" s="9" t="n">
        <v>18</v>
      </c>
      <c r="J3051" s="9" t="inlineStr">
        <is>
          <t>oz</t>
        </is>
      </c>
      <c r="K3051" s="9" t="n">
        <v>0.77</v>
      </c>
    </row>
    <row r="3052" ht="15" customFormat="1" customHeight="1" s="5">
      <c r="A3052" s="81" t="n">
        <v>45793</v>
      </c>
      <c r="B3052" s="82" t="n">
        <v>0.7514930555555556</v>
      </c>
      <c r="C3052" s="5" t="inlineStr">
        <is>
          <t>Dairy Queen</t>
        </is>
      </c>
      <c r="E3052" s="5" t="n">
        <v>1</v>
      </c>
      <c r="F3052" s="6" t="inlineStr">
        <is>
          <t>AADF9MXYAEBV</t>
        </is>
      </c>
      <c r="G3052" s="7" t="n"/>
      <c r="H3052" s="9" t="inlineStr">
        <is>
          <t>**DISCOUNT** Gift card from Willcoxes</t>
        </is>
      </c>
      <c r="I3052" s="9" t="n">
        <v>18</v>
      </c>
      <c r="J3052" s="9" t="inlineStr">
        <is>
          <t>oz</t>
        </is>
      </c>
      <c r="K3052" s="9" t="n">
        <v>-2.09</v>
      </c>
    </row>
    <row r="3053" ht="15" customFormat="1" customHeight="1" s="5">
      <c r="A3053" s="81" t="n">
        <v>45793</v>
      </c>
      <c r="B3053" s="82" t="n">
        <v>0.6770833333333334</v>
      </c>
      <c r="C3053" s="5" t="inlineStr">
        <is>
          <t>Johns Hopkins University</t>
        </is>
      </c>
      <c r="D3053" s="5" t="n">
        <v>1</v>
      </c>
      <c r="F3053" s="6" t="n"/>
      <c r="G3053" s="10" t="n"/>
      <c r="H3053" s="9" t="inlineStr">
        <is>
          <t>Graduation Fee</t>
        </is>
      </c>
      <c r="I3053" s="9" t="n"/>
      <c r="J3053" s="9" t="n"/>
      <c r="K3053" s="85" t="n">
        <v>100</v>
      </c>
    </row>
    <row r="3054" ht="15" customFormat="1" customHeight="1" s="5">
      <c r="A3054" s="81" t="n">
        <v>45793</v>
      </c>
      <c r="B3054" s="82" t="n">
        <v>0.4333333333333333</v>
      </c>
      <c r="C3054" s="5" t="inlineStr">
        <is>
          <t>Costco</t>
        </is>
      </c>
      <c r="E3054" s="5" t="n">
        <v>1</v>
      </c>
      <c r="F3054" s="6" t="inlineStr">
        <is>
          <t>439 122 17 614</t>
        </is>
      </c>
      <c r="G3054" s="7" t="n"/>
      <c r="H3054" s="9" t="inlineStr">
        <is>
          <t>**REFUNDED** Tax</t>
        </is>
      </c>
      <c r="I3054" s="9" t="n">
        <v>1</v>
      </c>
      <c r="J3054" s="9" t="inlineStr">
        <is>
          <t>cnt</t>
        </is>
      </c>
      <c r="K3054" s="9" t="n">
        <v>0</v>
      </c>
    </row>
    <row r="3055" ht="15" customFormat="1" customHeight="1" s="5">
      <c r="A3055" s="81" t="n">
        <v>45793</v>
      </c>
      <c r="B3055" s="82" t="n">
        <v>0.4333333333333333</v>
      </c>
      <c r="C3055" s="5" t="inlineStr">
        <is>
          <t>Costco</t>
        </is>
      </c>
      <c r="E3055" s="5" t="n">
        <v>1</v>
      </c>
      <c r="F3055" s="6" t="inlineStr">
        <is>
          <t>439 122 17 614</t>
        </is>
      </c>
      <c r="G3055" s="7" t="inlineStr">
        <is>
          <t>E 1908395</t>
        </is>
      </c>
      <c r="H3055" s="9" t="inlineStr">
        <is>
          <t>**RETURNED** cucumber kimchi</t>
        </is>
      </c>
      <c r="I3055" s="9" t="n">
        <v>1</v>
      </c>
      <c r="J3055" s="9" t="inlineStr">
        <is>
          <t>cnt</t>
        </is>
      </c>
      <c r="K3055" s="9" t="n">
        <v>-11.99</v>
      </c>
    </row>
    <row r="3056" ht="15" customFormat="1" customHeight="1" s="5">
      <c r="A3056" s="81" t="n">
        <v>45793</v>
      </c>
      <c r="B3056" s="82" t="n">
        <v>0.4201388888888889</v>
      </c>
      <c r="C3056" s="5" t="inlineStr">
        <is>
          <t>Paris Baguette Bakery</t>
        </is>
      </c>
      <c r="E3056" s="5" t="n">
        <v>1</v>
      </c>
      <c r="F3056" s="6" t="inlineStr">
        <is>
          <t>cantFindReceipt</t>
        </is>
      </c>
      <c r="G3056" s="7" t="n"/>
      <c r="H3056" s="9" t="inlineStr">
        <is>
          <t>Coffee Croissant Donut</t>
        </is>
      </c>
      <c r="I3056" s="9" t="n">
        <v>1</v>
      </c>
      <c r="J3056" s="9" t="inlineStr">
        <is>
          <t>cnt</t>
        </is>
      </c>
      <c r="K3056" s="9" t="n">
        <v>5.39</v>
      </c>
    </row>
    <row r="3057" ht="15" customFormat="1" customHeight="1" s="5">
      <c r="A3057" s="81" t="n">
        <v>45793</v>
      </c>
      <c r="B3057" s="82" t="n">
        <v>0.4201388888888889</v>
      </c>
      <c r="C3057" s="5" t="inlineStr">
        <is>
          <t>Paris Baguette Bakery</t>
        </is>
      </c>
      <c r="E3057" s="5" t="n">
        <v>1</v>
      </c>
      <c r="F3057" s="6" t="inlineStr">
        <is>
          <t>cantFindReceipt</t>
        </is>
      </c>
      <c r="G3057" s="7" t="n"/>
      <c r="H3057" s="9" t="inlineStr">
        <is>
          <t>Sausage Pastry Frank</t>
        </is>
      </c>
      <c r="I3057" s="9" t="n">
        <v>1</v>
      </c>
      <c r="J3057" s="9" t="inlineStr">
        <is>
          <t>cnt</t>
        </is>
      </c>
      <c r="K3057" s="9" t="n">
        <v>4.19</v>
      </c>
    </row>
    <row r="3058" ht="15" customFormat="1" customHeight="1" s="5">
      <c r="A3058" s="81" t="n">
        <v>45793</v>
      </c>
      <c r="B3058" s="82" t="n">
        <v>0.4201388888888889</v>
      </c>
      <c r="C3058" s="5" t="inlineStr">
        <is>
          <t>Paris Baguette Bakery</t>
        </is>
      </c>
      <c r="E3058" s="5" t="n">
        <v>1</v>
      </c>
      <c r="F3058" s="6" t="inlineStr">
        <is>
          <t>cantFindReceipt</t>
        </is>
      </c>
      <c r="G3058" s="7" t="n"/>
      <c r="H3058" s="9" t="inlineStr">
        <is>
          <t>Sales Tax (?)</t>
        </is>
      </c>
      <c r="I3058" s="9" t="n"/>
      <c r="J3058" s="9" t="n"/>
      <c r="K3058" s="9" t="n">
        <v>0.82</v>
      </c>
    </row>
    <row r="3059" ht="15" customFormat="1" customHeight="1" s="5">
      <c r="A3059" s="81" t="n">
        <v>45792</v>
      </c>
      <c r="B3059" s="82" t="n">
        <v>0.6677314814814815</v>
      </c>
      <c r="C3059" s="5" t="inlineStr">
        <is>
          <t>Hiro Japanese Buffet</t>
        </is>
      </c>
      <c r="E3059" s="5" t="n">
        <v>1</v>
      </c>
      <c r="F3059" s="6" t="inlineStr">
        <is>
          <t>#113</t>
        </is>
      </c>
      <c r="G3059" s="7" t="n"/>
      <c r="H3059" s="9" t="inlineStr">
        <is>
          <t>adult dinner buffet</t>
        </is>
      </c>
      <c r="I3059" s="9" t="n">
        <v>2</v>
      </c>
      <c r="J3059" s="9" t="inlineStr">
        <is>
          <t>cnt</t>
        </is>
      </c>
      <c r="K3059" s="9" t="n">
        <v>43.98</v>
      </c>
    </row>
    <row r="3060" ht="15" customFormat="1" customHeight="1" s="5">
      <c r="A3060" s="81" t="n">
        <v>45792</v>
      </c>
      <c r="B3060" s="82" t="n">
        <v>0.6677314814814815</v>
      </c>
      <c r="C3060" s="5" t="inlineStr">
        <is>
          <t>Hiro Japanese Buffet</t>
        </is>
      </c>
      <c r="E3060" s="5" t="n">
        <v>1</v>
      </c>
      <c r="F3060" s="6" t="inlineStr">
        <is>
          <t>#113</t>
        </is>
      </c>
      <c r="G3060" s="7" t="n"/>
      <c r="H3060" s="9" t="inlineStr">
        <is>
          <t>Tip "20%"</t>
        </is>
      </c>
      <c r="I3060" s="9" t="n">
        <v>2</v>
      </c>
      <c r="J3060" s="9" t="inlineStr">
        <is>
          <t>cnt</t>
        </is>
      </c>
      <c r="K3060" s="9" t="n">
        <v>4.4</v>
      </c>
    </row>
    <row r="3061" ht="15" customFormat="1" customHeight="1" s="5">
      <c r="A3061" s="81" t="n">
        <v>45792</v>
      </c>
      <c r="B3061" s="82" t="n">
        <v>0.6677314814814815</v>
      </c>
      <c r="C3061" s="5" t="inlineStr">
        <is>
          <t>Hiro Japanese Buffet</t>
        </is>
      </c>
      <c r="E3061" s="5" t="n">
        <v>1</v>
      </c>
      <c r="F3061" s="6" t="inlineStr">
        <is>
          <t>#113</t>
        </is>
      </c>
      <c r="G3061" s="7" t="n"/>
      <c r="H3061" s="9" t="inlineStr">
        <is>
          <t>Sales Tax</t>
        </is>
      </c>
      <c r="I3061" s="9" t="n">
        <v>2</v>
      </c>
      <c r="J3061" s="9" t="inlineStr">
        <is>
          <t>cnt</t>
        </is>
      </c>
      <c r="K3061" s="9" t="n">
        <v>1.76</v>
      </c>
    </row>
    <row r="3062" ht="15" customFormat="1" customHeight="1" s="5">
      <c r="A3062" s="81" t="n">
        <v>45792</v>
      </c>
      <c r="B3062" s="82" t="n">
        <v>0.6677314814814815</v>
      </c>
      <c r="C3062" s="5" t="inlineStr">
        <is>
          <t>Hiro Japanese Buffet</t>
        </is>
      </c>
      <c r="E3062" s="5" t="n">
        <v>1</v>
      </c>
      <c r="F3062" s="6" t="inlineStr">
        <is>
          <t>#113</t>
        </is>
      </c>
      <c r="G3062" s="7" t="n"/>
      <c r="H3062" s="9" t="inlineStr">
        <is>
          <t>**DISCOUNT** Birthday buffet credit</t>
        </is>
      </c>
      <c r="I3062" s="9" t="n">
        <v>1</v>
      </c>
      <c r="J3062" s="9" t="inlineStr">
        <is>
          <t>cnt</t>
        </is>
      </c>
      <c r="K3062" s="9" t="n">
        <v>-21.99</v>
      </c>
    </row>
    <row r="3063" ht="15" customFormat="1" customHeight="1" s="5">
      <c r="A3063" s="79" t="n">
        <v>45792</v>
      </c>
      <c r="B3063" s="78" t="n">
        <v>0.4305555555555556</v>
      </c>
      <c r="C3063" s="35" t="inlineStr">
        <is>
          <t>BELLA Health + Wellness</t>
        </is>
      </c>
      <c r="D3063" s="35" t="n">
        <v>1</v>
      </c>
      <c r="E3063" s="35" t="n"/>
      <c r="F3063" s="47" t="inlineStr">
        <is>
          <t>515162022</t>
        </is>
      </c>
      <c r="G3063" s="48" t="inlineStr">
        <is>
          <t>2025107BQ9414</t>
        </is>
      </c>
      <c r="H3063" s="49" t="inlineStr">
        <is>
          <t>4/14 Lydia Medical "Office O/p Est Low 20 Min" -- BELLA Health telemedicine first prenatal meeting</t>
        </is>
      </c>
      <c r="I3063" s="49" t="n"/>
      <c r="J3063" s="49" t="n"/>
      <c r="K3063" s="49" t="n">
        <v>116.76</v>
      </c>
    </row>
    <row r="3064" ht="15" customFormat="1" customHeight="1" s="5">
      <c r="A3064" s="81" t="n">
        <v>45792</v>
      </c>
      <c r="B3064" s="82" t="n">
        <v>0.4013888888888889</v>
      </c>
      <c r="C3064" s="5" t="inlineStr">
        <is>
          <t>Lamar's Doughnuts</t>
        </is>
      </c>
      <c r="E3064" s="5" t="n">
        <v>1</v>
      </c>
      <c r="F3064" s="6" t="inlineStr">
        <is>
          <t>#1148</t>
        </is>
      </c>
      <c r="G3064" s="7" t="n"/>
      <c r="H3064" s="9" t="inlineStr">
        <is>
          <t>Tip</t>
        </is>
      </c>
      <c r="I3064" s="9" t="n">
        <v>1</v>
      </c>
      <c r="J3064" s="9" t="inlineStr">
        <is>
          <t>cnt</t>
        </is>
      </c>
      <c r="K3064" s="9" t="n">
        <v>3.5</v>
      </c>
    </row>
    <row r="3065" ht="15" customFormat="1" customHeight="1" s="5">
      <c r="A3065" s="81" t="n">
        <v>45792</v>
      </c>
      <c r="B3065" s="82" t="n">
        <v>0.4013888888888889</v>
      </c>
      <c r="C3065" s="5" t="inlineStr">
        <is>
          <t>Lamar's Doughnuts</t>
        </is>
      </c>
      <c r="E3065" s="5" t="n">
        <v>1</v>
      </c>
      <c r="F3065" s="6" t="inlineStr">
        <is>
          <t>#1148</t>
        </is>
      </c>
      <c r="G3065" s="7" t="n"/>
      <c r="H3065" s="9" t="inlineStr">
        <is>
          <t>Old fashioned donut</t>
        </is>
      </c>
      <c r="I3065" s="9" t="n">
        <v>1</v>
      </c>
      <c r="J3065" s="9" t="inlineStr">
        <is>
          <t>cnt</t>
        </is>
      </c>
      <c r="K3065" s="9" t="n">
        <v>2.99</v>
      </c>
    </row>
    <row r="3066" ht="15" customFormat="1" customHeight="1" s="5">
      <c r="A3066" s="81" t="n">
        <v>45792</v>
      </c>
      <c r="B3066" s="82" t="n">
        <v>0.4013888888888889</v>
      </c>
      <c r="C3066" s="5" t="inlineStr">
        <is>
          <t>Lamar's Doughnuts</t>
        </is>
      </c>
      <c r="E3066" s="5" t="n">
        <v>1</v>
      </c>
      <c r="F3066" s="6" t="inlineStr">
        <is>
          <t>#1148</t>
        </is>
      </c>
      <c r="G3066" s="7" t="n"/>
      <c r="H3066" s="9" t="inlineStr">
        <is>
          <t>Tax</t>
        </is>
      </c>
      <c r="I3066" s="9" t="n">
        <v>1</v>
      </c>
      <c r="J3066" s="9" t="inlineStr">
        <is>
          <t>cnt</t>
        </is>
      </c>
      <c r="K3066" s="9" t="n">
        <v>0.24</v>
      </c>
    </row>
    <row r="3067" ht="15" customFormat="1" customHeight="1" s="5">
      <c r="A3067" s="81" t="n">
        <v>45792</v>
      </c>
      <c r="B3067" s="82" t="n">
        <v>0.2916666666666667</v>
      </c>
      <c r="C3067" s="5" t="inlineStr">
        <is>
          <t>Amazon</t>
        </is>
      </c>
      <c r="D3067" s="5" t="n">
        <v>1</v>
      </c>
      <c r="F3067" s="6" t="inlineStr">
        <is>
          <t>2535313278500508</t>
        </is>
      </c>
      <c r="G3067" s="7" t="n"/>
      <c r="H3067" s="9" t="inlineStr">
        <is>
          <t>Not sure why this gift card balance was added to our account (2/2)</t>
        </is>
      </c>
      <c r="I3067" s="9" t="n"/>
      <c r="J3067" s="9" t="n"/>
      <c r="K3067" s="9" t="n">
        <v>-32.39</v>
      </c>
    </row>
    <row r="3068" ht="15" customFormat="1" customHeight="1" s="5">
      <c r="A3068" s="81" t="n">
        <v>45792</v>
      </c>
      <c r="B3068" s="82" t="n">
        <v>0.2916666666666667</v>
      </c>
      <c r="C3068" s="5" t="inlineStr">
        <is>
          <t>Amazon</t>
        </is>
      </c>
      <c r="D3068" s="5" t="n">
        <v>1</v>
      </c>
      <c r="F3068" s="6" t="inlineStr">
        <is>
          <t>2571706125298105</t>
        </is>
      </c>
      <c r="G3068" s="7" t="n"/>
      <c r="H3068" s="9" t="inlineStr">
        <is>
          <t>Not sure why this gift card balance was added to our account (1/2)</t>
        </is>
      </c>
      <c r="I3068" s="9" t="n"/>
      <c r="J3068" s="9" t="n"/>
      <c r="K3068" s="9" t="n">
        <v>-10.79</v>
      </c>
    </row>
    <row r="3069" ht="15" customFormat="1" customHeight="1" s="5">
      <c r="A3069" s="81" t="n">
        <v>45792</v>
      </c>
      <c r="B3069" s="82" t="n">
        <v>0.2916666666666667</v>
      </c>
      <c r="C3069" s="5" t="inlineStr">
        <is>
          <t>US Tax Witholding</t>
        </is>
      </c>
      <c r="D3069" s="5" t="n">
        <v>1</v>
      </c>
      <c r="F3069" s="6" t="inlineStr">
        <is>
          <t>RTX_Paycheck_25_36</t>
        </is>
      </c>
      <c r="G3069" s="7" t="n"/>
      <c r="H3069" s="9" t="inlineStr">
        <is>
          <t>Social Security Tax</t>
        </is>
      </c>
      <c r="I3069" s="9" t="n"/>
      <c r="J3069" s="9" t="n"/>
      <c r="K3069" s="9" t="n">
        <v>98.65000000000001</v>
      </c>
    </row>
    <row r="3070" ht="15" customFormat="1" customHeight="1" s="5">
      <c r="A3070" s="81" t="n">
        <v>45792</v>
      </c>
      <c r="B3070" s="82" t="n">
        <v>0.2916666666666667</v>
      </c>
      <c r="C3070" s="5" t="inlineStr">
        <is>
          <t>US Tax Witholding</t>
        </is>
      </c>
      <c r="D3070" s="5" t="n">
        <v>1</v>
      </c>
      <c r="F3070" s="6" t="inlineStr">
        <is>
          <t>RTX_Paycheck_25_36</t>
        </is>
      </c>
      <c r="G3070" s="7" t="n"/>
      <c r="H3070" s="9" t="inlineStr">
        <is>
          <t>Medicare Tax</t>
        </is>
      </c>
      <c r="I3070" s="9" t="n"/>
      <c r="J3070" s="9" t="n"/>
      <c r="K3070" s="9" t="n">
        <v>23.07</v>
      </c>
    </row>
    <row r="3071" ht="15" customFormat="1" customHeight="1" s="5">
      <c r="A3071" s="81" t="n">
        <v>45792</v>
      </c>
      <c r="B3071" s="82" t="n">
        <v>0.2916666666666667</v>
      </c>
      <c r="C3071" s="5" t="inlineStr">
        <is>
          <t>Raytheon</t>
        </is>
      </c>
      <c r="D3071" s="5" t="n">
        <v>1</v>
      </c>
      <c r="F3071" s="6" t="inlineStr">
        <is>
          <t>RTX_Paycheck_25_36</t>
        </is>
      </c>
      <c r="G3071" s="17" t="inlineStr">
        <is>
          <t>XXXX3523</t>
        </is>
      </c>
      <c r="H3071" s="9" t="inlineStr">
        <is>
          <t>Net Paycheck [Apr 26 - May 09]</t>
        </is>
      </c>
      <c r="I3071" s="9" t="n"/>
      <c r="J3071" s="9" t="n"/>
      <c r="K3071" s="9" t="n">
        <v>1277.3</v>
      </c>
    </row>
    <row r="3072" ht="15" customFormat="1" customHeight="1" s="5">
      <c r="A3072" s="81" t="n">
        <v>45792</v>
      </c>
      <c r="B3072" s="82" t="n">
        <v>0.2916666666666667</v>
      </c>
      <c r="C3072" s="5" t="inlineStr">
        <is>
          <t>Raytheon</t>
        </is>
      </c>
      <c r="D3072" s="5" t="n">
        <v>1</v>
      </c>
      <c r="F3072" s="6" t="inlineStr">
        <is>
          <t>RTX_Paycheck_25_36</t>
        </is>
      </c>
      <c r="G3072" s="7" t="n"/>
      <c r="H3072" s="9" t="inlineStr">
        <is>
          <t>RTX Direct Deposit -- cancelling offset</t>
        </is>
      </c>
      <c r="I3072" s="9" t="n"/>
      <c r="J3072" s="9" t="n"/>
      <c r="K3072" s="9" t="n">
        <v>-1277.31</v>
      </c>
    </row>
    <row r="3073" ht="15" customFormat="1" customHeight="1" s="5">
      <c r="A3073" s="81" t="n">
        <v>45792</v>
      </c>
      <c r="B3073" s="82" t="n">
        <v>0.2916666666666667</v>
      </c>
      <c r="C3073" s="5" t="inlineStr">
        <is>
          <t>Raytheon</t>
        </is>
      </c>
      <c r="D3073" s="5" t="n">
        <v>1</v>
      </c>
      <c r="F3073" s="6" t="inlineStr">
        <is>
          <t>RTX_Paycheck_25_36</t>
        </is>
      </c>
      <c r="G3073" s="7" t="n"/>
      <c r="H3073" s="9" t="inlineStr">
        <is>
          <t>Gross Paycheck [Apr 26 - May 09]</t>
        </is>
      </c>
      <c r="I3073" s="9" t="n"/>
      <c r="J3073" s="9" t="n"/>
      <c r="K3073" s="9" t="n">
        <v>-2100.48</v>
      </c>
    </row>
    <row r="3074" ht="15" customFormat="1" customHeight="1" s="5">
      <c r="A3074" s="81" t="n">
        <v>45792</v>
      </c>
      <c r="B3074" s="82" t="n">
        <v>0.2916666666666667</v>
      </c>
      <c r="C3074" s="5" t="inlineStr">
        <is>
          <t>Parents Gift Account</t>
        </is>
      </c>
      <c r="D3074" s="5" t="n">
        <v>1</v>
      </c>
      <c r="F3074" s="6" t="inlineStr">
        <is>
          <t>RTX_Paycheck_25_36</t>
        </is>
      </c>
      <c r="G3074" s="17" t="inlineStr">
        <is>
          <t>XXXX7146</t>
        </is>
      </c>
      <c r="H3074" s="9" t="inlineStr">
        <is>
          <t>Contribution to Parents Gift Account</t>
        </is>
      </c>
      <c r="I3074" s="9" t="n"/>
      <c r="J3074" s="9" t="n"/>
      <c r="K3074" s="9" t="n">
        <v>0.01</v>
      </c>
    </row>
    <row r="3075" ht="15" customFormat="1" customHeight="1" s="5">
      <c r="A3075" s="81" t="n">
        <v>45792</v>
      </c>
      <c r="B3075" s="82" t="n">
        <v>0.2916666666666667</v>
      </c>
      <c r="C3075" s="5" t="inlineStr">
        <is>
          <t>HSA</t>
        </is>
      </c>
      <c r="D3075" s="5" t="n">
        <v>1</v>
      </c>
      <c r="F3075" s="6" t="inlineStr">
        <is>
          <t>RTX_Paycheck_25_36</t>
        </is>
      </c>
      <c r="G3075" s="7" t="n"/>
      <c r="H3075" s="9" t="inlineStr">
        <is>
          <t>Personal contribution to HSA</t>
        </is>
      </c>
      <c r="I3075" s="9" t="n"/>
      <c r="J3075" s="9" t="n"/>
      <c r="K3075" s="9" t="n">
        <v>239.93</v>
      </c>
    </row>
    <row r="3076" ht="15" customFormat="1" customHeight="1" s="5">
      <c r="A3076" s="81" t="n">
        <v>45792</v>
      </c>
      <c r="B3076" s="82" t="n">
        <v>0.2916666666666667</v>
      </c>
      <c r="C3076" s="5" t="inlineStr">
        <is>
          <t>Delta Dental</t>
        </is>
      </c>
      <c r="D3076" s="5" t="n">
        <v>1</v>
      </c>
      <c r="F3076" s="6" t="inlineStr">
        <is>
          <t>RTX_Paycheck_25_36</t>
        </is>
      </c>
      <c r="G3076" s="10" t="n"/>
      <c r="H3076" s="9" t="inlineStr">
        <is>
          <t>Dental Insurance</t>
        </is>
      </c>
      <c r="I3076" s="9" t="n"/>
      <c r="J3076" s="9" t="n"/>
      <c r="K3076" s="9" t="n">
        <v>8.52</v>
      </c>
    </row>
    <row r="3077" ht="15" customFormat="1" customHeight="1" s="5">
      <c r="A3077" s="81" t="n">
        <v>45792</v>
      </c>
      <c r="B3077" s="82" t="n">
        <v>0.2916666666666667</v>
      </c>
      <c r="C3077" s="5" t="inlineStr">
        <is>
          <t>CO Tax Witholding</t>
        </is>
      </c>
      <c r="D3077" s="5" t="n">
        <v>1</v>
      </c>
      <c r="F3077" s="6" t="inlineStr">
        <is>
          <t>RTX_Paycheck_25_36</t>
        </is>
      </c>
      <c r="G3077" s="7" t="n"/>
      <c r="H3077" s="9" t="inlineStr">
        <is>
          <t>CO State Income Tax</t>
        </is>
      </c>
      <c r="I3077" s="9" t="n"/>
      <c r="J3077" s="9" t="n"/>
      <c r="K3077" s="9" t="n">
        <v>48.39</v>
      </c>
    </row>
    <row r="3078" ht="15" customFormat="1" customHeight="1" s="5">
      <c r="A3078" s="81" t="n">
        <v>45792</v>
      </c>
      <c r="B3078" s="82" t="n">
        <v>0.2916666666666667</v>
      </c>
      <c r="C3078" s="5" t="inlineStr">
        <is>
          <t>CO Tax Witholding</t>
        </is>
      </c>
      <c r="D3078" s="5" t="n">
        <v>1</v>
      </c>
      <c r="F3078" s="6" t="inlineStr">
        <is>
          <t>RTX_Paycheck_25_36</t>
        </is>
      </c>
      <c r="G3078" s="7" t="n"/>
      <c r="H3078" s="9" t="inlineStr">
        <is>
          <t>CO Paid Family Leave Insurance</t>
        </is>
      </c>
      <c r="I3078" s="9" t="n"/>
      <c r="J3078" s="9" t="n"/>
      <c r="K3078" s="9" t="n">
        <v>9.449999999999999</v>
      </c>
    </row>
    <row r="3079" ht="15" customFormat="1" customHeight="1" s="5">
      <c r="A3079" s="81" t="n">
        <v>45792</v>
      </c>
      <c r="B3079" s="82" t="n">
        <v>0.2916666666666667</v>
      </c>
      <c r="C3079" s="5" t="inlineStr">
        <is>
          <t>CO Tax Witholding</t>
        </is>
      </c>
      <c r="D3079" s="5" t="n">
        <v>1</v>
      </c>
      <c r="F3079" s="6" t="inlineStr">
        <is>
          <t>RTX_Paycheck_25_36</t>
        </is>
      </c>
      <c r="G3079" s="7" t="n"/>
      <c r="H3079" s="9" t="inlineStr">
        <is>
          <t xml:space="preserve">"POSTAX INS MRSH" ? </t>
        </is>
      </c>
      <c r="I3079" s="9" t="n"/>
      <c r="J3079" s="9" t="n"/>
      <c r="K3079" s="9" t="n">
        <v>6.58</v>
      </c>
    </row>
    <row r="3080" ht="15" customFormat="1" customHeight="1" s="5">
      <c r="A3080" s="81" t="n">
        <v>45792</v>
      </c>
      <c r="B3080" s="82" t="n">
        <v>0.2916666666666667</v>
      </c>
      <c r="C3080" s="5" t="inlineStr">
        <is>
          <t>Anthem BcBs</t>
        </is>
      </c>
      <c r="D3080" s="5" t="n">
        <v>1</v>
      </c>
      <c r="F3080" s="6" t="inlineStr">
        <is>
          <t>RTX_Paycheck_25_36</t>
        </is>
      </c>
      <c r="G3080" s="7" t="n"/>
      <c r="H3080" s="9" t="inlineStr">
        <is>
          <t>Medical Insurance</t>
        </is>
      </c>
      <c r="I3080" s="9" t="n"/>
      <c r="J3080" s="9" t="n"/>
      <c r="K3080" s="9" t="n">
        <v>262.56</v>
      </c>
    </row>
    <row r="3081" ht="15" customFormat="1" customHeight="1" s="5">
      <c r="A3081" s="81" t="n">
        <v>45792</v>
      </c>
      <c r="B3081" s="82" t="n">
        <v>0.2916666666666667</v>
      </c>
      <c r="C3081" s="5" t="inlineStr">
        <is>
          <t>Alight</t>
        </is>
      </c>
      <c r="D3081" s="5" t="n">
        <v>1</v>
      </c>
      <c r="F3081" s="6" t="inlineStr">
        <is>
          <t>RTX_Paycheck_25_36</t>
        </is>
      </c>
      <c r="G3081" s="7" t="n"/>
      <c r="H3081" s="9" t="inlineStr">
        <is>
          <t>401k Basic -- Traditional</t>
        </is>
      </c>
      <c r="I3081" s="9" t="n"/>
      <c r="J3081" s="9" t="n"/>
      <c r="K3081" s="9" t="n">
        <v>105.02</v>
      </c>
    </row>
    <row r="3082" ht="15" customFormat="1" customHeight="1" s="5">
      <c r="A3082" s="81" t="n">
        <v>45792</v>
      </c>
      <c r="B3082" s="82" t="n">
        <v>0.2916666666666667</v>
      </c>
      <c r="C3082" s="5" t="inlineStr">
        <is>
          <t>Alight</t>
        </is>
      </c>
      <c r="D3082" s="5" t="n">
        <v>1</v>
      </c>
      <c r="F3082" s="6" t="inlineStr">
        <is>
          <t>RTX_Paycheck_25_36</t>
        </is>
      </c>
      <c r="G3082" s="7" t="n"/>
      <c r="H3082" s="9" t="inlineStr">
        <is>
          <t>Roth 401k Basic</t>
        </is>
      </c>
      <c r="I3082" s="9" t="n"/>
      <c r="J3082" s="9" t="n"/>
      <c r="K3082" s="9" t="n">
        <v>21</v>
      </c>
    </row>
    <row r="3083" ht="15" customFormat="1" customHeight="1" s="5">
      <c r="A3083" s="81" t="n">
        <v>45791</v>
      </c>
      <c r="B3083" s="82" t="n">
        <v>0.60625</v>
      </c>
      <c r="C3083" s="5" t="inlineStr">
        <is>
          <t>Costco</t>
        </is>
      </c>
      <c r="E3083" s="5" t="n">
        <v>1</v>
      </c>
      <c r="F3083" s="6" t="inlineStr">
        <is>
          <t>439 234 134 734</t>
        </is>
      </c>
      <c r="G3083" s="7" t="inlineStr">
        <is>
          <t>1211213</t>
        </is>
      </c>
      <c r="H3083" s="9" t="inlineStr">
        <is>
          <t>Mocha Freeze</t>
        </is>
      </c>
      <c r="I3083" s="9" t="n">
        <v>16</v>
      </c>
      <c r="J3083" s="9" t="inlineStr">
        <is>
          <t>oz</t>
        </is>
      </c>
      <c r="K3083" s="9" t="inlineStr">
        <is>
          <t>2.99 A</t>
        </is>
      </c>
    </row>
    <row r="3084" ht="15" customFormat="1" customHeight="1" s="5">
      <c r="A3084" s="81" t="n">
        <v>45791</v>
      </c>
      <c r="B3084" s="82" t="n">
        <v>0.60625</v>
      </c>
      <c r="C3084" s="5" t="inlineStr">
        <is>
          <t>Costco</t>
        </is>
      </c>
      <c r="E3084" s="5" t="n">
        <v>1</v>
      </c>
      <c r="F3084" s="6" t="inlineStr">
        <is>
          <t>439 234 134 734</t>
        </is>
      </c>
      <c r="G3084" s="7" t="n"/>
      <c r="H3084" s="9" t="inlineStr">
        <is>
          <t>Tax A 8.00%</t>
        </is>
      </c>
      <c r="I3084" s="9" t="n">
        <v>16</v>
      </c>
      <c r="J3084" s="9" t="inlineStr">
        <is>
          <t>oz</t>
        </is>
      </c>
      <c r="K3084" s="9" t="n">
        <v>0.24</v>
      </c>
    </row>
    <row r="3085" ht="15" customFormat="1" customHeight="1" s="5">
      <c r="A3085" s="81" t="n">
        <v>45791</v>
      </c>
      <c r="B3085" s="82" t="n">
        <v>0.6055555555555555</v>
      </c>
      <c r="C3085" s="5" t="inlineStr">
        <is>
          <t>Costco</t>
        </is>
      </c>
      <c r="E3085" s="5" t="n">
        <v>1</v>
      </c>
      <c r="F3085" s="6" t="inlineStr">
        <is>
          <t>439 2 215 107</t>
        </is>
      </c>
      <c r="G3085" s="7" t="n"/>
      <c r="H3085" s="9" t="inlineStr">
        <is>
          <t>**DISCOUNT** Crunchmaster</t>
        </is>
      </c>
      <c r="I3085" s="9" t="n">
        <v>28</v>
      </c>
      <c r="J3085" s="9" t="inlineStr">
        <is>
          <t>oz</t>
        </is>
      </c>
      <c r="K3085" s="9" t="inlineStr">
        <is>
          <t>3.30-</t>
        </is>
      </c>
    </row>
    <row r="3086" ht="15" customFormat="1" customHeight="1" s="5">
      <c r="A3086" s="81" t="n">
        <v>45791</v>
      </c>
      <c r="B3086" s="82" t="n">
        <v>0.6055555555555555</v>
      </c>
      <c r="C3086" s="5" t="inlineStr">
        <is>
          <t>Costco</t>
        </is>
      </c>
      <c r="E3086" s="5" t="n">
        <v>1</v>
      </c>
      <c r="F3086" s="6" t="inlineStr">
        <is>
          <t>439 2 215 107</t>
        </is>
      </c>
      <c r="G3086" s="7" t="n"/>
      <c r="H3086" s="9" t="inlineStr">
        <is>
          <t>**DISCOUNT** KS Granola</t>
        </is>
      </c>
      <c r="I3086" s="9" t="n">
        <v>35.3</v>
      </c>
      <c r="J3086" s="9" t="inlineStr">
        <is>
          <t>oz</t>
        </is>
      </c>
      <c r="K3086" s="9" t="inlineStr">
        <is>
          <t>3.0-</t>
        </is>
      </c>
    </row>
    <row r="3087" ht="15" customFormat="1" customHeight="1" s="5">
      <c r="A3087" s="81" t="n">
        <v>45791</v>
      </c>
      <c r="B3087" s="82" t="n">
        <v>0.6055555555555555</v>
      </c>
      <c r="C3087" s="5" t="inlineStr">
        <is>
          <t>Costco</t>
        </is>
      </c>
      <c r="E3087" s="5" t="n">
        <v>1</v>
      </c>
      <c r="F3087" s="6" t="inlineStr">
        <is>
          <t>439 2 215 107</t>
        </is>
      </c>
      <c r="G3087" s="7" t="n"/>
      <c r="H3087" s="9" t="inlineStr">
        <is>
          <t>**DISCOUNT** KS Granola</t>
        </is>
      </c>
      <c r="I3087" s="9" t="n">
        <v>35.3</v>
      </c>
      <c r="J3087" s="9" t="inlineStr">
        <is>
          <t>oz</t>
        </is>
      </c>
      <c r="K3087" s="9" t="inlineStr">
        <is>
          <t>3.0-</t>
        </is>
      </c>
    </row>
    <row r="3088" ht="15" customFormat="1" customHeight="1" s="5">
      <c r="A3088" s="81" t="n">
        <v>45791</v>
      </c>
      <c r="B3088" s="82" t="n">
        <v>0.6055555555555555</v>
      </c>
      <c r="C3088" s="5" t="inlineStr">
        <is>
          <t>Costco</t>
        </is>
      </c>
      <c r="E3088" s="5" t="n">
        <v>1</v>
      </c>
      <c r="F3088" s="6" t="inlineStr">
        <is>
          <t>439 2 215 107</t>
        </is>
      </c>
      <c r="G3088" s="7" t="n"/>
      <c r="H3088" s="9" t="inlineStr">
        <is>
          <t>KS Salmon Smoked: 2 x 12 oz packs</t>
        </is>
      </c>
      <c r="I3088" s="9" t="n">
        <v>24</v>
      </c>
      <c r="J3088" s="9" t="inlineStr">
        <is>
          <t>oz</t>
        </is>
      </c>
      <c r="K3088" s="9" t="n">
        <v>22.99</v>
      </c>
    </row>
    <row r="3089" ht="15" customFormat="1" customHeight="1" s="5">
      <c r="A3089" s="81" t="n">
        <v>45791</v>
      </c>
      <c r="B3089" s="82" t="n">
        <v>0.6055555555555555</v>
      </c>
      <c r="C3089" s="5" t="inlineStr">
        <is>
          <t>Costco</t>
        </is>
      </c>
      <c r="E3089" s="5" t="n">
        <v>1</v>
      </c>
      <c r="F3089" s="6" t="inlineStr">
        <is>
          <t>439 2 215 107</t>
        </is>
      </c>
      <c r="G3089" s="7" t="n"/>
      <c r="H3089" s="9" t="inlineStr">
        <is>
          <t>Shrimp Tempura frozen 30 count</t>
        </is>
      </c>
      <c r="I3089" s="9" t="n">
        <v>2.54</v>
      </c>
      <c r="J3089" s="9" t="inlineStr">
        <is>
          <t>lb</t>
        </is>
      </c>
      <c r="K3089" s="9" t="n">
        <v>18.49</v>
      </c>
    </row>
    <row r="3090" ht="15" customFormat="1" customHeight="1" s="5">
      <c r="A3090" s="81" t="n">
        <v>45791</v>
      </c>
      <c r="B3090" s="82" t="n">
        <v>0.6055555555555555</v>
      </c>
      <c r="C3090" s="5" t="inlineStr">
        <is>
          <t>Costco</t>
        </is>
      </c>
      <c r="E3090" s="5" t="n">
        <v>1</v>
      </c>
      <c r="F3090" s="6" t="inlineStr">
        <is>
          <t>439 2 215 107</t>
        </is>
      </c>
      <c r="G3090" s="7" t="n"/>
      <c r="H3090" s="9" t="inlineStr">
        <is>
          <t>KS 3 Berry blend</t>
        </is>
      </c>
      <c r="I3090" s="9" t="n">
        <v>4</v>
      </c>
      <c r="J3090" s="9" t="inlineStr">
        <is>
          <t>lb</t>
        </is>
      </c>
      <c r="K3090" s="9" t="n">
        <v>10.99</v>
      </c>
    </row>
    <row r="3091" ht="15" customFormat="1" customHeight="1" s="5">
      <c r="A3091" s="81" t="n">
        <v>45791</v>
      </c>
      <c r="B3091" s="82" t="n">
        <v>0.6055555555555555</v>
      </c>
      <c r="C3091" s="5" t="inlineStr">
        <is>
          <t>Costco</t>
        </is>
      </c>
      <c r="E3091" s="5" t="n">
        <v>1</v>
      </c>
      <c r="F3091" s="6" t="inlineStr">
        <is>
          <t>439 2 215 107</t>
        </is>
      </c>
      <c r="G3091" s="7" t="n"/>
      <c r="H3091" s="9" t="inlineStr">
        <is>
          <t>6 Seed Crackers Crunchmaster: Multi-grain (sesame, flax, amaranth, quinoa,chia,millet)</t>
        </is>
      </c>
      <c r="I3091" s="9" t="n">
        <v>28</v>
      </c>
      <c r="J3091" s="9" t="inlineStr">
        <is>
          <t>oz</t>
        </is>
      </c>
      <c r="K3091" s="9" t="n">
        <v>10.99</v>
      </c>
    </row>
    <row r="3092" ht="15" customFormat="1" customHeight="1" s="5">
      <c r="A3092" s="81" t="n">
        <v>45791</v>
      </c>
      <c r="B3092" s="82" t="n">
        <v>0.6055555555555555</v>
      </c>
      <c r="C3092" s="5" t="inlineStr">
        <is>
          <t>Costco</t>
        </is>
      </c>
      <c r="E3092" s="5" t="n">
        <v>1</v>
      </c>
      <c r="F3092" s="6" t="inlineStr">
        <is>
          <t>439 2 215 107</t>
        </is>
      </c>
      <c r="G3092" s="7" t="n"/>
      <c r="H3092" s="9" t="inlineStr">
        <is>
          <t>Organic Mango 5# FROZEN 80 oz</t>
        </is>
      </c>
      <c r="I3092" s="9" t="n">
        <v>5</v>
      </c>
      <c r="J3092" s="9" t="inlineStr">
        <is>
          <t>lb</t>
        </is>
      </c>
      <c r="K3092" s="9" t="n">
        <v>9.99</v>
      </c>
    </row>
    <row r="3093" ht="15" customFormat="1" customHeight="1" s="5">
      <c r="A3093" s="81" t="n">
        <v>45791</v>
      </c>
      <c r="B3093" s="82" t="n">
        <v>0.6055555555555555</v>
      </c>
      <c r="C3093" s="5" t="inlineStr">
        <is>
          <t>Costco</t>
        </is>
      </c>
      <c r="E3093" s="5" t="n">
        <v>1</v>
      </c>
      <c r="F3093" s="6" t="inlineStr">
        <is>
          <t>439 2 215 107</t>
        </is>
      </c>
      <c r="G3093" s="7" t="n"/>
      <c r="H3093" s="9" t="inlineStr">
        <is>
          <t>KS Stir Fry Veggie Blend</t>
        </is>
      </c>
      <c r="I3093" s="9" t="n">
        <v>5.5</v>
      </c>
      <c r="J3093" s="9" t="inlineStr">
        <is>
          <t>lb</t>
        </is>
      </c>
      <c r="K3093" s="9" t="n">
        <v>9.59</v>
      </c>
    </row>
    <row r="3094" ht="15" customFormat="1" customHeight="1" s="5">
      <c r="A3094" s="81" t="n">
        <v>45791</v>
      </c>
      <c r="B3094" s="82" t="n">
        <v>0.6055555555555555</v>
      </c>
      <c r="C3094" s="5" t="inlineStr">
        <is>
          <t>Costco</t>
        </is>
      </c>
      <c r="E3094" s="5" t="n">
        <v>1</v>
      </c>
      <c r="F3094" s="6" t="inlineStr">
        <is>
          <t>439 2 215 107</t>
        </is>
      </c>
      <c r="G3094" s="7" t="n"/>
      <c r="H3094" s="9" t="inlineStr">
        <is>
          <t>KS Pumpkin Flax Granola</t>
        </is>
      </c>
      <c r="I3094" s="9" t="n">
        <v>35.3</v>
      </c>
      <c r="J3094" s="9" t="inlineStr">
        <is>
          <t>oz</t>
        </is>
      </c>
      <c r="K3094" s="9" t="n">
        <v>8.99</v>
      </c>
    </row>
    <row r="3095" ht="15" customFormat="1" customHeight="1" s="5">
      <c r="A3095" s="81" t="n">
        <v>45791</v>
      </c>
      <c r="B3095" s="82" t="n">
        <v>0.6055555555555555</v>
      </c>
      <c r="C3095" s="5" t="inlineStr">
        <is>
          <t>Costco</t>
        </is>
      </c>
      <c r="E3095" s="5" t="n">
        <v>1</v>
      </c>
      <c r="F3095" s="6" t="inlineStr">
        <is>
          <t>439 2 215 107</t>
        </is>
      </c>
      <c r="G3095" s="7" t="n"/>
      <c r="H3095" s="9" t="inlineStr">
        <is>
          <t>KS Pumpkin Flax Granola</t>
        </is>
      </c>
      <c r="I3095" s="9" t="n">
        <v>35.3</v>
      </c>
      <c r="J3095" s="9" t="inlineStr">
        <is>
          <t>oz</t>
        </is>
      </c>
      <c r="K3095" s="9" t="n">
        <v>8.99</v>
      </c>
    </row>
    <row r="3096" ht="15" customFormat="1" customHeight="1" s="5">
      <c r="A3096" s="81" t="n">
        <v>45791</v>
      </c>
      <c r="B3096" s="82" t="n">
        <v>0.6055555555555555</v>
      </c>
      <c r="C3096" s="5" t="inlineStr">
        <is>
          <t>Costco</t>
        </is>
      </c>
      <c r="E3096" s="5" t="n">
        <v>1</v>
      </c>
      <c r="F3096" s="6" t="inlineStr">
        <is>
          <t>439 2 215 107</t>
        </is>
      </c>
      <c r="G3096" s="7" t="n"/>
      <c r="H3096" s="9" t="inlineStr">
        <is>
          <t>AVOCADO MAYO Chosen Foods</t>
        </is>
      </c>
      <c r="I3096" s="9" t="n">
        <v>32</v>
      </c>
      <c r="J3096" s="9" t="inlineStr">
        <is>
          <t>fl oz</t>
        </is>
      </c>
      <c r="K3096" s="9" t="n">
        <v>8.890000000000001</v>
      </c>
    </row>
    <row r="3097" ht="15" customFormat="1" customHeight="1" s="5">
      <c r="A3097" s="81" t="n">
        <v>45791</v>
      </c>
      <c r="B3097" s="82" t="n">
        <v>0.6055555555555555</v>
      </c>
      <c r="C3097" s="5" t="inlineStr">
        <is>
          <t>Costco</t>
        </is>
      </c>
      <c r="E3097" s="5" t="n">
        <v>1</v>
      </c>
      <c r="F3097" s="6" t="inlineStr">
        <is>
          <t>439 2 215 107</t>
        </is>
      </c>
      <c r="G3097" s="7" t="n"/>
      <c r="H3097" s="9" t="inlineStr">
        <is>
          <t>Fresh plums, 13 count</t>
        </is>
      </c>
      <c r="I3097" s="9" t="n">
        <v>3</v>
      </c>
      <c r="J3097" s="9" t="inlineStr">
        <is>
          <t>lb</t>
        </is>
      </c>
      <c r="K3097" s="9" t="n">
        <v>6.49</v>
      </c>
    </row>
    <row r="3098" ht="15" customFormat="1" customHeight="1" s="5">
      <c r="A3098" s="81" t="n">
        <v>45791</v>
      </c>
      <c r="B3098" s="82" t="n">
        <v>0.6055555555555555</v>
      </c>
      <c r="C3098" s="5" t="inlineStr">
        <is>
          <t>Costco</t>
        </is>
      </c>
      <c r="E3098" s="5" t="n">
        <v>1</v>
      </c>
      <c r="F3098" s="6" t="inlineStr">
        <is>
          <t>439 2 215 107</t>
        </is>
      </c>
      <c r="G3098" s="7" t="n"/>
      <c r="H3098" s="9" t="inlineStr">
        <is>
          <t>Rustic Italian Loaf of Bread</t>
        </is>
      </c>
      <c r="I3098" s="9" t="n">
        <v>2</v>
      </c>
      <c r="J3098" s="9" t="inlineStr">
        <is>
          <t>lb</t>
        </is>
      </c>
      <c r="K3098" s="9" t="n">
        <v>5.99</v>
      </c>
    </row>
    <row r="3099" ht="15" customFormat="1" customHeight="1" s="5">
      <c r="A3099" s="81" t="n">
        <v>45791</v>
      </c>
      <c r="B3099" s="82" t="n">
        <v>0.6055555555555555</v>
      </c>
      <c r="C3099" s="5" t="inlineStr">
        <is>
          <t>Costco</t>
        </is>
      </c>
      <c r="E3099" s="5" t="n">
        <v>1</v>
      </c>
      <c r="F3099" s="6" t="inlineStr">
        <is>
          <t>439 2 215 107</t>
        </is>
      </c>
      <c r="G3099" s="7" t="n"/>
      <c r="H3099" s="9" t="inlineStr">
        <is>
          <t>Artisan romaine lettuce</t>
        </is>
      </c>
      <c r="I3099" s="9" t="n">
        <v>5</v>
      </c>
      <c r="J3099" s="9" t="inlineStr">
        <is>
          <t>cnt</t>
        </is>
      </c>
      <c r="K3099" s="9" t="n">
        <v>4.99</v>
      </c>
    </row>
    <row r="3100" ht="15" customFormat="1" customHeight="1" s="5">
      <c r="A3100" s="81" t="n">
        <v>45791</v>
      </c>
      <c r="B3100" s="82" t="n">
        <v>0.6055555555555555</v>
      </c>
      <c r="C3100" s="5" t="inlineStr">
        <is>
          <t>Costco</t>
        </is>
      </c>
      <c r="E3100" s="5" t="n">
        <v>1</v>
      </c>
      <c r="F3100" s="6" t="inlineStr">
        <is>
          <t>439 2 215 107</t>
        </is>
      </c>
      <c r="G3100" s="7" t="n"/>
      <c r="H3100" s="9" t="inlineStr">
        <is>
          <t>Organic Spinach Box</t>
        </is>
      </c>
      <c r="I3100" s="9" t="n">
        <v>16</v>
      </c>
      <c r="J3100" s="9" t="inlineStr">
        <is>
          <t>oz</t>
        </is>
      </c>
      <c r="K3100" s="9" t="n">
        <v>3.89</v>
      </c>
    </row>
    <row r="3101" ht="15" customFormat="1" customHeight="1" s="5">
      <c r="A3101" s="81" t="n">
        <v>45791</v>
      </c>
      <c r="B3101" s="82" t="n">
        <v>0.6055555555555555</v>
      </c>
      <c r="C3101" s="5" t="inlineStr">
        <is>
          <t>Costco</t>
        </is>
      </c>
      <c r="E3101" s="5" t="n">
        <v>1</v>
      </c>
      <c r="F3101" s="6" t="inlineStr">
        <is>
          <t>439 2 215 107</t>
        </is>
      </c>
      <c r="G3101" s="7" t="n"/>
      <c r="H3101" s="9" t="inlineStr">
        <is>
          <t>Tax</t>
        </is>
      </c>
      <c r="I3101" s="9" t="n">
        <v>15</v>
      </c>
      <c r="J3101" s="9" t="inlineStr">
        <is>
          <t>cnt</t>
        </is>
      </c>
      <c r="K3101" s="9" t="n">
        <v>0</v>
      </c>
    </row>
    <row r="3102" ht="15" customFormat="1" customHeight="1" s="5">
      <c r="A3102" s="81" t="n">
        <v>45791</v>
      </c>
      <c r="B3102" s="82" t="n">
        <v>0.6055555555555555</v>
      </c>
      <c r="C3102" s="5" t="inlineStr">
        <is>
          <t>Costco</t>
        </is>
      </c>
      <c r="E3102" s="5" t="n">
        <v>1</v>
      </c>
      <c r="F3102" s="6" t="inlineStr">
        <is>
          <t>439 2 215 107</t>
        </is>
      </c>
      <c r="G3102" s="7" t="n"/>
      <c r="H3102" s="9" t="inlineStr">
        <is>
          <t>Shrimp STAMPS Forever stamps 100 cnt</t>
        </is>
      </c>
      <c r="I3102" s="9" t="n">
        <v>100</v>
      </c>
      <c r="J3102" s="9" t="inlineStr">
        <is>
          <t>cnt</t>
        </is>
      </c>
      <c r="K3102" s="9" t="n">
        <v>72.75</v>
      </c>
    </row>
    <row r="3103" ht="15" customFormat="1" customHeight="1" s="5">
      <c r="A3103" s="81" t="n">
        <v>45791</v>
      </c>
      <c r="B3103" s="82" t="n">
        <v>0.6055555555555555</v>
      </c>
      <c r="C3103" s="5" t="inlineStr">
        <is>
          <t>Costco</t>
        </is>
      </c>
      <c r="E3103" s="5" t="n">
        <v>1</v>
      </c>
      <c r="F3103" s="6" t="inlineStr">
        <is>
          <t>439 2 215 107</t>
        </is>
      </c>
      <c r="G3103" s="7" t="n"/>
      <c r="H3103" s="9" t="inlineStr">
        <is>
          <t>Organic Sweet Potato 5lb bag (not 8; interesting)</t>
        </is>
      </c>
      <c r="I3103" s="9" t="n">
        <v>5</v>
      </c>
      <c r="J3103" s="9" t="inlineStr">
        <is>
          <t>lb</t>
        </is>
      </c>
      <c r="K3103" s="9" t="n">
        <v>8.99</v>
      </c>
    </row>
    <row r="3104" ht="15" customFormat="1" customHeight="1" s="5">
      <c r="A3104" s="79" t="n">
        <v>45791</v>
      </c>
      <c r="B3104" s="78" t="n">
        <v>0.5166666666666667</v>
      </c>
      <c r="C3104" s="35" t="inlineStr">
        <is>
          <t>BELLA Health + Wellness</t>
        </is>
      </c>
      <c r="D3104" s="35" t="n">
        <v>1</v>
      </c>
      <c r="E3104" s="35" t="n"/>
      <c r="F3104" s="47" t="inlineStr">
        <is>
          <t>514182443</t>
        </is>
      </c>
      <c r="G3104" s="48" t="inlineStr">
        <is>
          <t>2025126BJ6386</t>
        </is>
      </c>
      <c r="H3104" s="49" t="inlineStr">
        <is>
          <t>4/30 Lydia prenatal</t>
        </is>
      </c>
      <c r="I3104" s="49" t="n"/>
      <c r="J3104" s="49" t="n"/>
      <c r="K3104" s="49" t="n">
        <v>177.24</v>
      </c>
    </row>
    <row r="3105" ht="15" customFormat="1" customHeight="1" s="5">
      <c r="A3105" s="93" t="n">
        <v>45791</v>
      </c>
      <c r="B3105" s="94" t="n">
        <v>0.5166666666666667</v>
      </c>
      <c r="C3105" s="54" t="inlineStr">
        <is>
          <t>BELLA Health + Wellness</t>
        </is>
      </c>
      <c r="D3105" s="54" t="n">
        <v>1</v>
      </c>
      <c r="E3105" s="54" t="n"/>
      <c r="F3105" s="47" t="inlineStr">
        <is>
          <t>514182443</t>
        </is>
      </c>
      <c r="G3105" s="48" t="inlineStr">
        <is>
          <t>2025127BK3363</t>
        </is>
      </c>
      <c r="H3105" s="49" t="inlineStr">
        <is>
          <t>4/30 Lydia prenatal ULTRASOUND?</t>
        </is>
      </c>
      <c r="I3105" s="49" t="n"/>
      <c r="J3105" s="49" t="n"/>
      <c r="K3105" s="49" t="n">
        <v>161.26</v>
      </c>
    </row>
    <row r="3106" ht="15" customFormat="1" customHeight="1" s="5">
      <c r="A3106" s="81" t="n">
        <v>45791</v>
      </c>
      <c r="B3106" s="82" t="n">
        <v>0.5118055555555555</v>
      </c>
      <c r="C3106" s="5" t="inlineStr">
        <is>
          <t>Amazon</t>
        </is>
      </c>
      <c r="D3106" s="5" t="n">
        <v>1</v>
      </c>
      <c r="F3106" s="6" t="inlineStr">
        <is>
          <t>111-5507083-6329845</t>
        </is>
      </c>
      <c r="G3106" s="7" t="n"/>
      <c r="H3106" s="9" t="inlineStr">
        <is>
          <t>SlumberPod The Original Blackout Sleep Tent Travel Essential for Babies and Toddlers, Mini Crib and Pack N Play Cover, Sleep Pod for Kids with Monitor Pouch and Fan Pouch, Blocks 95%+ Light, Black</t>
        </is>
      </c>
      <c r="I3106" s="9" t="n">
        <v>1</v>
      </c>
      <c r="J3106" s="9" t="inlineStr">
        <is>
          <t>cnt</t>
        </is>
      </c>
      <c r="K3106" s="9" t="n">
        <v>179.99</v>
      </c>
    </row>
    <row r="3107" ht="15" customFormat="1" customHeight="1" s="5">
      <c r="A3107" s="81" t="n">
        <v>45791</v>
      </c>
      <c r="B3107" s="82" t="n">
        <v>0.5118055555555555</v>
      </c>
      <c r="C3107" s="5" t="inlineStr">
        <is>
          <t>Amazon</t>
        </is>
      </c>
      <c r="D3107" s="5" t="n">
        <v>1</v>
      </c>
      <c r="F3107" s="6" t="inlineStr">
        <is>
          <t>111-5507083-6329845</t>
        </is>
      </c>
      <c r="G3107" s="7" t="n"/>
      <c r="H3107" s="9" t="inlineStr">
        <is>
          <t>hiccapop Blackout Tent for Pack and Play, Patented Portable Crib Tent, Blackout Canopy Crib Cover, Sleep Pod for Kids, Black</t>
        </is>
      </c>
      <c r="I3107" s="9" t="n">
        <v>1</v>
      </c>
      <c r="J3107" s="9" t="inlineStr">
        <is>
          <t>cnt</t>
        </is>
      </c>
      <c r="K3107" s="9" t="n">
        <v>99.89</v>
      </c>
    </row>
    <row r="3108" ht="15" customFormat="1" customHeight="1" s="5">
      <c r="A3108" s="81" t="n">
        <v>45791</v>
      </c>
      <c r="B3108" s="82" t="n">
        <v>0.5118055555555555</v>
      </c>
      <c r="C3108" s="5" t="inlineStr">
        <is>
          <t>Amazon</t>
        </is>
      </c>
      <c r="D3108" s="5" t="n">
        <v>1</v>
      </c>
      <c r="F3108" s="6" t="inlineStr">
        <is>
          <t>111-5507083-6329845</t>
        </is>
      </c>
      <c r="G3108" s="7" t="n"/>
      <c r="H3108" s="9" t="inlineStr">
        <is>
          <t>Tsx</t>
        </is>
      </c>
      <c r="I3108" s="9" t="n">
        <v>2</v>
      </c>
      <c r="J3108" s="9" t="inlineStr">
        <is>
          <t>cnt</t>
        </is>
      </c>
      <c r="K3108" s="9" t="n">
        <v>22.39</v>
      </c>
    </row>
    <row r="3109" ht="15" customFormat="1" customHeight="1" s="5">
      <c r="A3109" s="81" t="n">
        <v>45791</v>
      </c>
      <c r="B3109" s="82" t="n">
        <v>0.5118055555555555</v>
      </c>
      <c r="C3109" s="5" t="inlineStr">
        <is>
          <t>Amazon</t>
        </is>
      </c>
      <c r="D3109" s="5" t="n">
        <v>1</v>
      </c>
      <c r="F3109" s="6" t="inlineStr">
        <is>
          <t>111-5507083-6329845</t>
        </is>
      </c>
      <c r="G3109" s="7" t="n"/>
      <c r="H3109" s="9" t="inlineStr">
        <is>
          <t>Co retail delivery fee</t>
        </is>
      </c>
      <c r="I3109" s="9" t="n">
        <v>2</v>
      </c>
      <c r="J3109" s="9" t="inlineStr">
        <is>
          <t>cnt</t>
        </is>
      </c>
      <c r="K3109" s="9" t="n">
        <v>0.29</v>
      </c>
    </row>
    <row r="3110" ht="15" customFormat="1" customHeight="1" s="5">
      <c r="A3110" s="79" t="n">
        <v>45791</v>
      </c>
      <c r="B3110" s="78" t="n">
        <v>0.4965277777777778</v>
      </c>
      <c r="C3110" s="35" t="inlineStr">
        <is>
          <t>UC Health</t>
        </is>
      </c>
      <c r="D3110" s="35" t="n">
        <v>1</v>
      </c>
      <c r="E3110" s="35" t="n"/>
      <c r="F3110" s="47" t="inlineStr">
        <is>
          <t>214155</t>
        </is>
      </c>
      <c r="G3110" s="34" t="n"/>
      <c r="H3110" s="49" t="inlineStr">
        <is>
          <t>2024 PT charge that wasn't processed until 2025 grrrrrr (Account #110455235)</t>
        </is>
      </c>
      <c r="I3110" s="49" t="n">
        <v>1</v>
      </c>
      <c r="J3110" s="49" t="inlineStr">
        <is>
          <t>cnt</t>
        </is>
      </c>
      <c r="K3110" s="49" t="n">
        <v>32.63</v>
      </c>
    </row>
    <row r="3111" ht="15" customFormat="1" customHeight="1" s="5">
      <c r="A3111" s="81" t="n">
        <v>45790</v>
      </c>
      <c r="B3111" s="82" t="n">
        <v>0.2916666666666667</v>
      </c>
      <c r="C3111" s="5" t="inlineStr">
        <is>
          <t>Progressive</t>
        </is>
      </c>
      <c r="D3111" s="5" t="n">
        <v>1</v>
      </c>
      <c r="F3111" s="6" t="inlineStr">
        <is>
          <t>969718779</t>
        </is>
      </c>
      <c r="G3111" s="10" t="n"/>
      <c r="H3111" s="9" t="inlineStr">
        <is>
          <t>Motorcycle 12-policy 5/13/25-5/13/26</t>
        </is>
      </c>
      <c r="I3111" s="9" t="n">
        <v>1</v>
      </c>
      <c r="J3111" s="9" t="inlineStr">
        <is>
          <t>cnt</t>
        </is>
      </c>
      <c r="K3111" s="9" t="n">
        <v>82</v>
      </c>
    </row>
    <row r="3112" ht="15" customFormat="1" customHeight="1" s="5">
      <c r="A3112" s="81" t="n">
        <v>45789</v>
      </c>
      <c r="B3112" s="82" t="n">
        <v>0.7993055555555556</v>
      </c>
      <c r="C3112" s="5" t="inlineStr">
        <is>
          <t>Safeway</t>
        </is>
      </c>
      <c r="E3112" s="5" t="n">
        <v>1</v>
      </c>
      <c r="F3112" s="6" t="inlineStr">
        <is>
          <t>00261209601172505121911</t>
        </is>
      </c>
      <c r="G3112" s="10" t="n"/>
      <c r="H3112" s="9" t="inlineStr">
        <is>
          <t>Signature Select Pizza Dough Artisan Style</t>
        </is>
      </c>
      <c r="I3112" s="9" t="n">
        <v>15</v>
      </c>
      <c r="J3112" s="9" t="inlineStr">
        <is>
          <t>oz</t>
        </is>
      </c>
      <c r="K3112" s="9" t="n">
        <v>2.84</v>
      </c>
    </row>
    <row r="3113" ht="15" customFormat="1" customHeight="1" s="5">
      <c r="A3113" s="81" t="n">
        <v>45789</v>
      </c>
      <c r="B3113" s="82" t="n">
        <v>0.7993055555555556</v>
      </c>
      <c r="C3113" s="5" t="inlineStr">
        <is>
          <t>Safeway</t>
        </is>
      </c>
      <c r="E3113" s="5" t="n">
        <v>1</v>
      </c>
      <c r="F3113" s="6" t="inlineStr">
        <is>
          <t>00261209601172505121911</t>
        </is>
      </c>
      <c r="G3113" s="10" t="n"/>
      <c r="H3113" s="9" t="inlineStr">
        <is>
          <t>Signature Select Pizza Dough Artisan Style</t>
        </is>
      </c>
      <c r="I3113" s="9" t="n">
        <v>15</v>
      </c>
      <c r="J3113" s="9" t="inlineStr">
        <is>
          <t>oz</t>
        </is>
      </c>
      <c r="K3113" s="9" t="n">
        <v>2.84</v>
      </c>
    </row>
    <row r="3114" ht="15" customFormat="1" customHeight="1" s="5">
      <c r="A3114" s="81" t="n">
        <v>45789</v>
      </c>
      <c r="B3114" s="82" t="n">
        <v>0.7993055555555556</v>
      </c>
      <c r="C3114" s="5" t="inlineStr">
        <is>
          <t>Safeway</t>
        </is>
      </c>
      <c r="E3114" s="5" t="n">
        <v>1</v>
      </c>
      <c r="F3114" s="6" t="inlineStr">
        <is>
          <t>00261209601172505121911</t>
        </is>
      </c>
      <c r="G3114" s="10" t="n"/>
      <c r="H3114" s="9" t="inlineStr">
        <is>
          <t>Signature Select Pizza Dough Artisan Style</t>
        </is>
      </c>
      <c r="I3114" s="9" t="n">
        <v>15</v>
      </c>
      <c r="J3114" s="9" t="inlineStr">
        <is>
          <t>oz</t>
        </is>
      </c>
      <c r="K3114" s="9" t="n">
        <v>2.84</v>
      </c>
    </row>
    <row r="3115" ht="15" customFormat="1" customHeight="1" s="5">
      <c r="A3115" s="81" t="n">
        <v>45789</v>
      </c>
      <c r="B3115" s="82" t="n">
        <v>0.7993055555555556</v>
      </c>
      <c r="C3115" s="5" t="inlineStr">
        <is>
          <t>Safeway</t>
        </is>
      </c>
      <c r="E3115" s="5" t="n">
        <v>1</v>
      </c>
      <c r="F3115" s="6" t="inlineStr">
        <is>
          <t>00261209601172505121911</t>
        </is>
      </c>
      <c r="G3115" s="10" t="n"/>
      <c r="H3115" s="9" t="inlineStr">
        <is>
          <t>Green Bell Pepper</t>
        </is>
      </c>
      <c r="I3115" s="9" t="n">
        <v>1</v>
      </c>
      <c r="J3115" s="9" t="inlineStr">
        <is>
          <t>cnt</t>
        </is>
      </c>
      <c r="K3115" s="9" t="n">
        <v>1.22</v>
      </c>
    </row>
    <row r="3116" ht="15" customFormat="1" customHeight="1" s="5">
      <c r="A3116" s="81" t="n">
        <v>45789</v>
      </c>
      <c r="B3116" s="82" t="n">
        <v>0.7993055555555556</v>
      </c>
      <c r="C3116" s="5" t="inlineStr">
        <is>
          <t>Safeway</t>
        </is>
      </c>
      <c r="E3116" s="5" t="n">
        <v>1</v>
      </c>
      <c r="F3116" s="6" t="inlineStr">
        <is>
          <t>00261209601172505121911</t>
        </is>
      </c>
      <c r="G3116" s="10" t="n"/>
      <c r="H3116" s="9" t="inlineStr">
        <is>
          <t>Signature Select/Farms Baby Peeled Carrots</t>
        </is>
      </c>
      <c r="I3116" s="9" t="n">
        <v>1</v>
      </c>
      <c r="J3116" s="9" t="inlineStr">
        <is>
          <t>lb</t>
        </is>
      </c>
      <c r="K3116" s="9" t="n">
        <v>0.95</v>
      </c>
    </row>
    <row r="3117" ht="15" customFormat="1" customHeight="1" s="5">
      <c r="A3117" s="81" t="n">
        <v>45789</v>
      </c>
      <c r="B3117" s="82" t="n">
        <v>0.7993055555555556</v>
      </c>
      <c r="C3117" s="5" t="inlineStr">
        <is>
          <t>Safeway</t>
        </is>
      </c>
      <c r="E3117" s="5" t="n">
        <v>1</v>
      </c>
      <c r="F3117" s="6" t="inlineStr">
        <is>
          <t>00261209601172505121911</t>
        </is>
      </c>
      <c r="G3117" s="10" t="n"/>
      <c r="H3117" s="9" t="inlineStr">
        <is>
          <t>Extra Large Lemon</t>
        </is>
      </c>
      <c r="I3117" s="9" t="n">
        <v>1</v>
      </c>
      <c r="J3117" s="9" t="inlineStr">
        <is>
          <t>cnt</t>
        </is>
      </c>
      <c r="K3117" s="9" t="n">
        <v>0.76</v>
      </c>
    </row>
    <row r="3118" ht="15" customFormat="1" customHeight="1" s="5">
      <c r="A3118" s="81" t="n">
        <v>45789</v>
      </c>
      <c r="B3118" s="82" t="n">
        <v>0.7993055555555556</v>
      </c>
      <c r="C3118" s="5" t="inlineStr">
        <is>
          <t>Safeway</t>
        </is>
      </c>
      <c r="E3118" s="5" t="n">
        <v>1</v>
      </c>
      <c r="F3118" s="6" t="inlineStr">
        <is>
          <t>00261209601172505121911</t>
        </is>
      </c>
      <c r="G3118" s="10" t="n"/>
      <c r="H3118" s="9" t="inlineStr">
        <is>
          <t>Tax</t>
        </is>
      </c>
      <c r="I3118" s="9" t="n">
        <v>9</v>
      </c>
      <c r="J3118" s="9" t="inlineStr">
        <is>
          <t>cnt</t>
        </is>
      </c>
      <c r="K3118" s="9" t="n">
        <v>0</v>
      </c>
    </row>
    <row r="3119" ht="15" customFormat="1" customHeight="1" s="5">
      <c r="A3119" s="81" t="n">
        <v>45789</v>
      </c>
      <c r="B3119" s="82" t="n">
        <v>0.7993055555555556</v>
      </c>
      <c r="C3119" s="5" t="inlineStr">
        <is>
          <t>Safeway</t>
        </is>
      </c>
      <c r="E3119" s="5" t="n">
        <v>1</v>
      </c>
      <c r="F3119" s="6" t="inlineStr">
        <is>
          <t>00261209601172505121911</t>
        </is>
      </c>
      <c r="G3119" s="10" t="n"/>
      <c r="H3119" s="9" t="inlineStr">
        <is>
          <t>Knox Unflavored Gelatin Mix, 32 packs</t>
        </is>
      </c>
      <c r="I3119" s="9" t="n">
        <v>8</v>
      </c>
      <c r="J3119" s="9" t="inlineStr">
        <is>
          <t>oz</t>
        </is>
      </c>
      <c r="K3119" s="9" t="n">
        <v>14.23</v>
      </c>
    </row>
    <row r="3120" ht="16.25" customFormat="1" customHeight="1" s="5">
      <c r="A3120" s="81" t="n">
        <v>45789</v>
      </c>
      <c r="B3120" s="82" t="n">
        <v>0.7993055555555556</v>
      </c>
      <c r="C3120" s="5" t="inlineStr">
        <is>
          <t>Safeway</t>
        </is>
      </c>
      <c r="E3120" s="5" t="n">
        <v>1</v>
      </c>
      <c r="F3120" s="6" t="inlineStr">
        <is>
          <t>00261209601172505121911</t>
        </is>
      </c>
      <c r="G3120" s="10" t="n"/>
      <c r="H3120" s="9" t="inlineStr">
        <is>
          <t>Value Corner Whole Milk</t>
        </is>
      </c>
      <c r="I3120" s="9" t="n">
        <v>1</v>
      </c>
      <c r="J3120" s="9" t="inlineStr">
        <is>
          <t>gal</t>
        </is>
      </c>
      <c r="K3120" s="9" t="n">
        <v>2.77</v>
      </c>
    </row>
    <row r="3121" ht="16.25" customFormat="1" customHeight="1" s="5">
      <c r="A3121" s="81" t="n">
        <v>45789</v>
      </c>
      <c r="B3121" s="82" t="n">
        <v>0.7993055555555556</v>
      </c>
      <c r="C3121" s="5" t="inlineStr">
        <is>
          <t>Safeway</t>
        </is>
      </c>
      <c r="E3121" s="5" t="n">
        <v>1</v>
      </c>
      <c r="F3121" s="6" t="inlineStr">
        <is>
          <t>00261209601172505121911</t>
        </is>
      </c>
      <c r="G3121" s="10" t="n"/>
      <c r="H3121" s="9" t="inlineStr">
        <is>
          <t>Value Corner Whole Milk</t>
        </is>
      </c>
      <c r="I3121" s="9" t="n">
        <v>1</v>
      </c>
      <c r="J3121" s="9" t="inlineStr">
        <is>
          <t>gal</t>
        </is>
      </c>
      <c r="K3121" s="9" t="n">
        <v>2.77</v>
      </c>
    </row>
    <row r="3122" ht="16.25" customFormat="1" customHeight="1" s="5">
      <c r="A3122" s="81" t="n">
        <v>45789</v>
      </c>
      <c r="B3122" s="82" t="n">
        <v>0.7993055555555556</v>
      </c>
      <c r="C3122" s="5" t="inlineStr">
        <is>
          <t>Safeway</t>
        </is>
      </c>
      <c r="E3122" s="5" t="n">
        <v>1</v>
      </c>
      <c r="F3122" s="6" t="inlineStr">
        <is>
          <t>00261209601172505121911</t>
        </is>
      </c>
      <c r="G3122" s="10" t="n"/>
      <c r="H3122" s="9" t="inlineStr">
        <is>
          <t>Lucerne Greek Yogurt Whole Milk Plain</t>
        </is>
      </c>
      <c r="I3122" s="9" t="n">
        <v>5.3</v>
      </c>
      <c r="J3122" s="9" t="inlineStr">
        <is>
          <t>oz</t>
        </is>
      </c>
      <c r="K3122" s="9" t="n">
        <v>0.84</v>
      </c>
    </row>
    <row r="3123" ht="16.25" customFormat="1" customHeight="1" s="5">
      <c r="A3123" s="79" t="n">
        <v>45789</v>
      </c>
      <c r="B3123" s="78" t="n">
        <v>0.6118055555555556</v>
      </c>
      <c r="C3123" s="35" t="inlineStr">
        <is>
          <t>BELLA Health + Wellness</t>
        </is>
      </c>
      <c r="D3123" s="35" t="n"/>
      <c r="E3123" s="35" t="n">
        <v>1</v>
      </c>
      <c r="F3123" s="47" t="inlineStr">
        <is>
          <t>146452</t>
        </is>
      </c>
      <c r="G3123" s="48" t="inlineStr">
        <is>
          <t>2025121BL6400</t>
        </is>
      </c>
      <c r="H3123" s="49" t="inlineStr">
        <is>
          <t>5/12 Sheva Appointment (eye visit)</t>
        </is>
      </c>
      <c r="I3123" s="49" t="n">
        <v>1</v>
      </c>
      <c r="J3123" s="49" t="inlineStr">
        <is>
          <t>cnt</t>
        </is>
      </c>
      <c r="K3123" s="49" t="n">
        <v>89.81</v>
      </c>
    </row>
    <row r="3124" ht="16.25" customFormat="1" customHeight="1" s="5">
      <c r="A3124" s="81" t="n">
        <v>45789</v>
      </c>
      <c r="B3124" s="82" t="n">
        <v>0.5673611111111111</v>
      </c>
      <c r="C3124" s="5" t="inlineStr">
        <is>
          <t>Burger King</t>
        </is>
      </c>
      <c r="E3124" s="5" t="n">
        <v>1</v>
      </c>
      <c r="F3124" s="6" t="inlineStr">
        <is>
          <t>forgotToPicReceipt</t>
        </is>
      </c>
      <c r="G3124" s="10" t="n"/>
      <c r="H3124" s="9" t="inlineStr">
        <is>
          <t>1 Whopper</t>
        </is>
      </c>
      <c r="I3124" s="9" t="n">
        <v>1</v>
      </c>
      <c r="J3124" s="9" t="inlineStr">
        <is>
          <t>cnt</t>
        </is>
      </c>
      <c r="K3124" s="9" t="n">
        <v>6.69</v>
      </c>
    </row>
    <row r="3125" ht="16.25" customFormat="1" customHeight="1" s="5">
      <c r="A3125" s="81" t="n">
        <v>45789</v>
      </c>
      <c r="B3125" s="82" t="n">
        <v>0.5673611111111111</v>
      </c>
      <c r="C3125" s="5" t="inlineStr">
        <is>
          <t>Burger King</t>
        </is>
      </c>
      <c r="E3125" s="5" t="n">
        <v>1</v>
      </c>
      <c r="F3125" s="6" t="inlineStr">
        <is>
          <t>forgotToPicReceipt</t>
        </is>
      </c>
      <c r="G3125" s="10" t="n"/>
      <c r="H3125" s="9" t="inlineStr">
        <is>
          <t>4 churro sticks with chocolate sauce</t>
        </is>
      </c>
      <c r="I3125" s="9" t="n">
        <v>4</v>
      </c>
      <c r="J3125" s="9" t="inlineStr">
        <is>
          <t>cnt</t>
        </is>
      </c>
      <c r="K3125" s="9" t="n">
        <v>3.29</v>
      </c>
    </row>
    <row r="3126" ht="16.25" customFormat="1" customHeight="1" s="5">
      <c r="A3126" s="81" t="n">
        <v>45789</v>
      </c>
      <c r="B3126" s="82" t="n">
        <v>0.5673611111111111</v>
      </c>
      <c r="C3126" s="5" t="inlineStr">
        <is>
          <t>Burger King</t>
        </is>
      </c>
      <c r="E3126" s="5" t="n">
        <v>1</v>
      </c>
      <c r="F3126" s="6" t="inlineStr">
        <is>
          <t>forgotToPicReceipt</t>
        </is>
      </c>
      <c r="G3126" s="10" t="n"/>
      <c r="H3126" s="9" t="inlineStr">
        <is>
          <t>Medium Fries</t>
        </is>
      </c>
      <c r="I3126" s="9" t="n">
        <v>1</v>
      </c>
      <c r="J3126" s="9" t="inlineStr">
        <is>
          <t>cnt</t>
        </is>
      </c>
      <c r="K3126" s="9" t="n">
        <v>1.99</v>
      </c>
    </row>
    <row r="3127" ht="16.25" customFormat="1" customHeight="1" s="5">
      <c r="A3127" s="81" t="n">
        <v>45789</v>
      </c>
      <c r="B3127" s="82" t="n">
        <v>0.5673611111111111</v>
      </c>
      <c r="C3127" s="5" t="inlineStr">
        <is>
          <t>Burger King</t>
        </is>
      </c>
      <c r="E3127" s="5" t="n">
        <v>1</v>
      </c>
      <c r="F3127" s="6" t="inlineStr">
        <is>
          <t>forgotToPicReceipt</t>
        </is>
      </c>
      <c r="G3127" s="10" t="n"/>
      <c r="H3127" s="9" t="inlineStr">
        <is>
          <t>Tax</t>
        </is>
      </c>
      <c r="I3127" s="9" t="n">
        <v>3</v>
      </c>
      <c r="J3127" s="9" t="inlineStr">
        <is>
          <t>cnt</t>
        </is>
      </c>
      <c r="K3127" s="9" t="n">
        <v>0.42</v>
      </c>
    </row>
    <row r="3128" ht="16.25" customFormat="1" customHeight="1" s="5">
      <c r="A3128" s="81" t="n">
        <v>45789</v>
      </c>
      <c r="B3128" s="82" t="n">
        <v>0.5673611111111111</v>
      </c>
      <c r="C3128" s="5" t="inlineStr">
        <is>
          <t>Burger King</t>
        </is>
      </c>
      <c r="E3128" s="5" t="n">
        <v>1</v>
      </c>
      <c r="F3128" s="6" t="inlineStr">
        <is>
          <t>forgotToPicReceipt</t>
        </is>
      </c>
      <c r="G3128" s="10" t="n"/>
      <c r="H3128" s="9" t="inlineStr">
        <is>
          <t>**DISCOUNT** Walmart+ 1 free whopper every 3 months</t>
        </is>
      </c>
      <c r="I3128" s="9" t="n">
        <v>1</v>
      </c>
      <c r="J3128" s="9" t="inlineStr">
        <is>
          <t>cnt</t>
        </is>
      </c>
      <c r="K3128" s="9" t="n">
        <v>-6.69</v>
      </c>
    </row>
    <row r="3129" ht="16.25" customFormat="1" customHeight="1" s="5">
      <c r="A3129" s="81" t="n">
        <v>45788</v>
      </c>
      <c r="B3129" s="82" t="n">
        <v>0.6333333333333333</v>
      </c>
      <c r="C3129" s="5" t="inlineStr">
        <is>
          <t>Mt. Fuji Hibachi and Sushi</t>
        </is>
      </c>
      <c r="E3129" s="5" t="n">
        <v>1</v>
      </c>
      <c r="F3129" s="6" t="inlineStr">
        <is>
          <t>#49</t>
        </is>
      </c>
      <c r="G3129" s="10" t="inlineStr">
        <is>
          <t>E03</t>
        </is>
      </c>
      <c r="H3129" s="9" t="inlineStr">
        <is>
          <t>Sashimi Deluxe</t>
        </is>
      </c>
      <c r="I3129" s="9" t="n"/>
      <c r="J3129" s="9" t="n"/>
      <c r="K3129" s="9" t="n">
        <v>29.95</v>
      </c>
    </row>
    <row r="3130" ht="16.25" customFormat="1" customHeight="1" s="5">
      <c r="A3130" s="81" t="n">
        <v>45788</v>
      </c>
      <c r="B3130" s="82" t="n">
        <v>0.6333333333333333</v>
      </c>
      <c r="C3130" s="5" t="inlineStr">
        <is>
          <t>Mt. Fuji Hibachi and Sushi</t>
        </is>
      </c>
      <c r="E3130" s="5" t="n">
        <v>1</v>
      </c>
      <c r="F3130" s="6" t="inlineStr">
        <is>
          <t>#49</t>
        </is>
      </c>
      <c r="G3130" s="10" t="inlineStr">
        <is>
          <t>E06</t>
        </is>
      </c>
      <c r="H3130" s="9" t="inlineStr">
        <is>
          <t>Salmon Lover</t>
        </is>
      </c>
      <c r="I3130" s="9" t="n"/>
      <c r="J3130" s="9" t="n"/>
      <c r="K3130" s="9" t="n">
        <v>21.95</v>
      </c>
    </row>
    <row r="3131" ht="16.25" customFormat="1" customHeight="1" s="5">
      <c r="A3131" s="81" t="n">
        <v>45788</v>
      </c>
      <c r="B3131" s="82" t="n">
        <v>0.6333333333333333</v>
      </c>
      <c r="C3131" s="5" t="inlineStr">
        <is>
          <t>Mt. Fuji Hibachi and Sushi</t>
        </is>
      </c>
      <c r="E3131" s="5" t="n">
        <v>1</v>
      </c>
      <c r="F3131" s="6" t="inlineStr">
        <is>
          <t>#49</t>
        </is>
      </c>
      <c r="G3131" s="10" t="n"/>
      <c r="H3131" s="9" t="inlineStr">
        <is>
          <t>Gratuity 19%</t>
        </is>
      </c>
      <c r="I3131" s="9" t="n"/>
      <c r="J3131" s="9" t="n"/>
      <c r="K3131" s="9" t="n">
        <v>14.89</v>
      </c>
    </row>
    <row r="3132" ht="16.25" customFormat="1" customHeight="1" s="5">
      <c r="A3132" s="81" t="n">
        <v>45788</v>
      </c>
      <c r="B3132" s="82" t="n">
        <v>0.6333333333333333</v>
      </c>
      <c r="C3132" s="5" t="inlineStr">
        <is>
          <t>Mt. Fuji Hibachi and Sushi</t>
        </is>
      </c>
      <c r="E3132" s="5" t="n">
        <v>1</v>
      </c>
      <c r="F3132" s="6" t="inlineStr">
        <is>
          <t>#49</t>
        </is>
      </c>
      <c r="G3132" s="10" t="inlineStr">
        <is>
          <t>S07</t>
        </is>
      </c>
      <c r="H3132" s="9" t="inlineStr">
        <is>
          <t>I Love Eel Roll</t>
        </is>
      </c>
      <c r="I3132" s="9" t="n"/>
      <c r="J3132" s="9" t="n"/>
      <c r="K3132" s="9" t="n">
        <v>13.5</v>
      </c>
    </row>
    <row r="3133" ht="16.25" customFormat="1" customHeight="1" s="5">
      <c r="A3133" s="81" t="n">
        <v>45788</v>
      </c>
      <c r="B3133" s="82" t="n">
        <v>0.6333333333333333</v>
      </c>
      <c r="C3133" s="5" t="inlineStr">
        <is>
          <t>Mt. Fuji Hibachi and Sushi</t>
        </is>
      </c>
      <c r="E3133" s="5" t="n">
        <v>1</v>
      </c>
      <c r="F3133" s="6" t="inlineStr">
        <is>
          <t>#49</t>
        </is>
      </c>
      <c r="G3133" s="10" t="inlineStr">
        <is>
          <t>App #11</t>
        </is>
      </c>
      <c r="H3133" s="9" t="inlineStr">
        <is>
          <t>Monkey Brains Appetizer</t>
        </is>
      </c>
      <c r="I3133" s="9" t="n"/>
      <c r="J3133" s="9" t="n"/>
      <c r="K3133" s="9" t="n">
        <v>12.95</v>
      </c>
    </row>
    <row r="3134" ht="16.25" customFormat="1" customHeight="1" s="5">
      <c r="A3134" s="81" t="n">
        <v>45788</v>
      </c>
      <c r="B3134" s="82" t="n">
        <v>0.6333333333333333</v>
      </c>
      <c r="C3134" s="5" t="inlineStr">
        <is>
          <t>Mt. Fuji Hibachi and Sushi</t>
        </is>
      </c>
      <c r="E3134" s="5" t="n">
        <v>1</v>
      </c>
      <c r="F3134" s="6" t="inlineStr">
        <is>
          <t>#49</t>
        </is>
      </c>
      <c r="G3134" s="10" t="n"/>
      <c r="H3134" s="9" t="inlineStr">
        <is>
          <t>Tax (8.00%)</t>
        </is>
      </c>
      <c r="I3134" s="9" t="n"/>
      <c r="J3134" s="9" t="n"/>
      <c r="K3134" s="9" t="n">
        <v>6.27</v>
      </c>
    </row>
    <row r="3135" ht="16.25" customFormat="1" customHeight="1" s="5">
      <c r="A3135" s="81" t="n">
        <v>45788</v>
      </c>
      <c r="B3135" s="82" t="n">
        <v>0.5006944444444444</v>
      </c>
      <c r="C3135" s="5" t="inlineStr">
        <is>
          <t>Amazon</t>
        </is>
      </c>
      <c r="D3135" s="5" t="n">
        <v>1</v>
      </c>
      <c r="F3135" s="6" t="inlineStr">
        <is>
          <t>112-7130228-7313869</t>
        </is>
      </c>
      <c r="G3135" s="10" t="n"/>
      <c r="H3135" s="9" t="inlineStr">
        <is>
          <t>Rokform Rugged Case Compatible with iPhone 16 Plus, Magnetic Cover (Black) Sold by: ROKFORM, LLC</t>
        </is>
      </c>
      <c r="I3135" s="9" t="n">
        <v>1</v>
      </c>
      <c r="J3135" s="9" t="inlineStr">
        <is>
          <t>cnt</t>
        </is>
      </c>
      <c r="K3135" s="9" t="n">
        <v>69.98999999999999</v>
      </c>
    </row>
    <row r="3136" ht="16.25" customFormat="1" customHeight="1" s="5">
      <c r="A3136" s="81" t="n">
        <v>45788</v>
      </c>
      <c r="B3136" s="82" t="n">
        <v>0.5006944444444444</v>
      </c>
      <c r="C3136" s="5" t="inlineStr">
        <is>
          <t>Amazon</t>
        </is>
      </c>
      <c r="D3136" s="5" t="n">
        <v>1</v>
      </c>
      <c r="F3136" s="6" t="inlineStr">
        <is>
          <t>112-7130228-7313869</t>
        </is>
      </c>
      <c r="G3136" s="10" t="n"/>
      <c r="H3136" s="9" t="inlineStr">
        <is>
          <t>Ailun 3 Pack Screen Protector for iPhone 16 Pro Max [6.9 inch] + 3 Pack Camera Lens Protector with Installation Frame,Sensor Protection,Dynamic Island Compatible,Case Friendly Tempered Glass Film Sold by: Ailun Authorized</t>
        </is>
      </c>
      <c r="I3136" s="9" t="n">
        <v>6</v>
      </c>
      <c r="J3136" s="9" t="inlineStr">
        <is>
          <t>cnt</t>
        </is>
      </c>
      <c r="K3136" s="9" t="n">
        <v>8.98</v>
      </c>
    </row>
    <row r="3137" ht="16.25" customFormat="1" customHeight="1" s="5">
      <c r="A3137" s="81" t="n">
        <v>45788</v>
      </c>
      <c r="B3137" s="82" t="n">
        <v>0.5006944444444444</v>
      </c>
      <c r="C3137" s="5" t="inlineStr">
        <is>
          <t>Amazon</t>
        </is>
      </c>
      <c r="D3137" s="5" t="n">
        <v>1</v>
      </c>
      <c r="F3137" s="6" t="inlineStr">
        <is>
          <t>112-7130228-7313869</t>
        </is>
      </c>
      <c r="G3137" s="10" t="n"/>
      <c r="H3137" s="9" t="inlineStr">
        <is>
          <t>Ailun 3 Pack Screen Protector for iPhone 16 Plus [6.7 inch] + 3 Pack Camera Lens Protector with Installation Frame,Case Friendly Tempered Glass Film,[9H Hardness] - HD[6 Pack] Sold by: Ailun Authorized</t>
        </is>
      </c>
      <c r="I3137" s="9" t="n">
        <v>6</v>
      </c>
      <c r="J3137" s="9" t="inlineStr">
        <is>
          <t>cnt</t>
        </is>
      </c>
      <c r="K3137" s="9" t="n">
        <v>8.880000000000001</v>
      </c>
    </row>
    <row r="3138" ht="16.25" customFormat="1" customHeight="1" s="5">
      <c r="A3138" s="81" t="n">
        <v>45788</v>
      </c>
      <c r="B3138" s="82" t="n">
        <v>0.5006944444444444</v>
      </c>
      <c r="C3138" s="5" t="inlineStr">
        <is>
          <t>Amazon</t>
        </is>
      </c>
      <c r="D3138" s="5" t="n">
        <v>1</v>
      </c>
      <c r="F3138" s="6" t="inlineStr">
        <is>
          <t>112-7130228-7313869</t>
        </is>
      </c>
      <c r="G3138" s="10" t="n"/>
      <c r="H3138" s="9" t="inlineStr">
        <is>
          <t>Tax</t>
        </is>
      </c>
      <c r="I3138" s="9" t="n">
        <v>3</v>
      </c>
      <c r="J3138" s="9" t="inlineStr">
        <is>
          <t>cnt</t>
        </is>
      </c>
      <c r="K3138" s="9" t="n">
        <v>7.03</v>
      </c>
    </row>
    <row r="3139" ht="16.25" customFormat="1" customHeight="1" s="5">
      <c r="A3139" s="81" t="n">
        <v>45788</v>
      </c>
      <c r="B3139" s="82" t="n">
        <v>0.5006944444444444</v>
      </c>
      <c r="C3139" s="5" t="inlineStr">
        <is>
          <t>Amazon</t>
        </is>
      </c>
      <c r="D3139" s="5" t="n">
        <v>1</v>
      </c>
      <c r="F3139" s="6" t="inlineStr">
        <is>
          <t>112-7130228-7313869</t>
        </is>
      </c>
      <c r="G3139" s="10" t="n"/>
      <c r="H3139" s="9" t="inlineStr">
        <is>
          <t>Co retail delivery fee</t>
        </is>
      </c>
      <c r="I3139" s="9" t="n">
        <v>3</v>
      </c>
      <c r="J3139" s="9" t="inlineStr">
        <is>
          <t>cnt</t>
        </is>
      </c>
      <c r="K3139" s="9" t="n">
        <v>0.29</v>
      </c>
    </row>
    <row r="3140" ht="16.25" customFormat="1" customHeight="1" s="5">
      <c r="A3140" s="81" t="n">
        <v>45788</v>
      </c>
      <c r="B3140" s="82" t="n">
        <v>0.5006944444444444</v>
      </c>
      <c r="C3140" s="5" t="inlineStr">
        <is>
          <t>Amazon</t>
        </is>
      </c>
      <c r="D3140" s="5" t="n">
        <v>1</v>
      </c>
      <c r="F3140" s="6" t="inlineStr">
        <is>
          <t>112-7130228-7313869</t>
        </is>
      </c>
      <c r="G3140" s="10" t="n"/>
      <c r="H3140" s="9" t="inlineStr">
        <is>
          <t xml:space="preserve">Amazon Visa rewards cash back </t>
        </is>
      </c>
      <c r="I3140" s="9" t="n">
        <v>1</v>
      </c>
      <c r="J3140" s="9" t="inlineStr">
        <is>
          <t>cnt</t>
        </is>
      </c>
      <c r="K3140" s="9" t="n">
        <v>-14.03</v>
      </c>
    </row>
    <row r="3141" ht="16.25" customFormat="1" customHeight="1" s="5">
      <c r="A3141" s="81" t="n">
        <v>45788</v>
      </c>
      <c r="B3141" s="82" t="n">
        <v>0.1548611111111111</v>
      </c>
      <c r="C3141" s="5" t="inlineStr">
        <is>
          <t>Overland Missions</t>
        </is>
      </c>
      <c r="D3141" s="5" t="n">
        <v>1</v>
      </c>
      <c r="F3141" s="6" t="inlineStr">
        <is>
          <t>121026454752</t>
        </is>
      </c>
      <c r="G3141" s="10" t="n"/>
      <c r="H3141" s="9" t="inlineStr">
        <is>
          <t>Pelletier - Monthly missions donation</t>
        </is>
      </c>
      <c r="I3141" s="9" t="n">
        <v>1</v>
      </c>
      <c r="J3141" s="9" t="inlineStr">
        <is>
          <t>cnt</t>
        </is>
      </c>
      <c r="K3141" s="9" t="n">
        <v>250</v>
      </c>
    </row>
    <row r="3142" ht="16.25" customFormat="1" customHeight="1" s="5">
      <c r="A3142" s="81" t="n">
        <v>45787</v>
      </c>
      <c r="B3142" s="82" t="n">
        <v>0.6527777777777778</v>
      </c>
      <c r="C3142" s="5" t="inlineStr">
        <is>
          <t>CollegeInvest</t>
        </is>
      </c>
      <c r="D3142" s="5" t="n">
        <v>1</v>
      </c>
      <c r="F3142" s="6" t="n"/>
      <c r="G3142" s="10" t="n"/>
      <c r="H3142" s="9" t="inlineStr">
        <is>
          <t>Elisheva yearly 529 contribution to get match</t>
        </is>
      </c>
      <c r="I3142" s="9" t="n"/>
      <c r="J3142" s="9" t="n"/>
      <c r="K3142" s="9" t="n">
        <v>500</v>
      </c>
    </row>
    <row r="3143" ht="15" customFormat="1" customHeight="1" s="5">
      <c r="A3143" s="81" t="n">
        <v>45787</v>
      </c>
      <c r="B3143" s="82" t="n">
        <v>0.6520833333333333</v>
      </c>
      <c r="C3143" s="5" t="inlineStr">
        <is>
          <t>CIT</t>
        </is>
      </c>
      <c r="D3143" s="5" t="n">
        <v>1</v>
      </c>
      <c r="F3143" s="6" t="n"/>
      <c r="G3143" s="7" t="n"/>
      <c r="H3143" s="9" t="inlineStr">
        <is>
          <t>Earmark for Apr Emergency savings</t>
        </is>
      </c>
      <c r="I3143" s="9" t="n"/>
      <c r="J3143" s="9" t="n"/>
      <c r="K3143" s="9" t="n">
        <v>0</v>
      </c>
    </row>
    <row r="3144" ht="15" customFormat="1" customHeight="1" s="5">
      <c r="A3144" s="81" t="n">
        <v>45787</v>
      </c>
      <c r="B3144" s="82" t="n">
        <v>0.4722222222222222</v>
      </c>
      <c r="C3144" s="5" t="inlineStr">
        <is>
          <t>Happy Lemon</t>
        </is>
      </c>
      <c r="E3144" s="5" t="n">
        <v>1</v>
      </c>
      <c r="F3144" s="6" t="inlineStr">
        <is>
          <t>839</t>
        </is>
      </c>
      <c r="G3144" s="7" t="inlineStr">
        <is>
          <t>V1I-C-L</t>
        </is>
      </c>
      <c r="H3144" s="9" t="inlineStr">
        <is>
          <t>LARGE Strawberry Matcha Teappaccino</t>
        </is>
      </c>
      <c r="I3144" s="9" t="n">
        <v>1</v>
      </c>
      <c r="J3144" s="9" t="inlineStr">
        <is>
          <t>cnt</t>
        </is>
      </c>
      <c r="K3144" s="9" t="n">
        <v>6.75</v>
      </c>
    </row>
    <row r="3145" ht="15" customFormat="1" customHeight="1" s="5">
      <c r="A3145" s="81" t="n">
        <v>45787</v>
      </c>
      <c r="B3145" s="82" t="n">
        <v>0.4722222222222222</v>
      </c>
      <c r="C3145" s="5" t="inlineStr">
        <is>
          <t>Happy Lemon</t>
        </is>
      </c>
      <c r="E3145" s="5" t="n">
        <v>1</v>
      </c>
      <c r="F3145" s="6" t="inlineStr">
        <is>
          <t>839</t>
        </is>
      </c>
      <c r="G3145" s="7" t="n"/>
      <c r="H3145" s="9" t="inlineStr">
        <is>
          <t>Salted Cheese</t>
        </is>
      </c>
      <c r="I3145" s="9" t="n">
        <v>1</v>
      </c>
      <c r="J3145" s="9" t="inlineStr">
        <is>
          <t>cnt</t>
        </is>
      </c>
      <c r="K3145" s="9" t="n">
        <v>1</v>
      </c>
    </row>
    <row r="3146" ht="15" customFormat="1" customHeight="1" s="5">
      <c r="A3146" s="81" t="n">
        <v>45787</v>
      </c>
      <c r="B3146" s="82" t="n">
        <v>0.4722222222222222</v>
      </c>
      <c r="C3146" s="5" t="inlineStr">
        <is>
          <t>Happy Lemon</t>
        </is>
      </c>
      <c r="E3146" s="5" t="n">
        <v>1</v>
      </c>
      <c r="F3146" s="6" t="inlineStr">
        <is>
          <t>839</t>
        </is>
      </c>
      <c r="G3146" s="7" t="n"/>
      <c r="H3146" s="9" t="inlineStr">
        <is>
          <t>Sales Tax</t>
        </is>
      </c>
      <c r="I3146" s="9" t="n">
        <v>1</v>
      </c>
      <c r="J3146" s="9" t="inlineStr">
        <is>
          <t>cnt</t>
        </is>
      </c>
      <c r="K3146" s="9" t="n">
        <v>0.5600000000000001</v>
      </c>
    </row>
    <row r="3147" ht="15" customFormat="1" customHeight="1" s="5">
      <c r="A3147" s="81" t="n">
        <v>45787</v>
      </c>
      <c r="B3147" s="82" t="n">
        <v>0.4583333333333333</v>
      </c>
      <c r="C3147" s="5" t="inlineStr">
        <is>
          <t>NFCU</t>
        </is>
      </c>
      <c r="E3147" s="5" t="n">
        <v>1</v>
      </c>
      <c r="F3147" s="6" t="inlineStr">
        <is>
          <t>0063</t>
        </is>
      </c>
      <c r="G3147" s="10" t="n"/>
      <c r="H3147" s="9" t="inlineStr">
        <is>
          <t>Cash deposit to NFCU</t>
        </is>
      </c>
      <c r="I3147" s="9" t="n"/>
      <c r="J3147" s="9" t="n"/>
      <c r="K3147" s="9" t="n">
        <v>-80</v>
      </c>
    </row>
    <row r="3148" ht="15" customFormat="1" customHeight="1" s="5">
      <c r="A3148" s="81" t="n">
        <v>45787</v>
      </c>
      <c r="B3148" s="82" t="n">
        <v>0.4583333333333333</v>
      </c>
      <c r="C3148" s="5" t="inlineStr">
        <is>
          <t>NFCU</t>
        </is>
      </c>
      <c r="E3148" s="5" t="n">
        <v>1</v>
      </c>
      <c r="F3148" s="6" t="inlineStr">
        <is>
          <t>0063</t>
        </is>
      </c>
      <c r="G3148" s="7" t="n"/>
      <c r="H3148" s="9" t="inlineStr">
        <is>
          <t>2024 State Tax REFUND — filed 4/9/25</t>
        </is>
      </c>
      <c r="I3148" s="9" t="n"/>
      <c r="J3148" s="9" t="n"/>
      <c r="K3148" s="9" t="n">
        <v>-2443</v>
      </c>
    </row>
    <row r="3149" ht="15" customFormat="1" customHeight="1" s="5">
      <c r="A3149" s="81" t="n">
        <v>45786</v>
      </c>
      <c r="B3149" s="82" t="n">
        <v>0.9347222222222222</v>
      </c>
      <c r="C3149" s="5" t="inlineStr">
        <is>
          <t>Amazon</t>
        </is>
      </c>
      <c r="D3149" s="5" t="n">
        <v>1</v>
      </c>
      <c r="F3149" s="6" t="inlineStr">
        <is>
          <t>111-1084808-2628231</t>
        </is>
      </c>
      <c r="G3149" s="10" t="n"/>
      <c r="H3149" s="9" t="inlineStr">
        <is>
          <t>Rokform Rugged Case Compatible with iPhone 16 Pro Max, Magnetic Cover (Black)</t>
        </is>
      </c>
      <c r="I3149" s="9" t="n">
        <v>1</v>
      </c>
      <c r="J3149" s="9" t="inlineStr">
        <is>
          <t>cnt</t>
        </is>
      </c>
      <c r="K3149" s="85" t="n">
        <v>69.98999999999999</v>
      </c>
    </row>
    <row r="3150" ht="15" customFormat="1" customHeight="1" s="5">
      <c r="A3150" s="81" t="n">
        <v>45786</v>
      </c>
      <c r="B3150" s="82" t="n">
        <v>0.9347222222222222</v>
      </c>
      <c r="C3150" s="5" t="inlineStr">
        <is>
          <t>Amazon</t>
        </is>
      </c>
      <c r="D3150" s="5" t="n">
        <v>1</v>
      </c>
      <c r="F3150" s="6" t="inlineStr">
        <is>
          <t>111-1084808-2628231</t>
        </is>
      </c>
      <c r="G3150" s="10" t="n"/>
      <c r="H3150" s="9" t="inlineStr">
        <is>
          <t>Tax</t>
        </is>
      </c>
      <c r="I3150" s="9" t="n">
        <v>1</v>
      </c>
      <c r="J3150" s="9" t="inlineStr">
        <is>
          <t>cnt</t>
        </is>
      </c>
      <c r="K3150" s="85" t="n">
        <v>5.6</v>
      </c>
    </row>
    <row r="3151" ht="15" customFormat="1" customHeight="1" s="5">
      <c r="A3151" s="81" t="n">
        <v>45786</v>
      </c>
      <c r="B3151" s="82" t="n">
        <v>0.9347222222222222</v>
      </c>
      <c r="C3151" s="5" t="inlineStr">
        <is>
          <t>Amazon</t>
        </is>
      </c>
      <c r="D3151" s="5" t="n">
        <v>1</v>
      </c>
      <c r="F3151" s="6" t="inlineStr">
        <is>
          <t>111-1084808-2628231</t>
        </is>
      </c>
      <c r="G3151" s="10" t="n"/>
      <c r="H3151" s="9" t="inlineStr">
        <is>
          <t>Co retail delivery fee</t>
        </is>
      </c>
      <c r="I3151" s="9" t="n">
        <v>1</v>
      </c>
      <c r="J3151" s="9" t="inlineStr">
        <is>
          <t>cnt</t>
        </is>
      </c>
      <c r="K3151" s="85" t="n">
        <v>0.29</v>
      </c>
    </row>
    <row r="3152" ht="15" customFormat="1" customHeight="1" s="5">
      <c r="A3152" s="81" t="n">
        <v>45786</v>
      </c>
      <c r="B3152" s="82" t="n">
        <v>0.9347222222222222</v>
      </c>
      <c r="C3152" s="5" t="inlineStr">
        <is>
          <t>Amazon</t>
        </is>
      </c>
      <c r="D3152" s="5" t="n">
        <v>1</v>
      </c>
      <c r="F3152" s="6" t="inlineStr">
        <is>
          <t>111-8943181-4766659</t>
        </is>
      </c>
      <c r="G3152" s="10" t="n"/>
      <c r="H3152" s="9" t="inlineStr">
        <is>
          <t>Hearprotek Concert Ear Plugs, 2Pairs Reusable high Fidelity Musician Ear Plugs for Concerts Loud Music-Noise Reduction Ear Protection earplugs for Rave,Festival,Music,Tinnitus Relief
Sold by: Hearprotek US</t>
        </is>
      </c>
      <c r="I3152" s="9" t="n">
        <v>4</v>
      </c>
      <c r="J3152" s="9" t="inlineStr">
        <is>
          <t>cnt</t>
        </is>
      </c>
      <c r="K3152" s="85" t="n">
        <v>13.29</v>
      </c>
    </row>
    <row r="3153" ht="15" customFormat="1" customHeight="1" s="5">
      <c r="A3153" s="81" t="n">
        <v>45786</v>
      </c>
      <c r="B3153" s="82" t="n">
        <v>0.9347222222222222</v>
      </c>
      <c r="C3153" s="5" t="inlineStr">
        <is>
          <t>Amazon</t>
        </is>
      </c>
      <c r="D3153" s="5" t="n">
        <v>1</v>
      </c>
      <c r="F3153" s="6" t="inlineStr">
        <is>
          <t>111-8943181-4766659</t>
        </is>
      </c>
      <c r="G3153" s="10" t="n"/>
      <c r="H3153" s="9" t="inlineStr">
        <is>
          <t>Tax</t>
        </is>
      </c>
      <c r="I3153" s="9" t="n">
        <v>1</v>
      </c>
      <c r="J3153" s="9" t="inlineStr">
        <is>
          <t>cnt</t>
        </is>
      </c>
      <c r="K3153" s="85" t="n">
        <v>1.06</v>
      </c>
    </row>
    <row r="3154" ht="15" customFormat="1" customHeight="1" s="5">
      <c r="A3154" s="81" t="n">
        <v>45786</v>
      </c>
      <c r="B3154" s="82" t="n">
        <v>0.8465277777777778</v>
      </c>
      <c r="C3154" s="5" t="inlineStr">
        <is>
          <t>Safeway</t>
        </is>
      </c>
      <c r="E3154" s="5" t="n">
        <v>1</v>
      </c>
      <c r="F3154" s="6" t="inlineStr">
        <is>
          <t>2612 51 224 8851</t>
        </is>
      </c>
      <c r="G3154" s="10" t="n"/>
      <c r="H3154" s="9" t="inlineStr">
        <is>
          <t>SO DELICIOUS coconut whip</t>
        </is>
      </c>
      <c r="I3154" s="9" t="n">
        <v>9</v>
      </c>
      <c r="J3154" s="9" t="inlineStr">
        <is>
          <t>oz</t>
        </is>
      </c>
      <c r="K3154" s="85" t="n">
        <v>5.49</v>
      </c>
    </row>
    <row r="3155" ht="15" customFormat="1" customHeight="1" s="5">
      <c r="A3155" s="81" t="n">
        <v>45786</v>
      </c>
      <c r="B3155" s="82" t="n">
        <v>0.8465277777777778</v>
      </c>
      <c r="C3155" s="5" t="inlineStr">
        <is>
          <t>Safeway</t>
        </is>
      </c>
      <c r="E3155" s="5" t="n">
        <v>1</v>
      </c>
      <c r="F3155" s="6" t="inlineStr">
        <is>
          <t>2612 51 224 8851</t>
        </is>
      </c>
      <c r="G3155" s="10" t="n"/>
      <c r="H3155" s="9" t="inlineStr">
        <is>
          <t>Signature Select Brownie Moose Tracks Alaskan Classics Ice Cream 1.5 Quart</t>
        </is>
      </c>
      <c r="I3155" s="9" t="n">
        <v>1.5</v>
      </c>
      <c r="J3155" s="9" t="inlineStr">
        <is>
          <t>quart</t>
        </is>
      </c>
      <c r="K3155" s="85" t="n">
        <v>4.99</v>
      </c>
    </row>
    <row r="3156" ht="15" customFormat="1" customHeight="1" s="5">
      <c r="A3156" s="81" t="n">
        <v>45786</v>
      </c>
      <c r="B3156" s="82" t="n">
        <v>0.8465277777777778</v>
      </c>
      <c r="C3156" s="5" t="inlineStr">
        <is>
          <t>Safeway</t>
        </is>
      </c>
      <c r="E3156" s="5" t="n">
        <v>1</v>
      </c>
      <c r="F3156" s="6" t="inlineStr">
        <is>
          <t>2612 51 224 8851</t>
        </is>
      </c>
      <c r="G3156" s="10" t="n"/>
      <c r="H3156" s="9" t="inlineStr">
        <is>
          <t>Tax</t>
        </is>
      </c>
      <c r="I3156" s="9" t="n">
        <v>2</v>
      </c>
      <c r="J3156" s="9" t="inlineStr">
        <is>
          <t>cnt</t>
        </is>
      </c>
      <c r="K3156" s="85" t="n">
        <v>0</v>
      </c>
    </row>
    <row r="3157" ht="15" customFormat="1" customHeight="1" s="5">
      <c r="A3157" s="81" t="n">
        <v>45786</v>
      </c>
      <c r="B3157" s="82" t="n">
        <v>0.8465277777777778</v>
      </c>
      <c r="C3157" s="5" t="inlineStr">
        <is>
          <t>Safeway</t>
        </is>
      </c>
      <c r="E3157" s="5" t="n">
        <v>1</v>
      </c>
      <c r="F3157" s="6" t="inlineStr">
        <is>
          <t>2612 51 224 8851</t>
        </is>
      </c>
      <c r="G3157" s="10" t="n"/>
      <c r="H3157" s="9" t="inlineStr">
        <is>
          <t>**DISCOUNT** Basket Savings</t>
        </is>
      </c>
      <c r="I3157" s="9" t="n">
        <v>9</v>
      </c>
      <c r="J3157" s="9" t="inlineStr">
        <is>
          <t>oz</t>
        </is>
      </c>
      <c r="K3157" s="85" t="n">
        <v>-0.28</v>
      </c>
    </row>
    <row r="3158" ht="15" customFormat="1" customHeight="1" s="5">
      <c r="A3158" s="81" t="n">
        <v>45786</v>
      </c>
      <c r="B3158" s="82" t="n">
        <v>0.8465277777777778</v>
      </c>
      <c r="C3158" s="5" t="inlineStr">
        <is>
          <t>Safeway</t>
        </is>
      </c>
      <c r="E3158" s="5" t="n">
        <v>1</v>
      </c>
      <c r="F3158" s="6" t="inlineStr">
        <is>
          <t>2612 51 224 8851</t>
        </is>
      </c>
      <c r="G3158" s="10" t="n"/>
      <c r="H3158" s="9" t="inlineStr">
        <is>
          <t>**DISCOUNT** Basket Savings</t>
        </is>
      </c>
      <c r="I3158" s="9" t="n">
        <v>1.5</v>
      </c>
      <c r="J3158" s="9" t="inlineStr">
        <is>
          <t>quart</t>
        </is>
      </c>
      <c r="K3158" s="85" t="n">
        <v>-1.69</v>
      </c>
    </row>
    <row r="3159" ht="15" customFormat="1" customHeight="1" s="5">
      <c r="A3159" s="81" t="n">
        <v>45785</v>
      </c>
      <c r="B3159" s="82" t="n">
        <v>0.8256944444444444</v>
      </c>
      <c r="C3159" s="5" t="inlineStr">
        <is>
          <t>Costco</t>
        </is>
      </c>
      <c r="E3159" s="5" t="n">
        <v>1</v>
      </c>
      <c r="F3159" s="6" t="inlineStr">
        <is>
          <t>439 205 239 705</t>
        </is>
      </c>
      <c r="G3159" s="10" t="n"/>
      <c r="H3159" s="9" t="inlineStr">
        <is>
          <t>Button Dress - Cotton, Tan, Large, "Well Worn"</t>
        </is>
      </c>
      <c r="I3159" s="9" t="n">
        <v>1</v>
      </c>
      <c r="J3159" s="9" t="inlineStr">
        <is>
          <t>cnt</t>
        </is>
      </c>
      <c r="K3159" s="85" t="inlineStr">
        <is>
          <t>4.00-A</t>
        </is>
      </c>
    </row>
    <row r="3160" ht="15" customFormat="1" customHeight="1" s="5">
      <c r="A3160" s="81" t="n">
        <v>45785</v>
      </c>
      <c r="B3160" s="82" t="n">
        <v>0.8256944444444444</v>
      </c>
      <c r="C3160" s="5" t="inlineStr">
        <is>
          <t>Costco</t>
        </is>
      </c>
      <c r="E3160" s="5" t="n">
        <v>1</v>
      </c>
      <c r="F3160" s="6" t="inlineStr">
        <is>
          <t>439 205 239 705</t>
        </is>
      </c>
      <c r="G3160" s="10" t="n"/>
      <c r="H3160" s="9" t="inlineStr">
        <is>
          <t>Button Dress - Cotton, Tan, Large, "Well Worn"</t>
        </is>
      </c>
      <c r="I3160" s="9" t="n">
        <v>1</v>
      </c>
      <c r="J3160" s="9" t="inlineStr">
        <is>
          <t>cnt</t>
        </is>
      </c>
      <c r="K3160" s="85" t="inlineStr">
        <is>
          <t>16.99 A</t>
        </is>
      </c>
    </row>
    <row r="3161" ht="15" customFormat="1" customHeight="1" s="5">
      <c r="A3161" s="81" t="n">
        <v>45785</v>
      </c>
      <c r="B3161" s="82" t="n">
        <v>0.8256944444444444</v>
      </c>
      <c r="C3161" s="5" t="inlineStr">
        <is>
          <t>Costco</t>
        </is>
      </c>
      <c r="E3161" s="5" t="n">
        <v>1</v>
      </c>
      <c r="F3161" s="6" t="inlineStr">
        <is>
          <t>439 205 239 705</t>
        </is>
      </c>
      <c r="G3161" s="10" t="n"/>
      <c r="H3161" s="9" t="inlineStr">
        <is>
          <t>Tax 1 8.000%</t>
        </is>
      </c>
      <c r="I3161" s="9" t="n">
        <v>2</v>
      </c>
      <c r="J3161" s="9" t="inlineStr">
        <is>
          <t>cnt</t>
        </is>
      </c>
      <c r="K3161" s="85" t="n">
        <v>2.16</v>
      </c>
    </row>
    <row r="3162" ht="15" customFormat="1" customHeight="1" s="5">
      <c r="A3162" s="81" t="n">
        <v>45785</v>
      </c>
      <c r="B3162" s="82" t="n">
        <v>0.8256944444444444</v>
      </c>
      <c r="C3162" s="5" t="inlineStr">
        <is>
          <t>Costco</t>
        </is>
      </c>
      <c r="E3162" s="5" t="n">
        <v>1</v>
      </c>
      <c r="F3162" s="6" t="inlineStr">
        <is>
          <t>439 205 239 705</t>
        </is>
      </c>
      <c r="G3162" s="10" t="n"/>
      <c r="H3162" s="9" t="inlineStr">
        <is>
          <t>KS Lager Cans Helles-Style, 4.5% Alc Content, 12 x 12 fl oz cans</t>
        </is>
      </c>
      <c r="I3162" s="9" t="n">
        <v>144</v>
      </c>
      <c r="J3162" s="9" t="inlineStr">
        <is>
          <t>oz</t>
        </is>
      </c>
      <c r="K3162" s="85" t="inlineStr">
        <is>
          <t>13.99 A</t>
        </is>
      </c>
    </row>
    <row r="3163" ht="15" customFormat="1" customHeight="1" s="5">
      <c r="A3163" s="81" t="n">
        <v>45785</v>
      </c>
      <c r="B3163" s="82" t="n">
        <v>0.8256944444444444</v>
      </c>
      <c r="C3163" s="5" t="inlineStr">
        <is>
          <t>Costco</t>
        </is>
      </c>
      <c r="E3163" s="5" t="n">
        <v>1</v>
      </c>
      <c r="F3163" s="6" t="inlineStr">
        <is>
          <t>439 205 239 705</t>
        </is>
      </c>
      <c r="G3163" s="10" t="n"/>
      <c r="H3163" s="9" t="inlineStr">
        <is>
          <t>Cucumber Kimchi</t>
        </is>
      </c>
      <c r="I3163" s="9" t="n">
        <v>42.3</v>
      </c>
      <c r="J3163" s="9" t="inlineStr">
        <is>
          <t>oz</t>
        </is>
      </c>
      <c r="K3163" s="85" t="n">
        <v>11.99</v>
      </c>
    </row>
    <row r="3164" ht="15" customFormat="1" customHeight="1" s="5">
      <c r="A3164" s="81" t="n">
        <v>45785</v>
      </c>
      <c r="B3164" s="82" t="n">
        <v>0.8256944444444444</v>
      </c>
      <c r="C3164" s="5" t="inlineStr">
        <is>
          <t>Costco</t>
        </is>
      </c>
      <c r="E3164" s="5" t="n">
        <v>1</v>
      </c>
      <c r="F3164" s="6" t="inlineStr">
        <is>
          <t>439 205 239 705</t>
        </is>
      </c>
      <c r="G3164" s="10" t="n"/>
      <c r="H3164" s="9" t="inlineStr">
        <is>
          <t>Bagels: 6 plain, 6 everything seasoning</t>
        </is>
      </c>
      <c r="I3164" s="9" t="n">
        <v>3</v>
      </c>
      <c r="J3164" s="9" t="inlineStr">
        <is>
          <t>lb</t>
        </is>
      </c>
      <c r="K3164" s="85" t="n">
        <v>7.99</v>
      </c>
    </row>
    <row r="3165" ht="15" customFormat="1" customHeight="1" s="5">
      <c r="A3165" s="81" t="n">
        <v>45785</v>
      </c>
      <c r="B3165" s="82" t="n">
        <v>0.8256944444444444</v>
      </c>
      <c r="C3165" s="5" t="inlineStr">
        <is>
          <t>Costco</t>
        </is>
      </c>
      <c r="E3165" s="5" t="n">
        <v>1</v>
      </c>
      <c r="F3165" s="6" t="inlineStr">
        <is>
          <t>439 205 239 705</t>
        </is>
      </c>
      <c r="G3165" s="10" t="n"/>
      <c r="H3165" s="9" t="inlineStr">
        <is>
          <t>Broccoli</t>
        </is>
      </c>
      <c r="I3165" s="9" t="n">
        <v>3</v>
      </c>
      <c r="J3165" s="9" t="inlineStr">
        <is>
          <t>lb</t>
        </is>
      </c>
      <c r="K3165" s="85" t="n">
        <v>6.99</v>
      </c>
    </row>
    <row r="3166" ht="15" customFormat="1" customHeight="1" s="5">
      <c r="A3166" s="81" t="n">
        <v>45785</v>
      </c>
      <c r="B3166" s="82" t="n">
        <v>0.8256944444444444</v>
      </c>
      <c r="C3166" s="5" t="inlineStr">
        <is>
          <t>Costco</t>
        </is>
      </c>
      <c r="E3166" s="5" t="n">
        <v>1</v>
      </c>
      <c r="F3166" s="6" t="inlineStr">
        <is>
          <t>439 205 239 705</t>
        </is>
      </c>
      <c r="G3166" s="10" t="n"/>
      <c r="H3166" s="9" t="inlineStr">
        <is>
          <t>Envy Apples</t>
        </is>
      </c>
      <c r="I3166" s="9" t="n">
        <v>4</v>
      </c>
      <c r="J3166" s="9" t="inlineStr">
        <is>
          <t>lb</t>
        </is>
      </c>
      <c r="K3166" s="85" t="n">
        <v>5.49</v>
      </c>
    </row>
    <row r="3167" ht="15" customFormat="1" customHeight="1" s="5">
      <c r="A3167" s="81" t="n">
        <v>45785</v>
      </c>
      <c r="B3167" s="82" t="n">
        <v>0.8256944444444444</v>
      </c>
      <c r="C3167" s="5" t="inlineStr">
        <is>
          <t>Costco</t>
        </is>
      </c>
      <c r="E3167" s="5" t="n">
        <v>1</v>
      </c>
      <c r="F3167" s="6" t="inlineStr">
        <is>
          <t>439 205 239 705</t>
        </is>
      </c>
      <c r="G3167" s="10" t="n"/>
      <c r="H3167" s="9" t="inlineStr">
        <is>
          <t>Campari Cocktail Tomatoes</t>
        </is>
      </c>
      <c r="I3167" s="9" t="n">
        <v>2</v>
      </c>
      <c r="J3167" s="9" t="inlineStr">
        <is>
          <t>lb</t>
        </is>
      </c>
      <c r="K3167" s="85" t="n">
        <v>5.29</v>
      </c>
    </row>
    <row r="3168" ht="15" customFormat="1" customHeight="1" s="5">
      <c r="A3168" s="81" t="n">
        <v>45785</v>
      </c>
      <c r="B3168" s="82" t="n">
        <v>0.8256944444444444</v>
      </c>
      <c r="C3168" s="5" t="inlineStr">
        <is>
          <t>Costco</t>
        </is>
      </c>
      <c r="E3168" s="5" t="n">
        <v>1</v>
      </c>
      <c r="F3168" s="6" t="inlineStr">
        <is>
          <t>439 205 239 705</t>
        </is>
      </c>
      <c r="G3168" s="10" t="n"/>
      <c r="H3168" s="9" t="inlineStr">
        <is>
          <t>Grapefruit, 6 count</t>
        </is>
      </c>
      <c r="I3168" s="9" t="n">
        <v>5</v>
      </c>
      <c r="J3168" s="9" t="inlineStr">
        <is>
          <t>lb</t>
        </is>
      </c>
      <c r="K3168" s="85" t="n">
        <v>5.29</v>
      </c>
    </row>
    <row r="3169" ht="15" customFormat="1" customHeight="1" s="5">
      <c r="A3169" s="81" t="n">
        <v>45785</v>
      </c>
      <c r="B3169" s="82" t="n">
        <v>0.8256944444444444</v>
      </c>
      <c r="C3169" s="5" t="inlineStr">
        <is>
          <t>Costco</t>
        </is>
      </c>
      <c r="E3169" s="5" t="n">
        <v>1</v>
      </c>
      <c r="F3169" s="6" t="inlineStr">
        <is>
          <t>439 205 239 705</t>
        </is>
      </c>
      <c r="G3169" s="10" t="n"/>
      <c r="H3169" s="9" t="inlineStr">
        <is>
          <t>Baker's Potato Russet Bag</t>
        </is>
      </c>
      <c r="I3169" s="9" t="n">
        <v>10</v>
      </c>
      <c r="J3169" s="9" t="inlineStr">
        <is>
          <t>lb</t>
        </is>
      </c>
      <c r="K3169" s="85" t="n">
        <v>4.99</v>
      </c>
    </row>
    <row r="3170" ht="15" customFormat="1" customHeight="1" s="5">
      <c r="A3170" s="81" t="n">
        <v>45785</v>
      </c>
      <c r="B3170" s="82" t="n">
        <v>0.8256944444444444</v>
      </c>
      <c r="C3170" s="5" t="inlineStr">
        <is>
          <t>Costco</t>
        </is>
      </c>
      <c r="E3170" s="5" t="n">
        <v>1</v>
      </c>
      <c r="F3170" s="6" t="inlineStr">
        <is>
          <t>439 205 239 705</t>
        </is>
      </c>
      <c r="G3170" s="10" t="n"/>
      <c r="H3170" s="9" t="inlineStr">
        <is>
          <t>Strawberries "Premium Limited Edition"</t>
        </is>
      </c>
      <c r="I3170" s="9" t="n">
        <v>2</v>
      </c>
      <c r="J3170" s="9" t="inlineStr">
        <is>
          <t>lb</t>
        </is>
      </c>
      <c r="K3170" s="85" t="n">
        <v>3.79</v>
      </c>
    </row>
    <row r="3171" ht="15" customFormat="1" customHeight="1" s="5">
      <c r="A3171" s="81" t="n">
        <v>45785</v>
      </c>
      <c r="B3171" s="82" t="n">
        <v>0.8256944444444444</v>
      </c>
      <c r="C3171" s="5" t="inlineStr">
        <is>
          <t>Costco</t>
        </is>
      </c>
      <c r="E3171" s="5" t="n">
        <v>1</v>
      </c>
      <c r="F3171" s="6" t="inlineStr">
        <is>
          <t>439 205 239 705</t>
        </is>
      </c>
      <c r="G3171" s="10" t="n"/>
      <c r="H3171" s="9" t="inlineStr">
        <is>
          <t xml:space="preserve">Organic Avocado Smashed (Wholly Avocado), contains 10 hass avocados -- 16 single cups x 2 fl oz </t>
        </is>
      </c>
      <c r="I3171" s="9" t="n">
        <v>32</v>
      </c>
      <c r="J3171" s="9" t="inlineStr">
        <is>
          <t>oz</t>
        </is>
      </c>
      <c r="K3171" s="85" t="n">
        <v>13.99</v>
      </c>
    </row>
    <row r="3172" ht="15" customFormat="1" customHeight="1" s="5">
      <c r="A3172" s="81" t="n">
        <v>45785</v>
      </c>
      <c r="B3172" s="82" t="n">
        <v>0.7325694444444445</v>
      </c>
      <c r="C3172" s="5" t="inlineStr">
        <is>
          <t>J's Noodles and New Thai</t>
        </is>
      </c>
      <c r="E3172" s="5" t="n">
        <v>1</v>
      </c>
      <c r="F3172" s="6" t="inlineStr">
        <is>
          <t>1 5 1 442759</t>
        </is>
      </c>
      <c r="G3172" s="10" t="n"/>
      <c r="H3172" s="9" t="inlineStr">
        <is>
          <t>Country Pad Thai -- fresh noodle, chicken, Medium spice</t>
        </is>
      </c>
      <c r="I3172" s="9" t="n">
        <v>1</v>
      </c>
      <c r="J3172" s="9" t="inlineStr">
        <is>
          <t>cnt</t>
        </is>
      </c>
      <c r="K3172" s="85" t="n">
        <v>14.95</v>
      </c>
    </row>
    <row r="3173" ht="15" customFormat="1" customHeight="1" s="5">
      <c r="A3173" s="81" t="n">
        <v>45785</v>
      </c>
      <c r="B3173" s="82" t="n">
        <v>0.7325694444444445</v>
      </c>
      <c r="C3173" s="5" t="inlineStr">
        <is>
          <t>J's Noodles and New Thai</t>
        </is>
      </c>
      <c r="E3173" s="5" t="n">
        <v>1</v>
      </c>
      <c r="F3173" s="6" t="inlineStr">
        <is>
          <t>1 5 1 442759</t>
        </is>
      </c>
      <c r="G3173" s="10" t="n"/>
      <c r="H3173" s="9" t="inlineStr">
        <is>
          <t>Drunken Noodle -- Chicken, Mild spice</t>
        </is>
      </c>
      <c r="I3173" s="9" t="n">
        <v>1</v>
      </c>
      <c r="J3173" s="9" t="inlineStr">
        <is>
          <t>cnt</t>
        </is>
      </c>
      <c r="K3173" s="85" t="n">
        <v>12.95</v>
      </c>
    </row>
    <row r="3174" ht="15" customFormat="1" customHeight="1" s="5">
      <c r="A3174" s="81" t="n">
        <v>45785</v>
      </c>
      <c r="B3174" s="82" t="n">
        <v>0.7325694444444445</v>
      </c>
      <c r="C3174" s="5" t="inlineStr">
        <is>
          <t>J's Noodles and New Thai</t>
        </is>
      </c>
      <c r="E3174" s="5" t="n">
        <v>1</v>
      </c>
      <c r="F3174" s="6" t="inlineStr">
        <is>
          <t>1 5 1 442759</t>
        </is>
      </c>
      <c r="G3174" s="10" t="n"/>
      <c r="H3174" s="9" t="inlineStr">
        <is>
          <t>Papaya Salad</t>
        </is>
      </c>
      <c r="I3174" s="9" t="n">
        <v>1</v>
      </c>
      <c r="J3174" s="9" t="inlineStr">
        <is>
          <t>cnt</t>
        </is>
      </c>
      <c r="K3174" s="85" t="n">
        <v>8.949999999999999</v>
      </c>
    </row>
    <row r="3175" ht="15" customFormat="1" customHeight="1" s="5">
      <c r="A3175" s="81" t="n">
        <v>45785</v>
      </c>
      <c r="B3175" s="82" t="n">
        <v>0.7325694444444445</v>
      </c>
      <c r="C3175" s="5" t="inlineStr">
        <is>
          <t>J's Noodles and New Thai</t>
        </is>
      </c>
      <c r="E3175" s="5" t="n">
        <v>1</v>
      </c>
      <c r="F3175" s="6" t="inlineStr">
        <is>
          <t>1 5 1 442759</t>
        </is>
      </c>
      <c r="G3175" s="10" t="n"/>
      <c r="H3175" s="9" t="inlineStr">
        <is>
          <t>Tip? Eli? NFCU statement says $44.00 on the July 24th statement</t>
        </is>
      </c>
      <c r="I3175" s="9" t="n"/>
      <c r="J3175" s="9" t="n"/>
      <c r="K3175" s="85" t="n">
        <v>4.5</v>
      </c>
    </row>
    <row r="3176" ht="15" customFormat="1" customHeight="1" s="5">
      <c r="A3176" s="81" t="n">
        <v>45785</v>
      </c>
      <c r="B3176" s="82" t="n">
        <v>0.7325694444444445</v>
      </c>
      <c r="C3176" s="5" t="inlineStr">
        <is>
          <t>J's Noodles and New Thai</t>
        </is>
      </c>
      <c r="E3176" s="5" t="n">
        <v>1</v>
      </c>
      <c r="F3176" s="6" t="inlineStr">
        <is>
          <t>1 5 1 442759</t>
        </is>
      </c>
      <c r="G3176" s="10" t="n"/>
      <c r="H3176" s="9" t="inlineStr">
        <is>
          <t>Tax</t>
        </is>
      </c>
      <c r="I3176" s="9" t="n">
        <v>3</v>
      </c>
      <c r="J3176" s="9" t="inlineStr">
        <is>
          <t>cnt</t>
        </is>
      </c>
      <c r="K3176" s="85" t="n">
        <v>2.65</v>
      </c>
    </row>
    <row r="3177" ht="15" customFormat="1" customHeight="1" s="5">
      <c r="A3177" s="81" t="n">
        <v>45784</v>
      </c>
      <c r="B3177" s="82" t="n">
        <v>0.5486111111111112</v>
      </c>
      <c r="C3177" s="5" t="inlineStr">
        <is>
          <t>Frontier Airlines</t>
        </is>
      </c>
      <c r="D3177" s="5" t="n">
        <v>1</v>
      </c>
      <c r="F3177" s="6" t="inlineStr">
        <is>
          <t>NA_autoDraft</t>
        </is>
      </c>
      <c r="G3177" s="10" t="n"/>
      <c r="H3177" s="9" t="inlineStr">
        <is>
          <t>Discount Den Annual Fee</t>
        </is>
      </c>
      <c r="I3177" s="9" t="n">
        <v>1</v>
      </c>
      <c r="J3177" s="9" t="inlineStr">
        <is>
          <t>cnt</t>
        </is>
      </c>
      <c r="K3177" s="9" t="n">
        <v>59.99</v>
      </c>
    </row>
    <row r="3178" ht="15" customFormat="1" customHeight="1" s="5">
      <c r="A3178" s="81" t="n">
        <v>45784</v>
      </c>
      <c r="B3178" s="82" t="n">
        <v>0.4833333333333333</v>
      </c>
      <c r="C3178" s="5" t="inlineStr">
        <is>
          <t>Amazon</t>
        </is>
      </c>
      <c r="D3178" s="5" t="n">
        <v>1</v>
      </c>
      <c r="F3178" s="6" t="inlineStr">
        <is>
          <t>111-4313865-2898668</t>
        </is>
      </c>
      <c r="G3178" s="10" t="n"/>
      <c r="H3178" s="9" t="inlineStr">
        <is>
          <t>Branch Basics Concentrate REFILL- Multi-surface All Purpose Cleaner Concentrate - Laundry, Kitchen, and Bathroom Cleaner (33.8 Oz) Fragrance-Free Sold by: BranchBasics</t>
        </is>
      </c>
      <c r="I3178" s="9" t="n">
        <v>33.8</v>
      </c>
      <c r="J3178" s="9" t="inlineStr">
        <is>
          <t>fl oz</t>
        </is>
      </c>
      <c r="K3178" s="85" t="n">
        <v>55</v>
      </c>
    </row>
    <row r="3179" ht="15" customFormat="1" customHeight="1" s="5">
      <c r="A3179" s="81" t="n">
        <v>45784</v>
      </c>
      <c r="B3179" s="82" t="n">
        <v>0.4833333333333333</v>
      </c>
      <c r="C3179" s="5" t="inlineStr">
        <is>
          <t>Amazon</t>
        </is>
      </c>
      <c r="D3179" s="5" t="n">
        <v>1</v>
      </c>
      <c r="F3179" s="6" t="inlineStr">
        <is>
          <t>111-4313865-2898668</t>
        </is>
      </c>
      <c r="G3179" s="10" t="n"/>
      <c r="H3179" s="9" t="inlineStr">
        <is>
          <t>Earthborn Elements Soap Flakes, Homemade Laundry Detergent, Tallow-Based, Unscented (1 Gallon) Sold by: Axio Supply</t>
        </is>
      </c>
      <c r="I3179" s="9" t="n">
        <v>1</v>
      </c>
      <c r="J3179" s="9" t="inlineStr">
        <is>
          <t>gal</t>
        </is>
      </c>
      <c r="K3179" s="85" t="n">
        <v>45.99</v>
      </c>
    </row>
    <row r="3180" ht="15" customFormat="1" customHeight="1" s="5">
      <c r="A3180" s="81" t="n">
        <v>45784</v>
      </c>
      <c r="B3180" s="82" t="n">
        <v>0.4833333333333333</v>
      </c>
      <c r="C3180" s="5" t="inlineStr">
        <is>
          <t>Amazon</t>
        </is>
      </c>
      <c r="D3180" s="5" t="n">
        <v>1</v>
      </c>
      <c r="F3180" s="6" t="inlineStr">
        <is>
          <t>111-4313865-2898668</t>
        </is>
      </c>
      <c r="G3180" s="10" t="n"/>
      <c r="H3180" s="9" t="inlineStr">
        <is>
          <t>2 Pack 1 Gallon Square Super Wide-Mouth Glass Jars with Airtight Lids - Glass Storage Jars with 2 Measurement Mark - Canning Jars with Large Capacity, Sturdy For Canning, Overnight Oats, 4200 ML Sold by: Sovietiep Direct</t>
        </is>
      </c>
      <c r="I3180" s="9" t="n">
        <v>2</v>
      </c>
      <c r="J3180" s="9" t="inlineStr">
        <is>
          <t>gal</t>
        </is>
      </c>
      <c r="K3180" s="85" t="n">
        <v>26.99</v>
      </c>
    </row>
    <row r="3181" ht="15" customFormat="1" customHeight="1" s="5">
      <c r="A3181" s="81" t="n">
        <v>45784</v>
      </c>
      <c r="B3181" s="82" t="n">
        <v>0.4833333333333333</v>
      </c>
      <c r="C3181" s="5" t="inlineStr">
        <is>
          <t>Amazon</t>
        </is>
      </c>
      <c r="D3181" s="5" t="n">
        <v>1</v>
      </c>
      <c r="F3181" s="6" t="inlineStr">
        <is>
          <t>111-4313865-2898668</t>
        </is>
      </c>
      <c r="G3181" s="10" t="n"/>
      <c r="H3181" s="9" t="inlineStr">
        <is>
          <t>20 Mule Team All Natural Borax Detergent Booster &amp; Multi-Purpose Household Cleaner, 65 Ounce, 4 Count Sold by: Amazon.com Services, Inc</t>
        </is>
      </c>
      <c r="I3181" s="9">
        <f>65*4</f>
        <v/>
      </c>
      <c r="J3181" s="9" t="inlineStr">
        <is>
          <t>oz</t>
        </is>
      </c>
      <c r="K3181" s="85" t="n">
        <v>23.88</v>
      </c>
    </row>
    <row r="3182" ht="15" customFormat="1" customHeight="1" s="5">
      <c r="A3182" s="81" t="n">
        <v>45784</v>
      </c>
      <c r="B3182" s="82" t="n">
        <v>0.4833333333333333</v>
      </c>
      <c r="C3182" s="5" t="inlineStr">
        <is>
          <t>Amazon</t>
        </is>
      </c>
      <c r="D3182" s="5" t="n">
        <v>1</v>
      </c>
      <c r="F3182" s="6" t="inlineStr">
        <is>
          <t>111-4313865-2898668</t>
        </is>
      </c>
      <c r="G3182" s="10" t="n"/>
      <c r="H3182" s="9" t="inlineStr">
        <is>
          <t>Tax</t>
        </is>
      </c>
      <c r="I3182" s="9" t="n">
        <v>8</v>
      </c>
      <c r="J3182" s="9" t="inlineStr">
        <is>
          <t>cnt</t>
        </is>
      </c>
      <c r="K3182" s="85" t="n">
        <v>17.64</v>
      </c>
    </row>
    <row r="3183" ht="15" customFormat="1" customHeight="1" s="5">
      <c r="A3183" s="81" t="n">
        <v>45784</v>
      </c>
      <c r="B3183" s="82" t="n">
        <v>0.4833333333333333</v>
      </c>
      <c r="C3183" s="5" t="inlineStr">
        <is>
          <t>Amazon</t>
        </is>
      </c>
      <c r="D3183" s="5" t="n">
        <v>1</v>
      </c>
      <c r="F3183" s="6" t="inlineStr">
        <is>
          <t>111-4313865-2898668</t>
        </is>
      </c>
      <c r="G3183" s="10" t="n"/>
      <c r="H3183" s="9" t="inlineStr">
        <is>
          <t>Enzyme Laundry Booster Odor Remover - 2 lbs Unscented Enzymatic Clothes Stain Cleaner Powder, Natural Deodorizer with Bio Active Enzymes, Detergent Additive Eliminator for Sweat, Oil, Blood - 64 Loads Sold by: ACTIVE Official</t>
        </is>
      </c>
      <c r="I3183" s="9" t="n">
        <v>2</v>
      </c>
      <c r="J3183" s="9" t="inlineStr">
        <is>
          <t>lb</t>
        </is>
      </c>
      <c r="K3183" s="85" t="n">
        <v>15.99</v>
      </c>
    </row>
    <row r="3184" ht="15" customFormat="1" customHeight="1" s="5">
      <c r="A3184" s="81" t="n">
        <v>45784</v>
      </c>
      <c r="B3184" s="82" t="n">
        <v>0.4833333333333333</v>
      </c>
      <c r="C3184" s="5" t="inlineStr">
        <is>
          <t>Amazon</t>
        </is>
      </c>
      <c r="D3184" s="5" t="n">
        <v>1</v>
      </c>
      <c r="F3184" s="6" t="inlineStr">
        <is>
          <t>111-4313865-2898668</t>
        </is>
      </c>
      <c r="G3184" s="10" t="n"/>
      <c r="H3184" s="9" t="inlineStr">
        <is>
          <t>Full Circle Bottle Service - Refillable Glass Spray Bottle for Cleaning - Versatile Stream &amp; Mist Options, Bamboo Details, Silicone Boot - Ideal for Non-Toxic Solutions &amp; Plant Care, 16oz, Gray Sold by: Amazon.com Services, Inc</t>
        </is>
      </c>
      <c r="I3184" s="9" t="n">
        <v>16</v>
      </c>
      <c r="J3184" s="9" t="inlineStr">
        <is>
          <t>oz</t>
        </is>
      </c>
      <c r="K3184" s="85" t="n">
        <v>13.99</v>
      </c>
    </row>
    <row r="3185" ht="15" customFormat="1" customHeight="1" s="5">
      <c r="A3185" s="81" t="n">
        <v>45784</v>
      </c>
      <c r="B3185" s="82" t="n">
        <v>0.4833333333333333</v>
      </c>
      <c r="C3185" s="5" t="inlineStr">
        <is>
          <t>Amazon</t>
        </is>
      </c>
      <c r="D3185" s="5" t="n">
        <v>1</v>
      </c>
      <c r="F3185" s="6" t="inlineStr">
        <is>
          <t>111-4313865-2898668</t>
        </is>
      </c>
      <c r="G3185" s="10" t="n"/>
      <c r="H3185" s="9" t="inlineStr">
        <is>
          <t xml:space="preserve"> ARM &amp; HAMMER Super Washing Soda Household Cleaner and Laundry Booster, 55 oz Box Sold by: Amazon.com Services, Inc</t>
        </is>
      </c>
      <c r="I3185" s="9" t="n">
        <v>55</v>
      </c>
      <c r="J3185" s="9" t="inlineStr">
        <is>
          <t>oz</t>
        </is>
      </c>
      <c r="K3185" s="85" t="n">
        <v>5.38</v>
      </c>
    </row>
    <row r="3186" ht="15" customFormat="1" customHeight="1" s="5">
      <c r="A3186" s="81" t="n">
        <v>45784</v>
      </c>
      <c r="B3186" s="82" t="n">
        <v>0.4833333333333333</v>
      </c>
      <c r="C3186" s="5" t="inlineStr">
        <is>
          <t>Amazon</t>
        </is>
      </c>
      <c r="D3186" s="5" t="n">
        <v>1</v>
      </c>
      <c r="F3186" s="6" t="inlineStr">
        <is>
          <t>111-4313865-2898668</t>
        </is>
      </c>
      <c r="G3186" s="10" t="n"/>
      <c r="H3186" s="9" t="inlineStr">
        <is>
          <t>Co retail delivery fee</t>
        </is>
      </c>
      <c r="I3186" s="9" t="n">
        <v>8</v>
      </c>
      <c r="J3186" s="9" t="inlineStr">
        <is>
          <t>cnt</t>
        </is>
      </c>
      <c r="K3186" s="85" t="n">
        <v>0.29</v>
      </c>
    </row>
    <row r="3187" ht="15" customFormat="1" customHeight="1" s="5">
      <c r="A3187" s="81" t="n">
        <v>45784</v>
      </c>
      <c r="B3187" s="82" t="n">
        <v>0.4833333333333333</v>
      </c>
      <c r="C3187" s="5" t="inlineStr">
        <is>
          <t>Amazon</t>
        </is>
      </c>
      <c r="D3187" s="5" t="n">
        <v>1</v>
      </c>
      <c r="F3187" s="6" t="inlineStr">
        <is>
          <t>111-4313865-2898668</t>
        </is>
      </c>
      <c r="G3187" s="10" t="n"/>
      <c r="H3187" s="9" t="inlineStr">
        <is>
          <t>Earth Mama Simply Non-Scents Baby Wash Liquid Hand Soap Refill, Organic Body Wash for Sensitive Skin, All Purpose Castile Soap Liquid with Coconut Oil, Shea Butter, Calendula &amp; Aloe, 34 fl oz Sold by: Earth Mama®</t>
        </is>
      </c>
      <c r="I3187" s="9" t="n">
        <v>34</v>
      </c>
      <c r="J3187" s="9" t="inlineStr">
        <is>
          <t>fl oz</t>
        </is>
      </c>
      <c r="K3187" s="85" t="n">
        <v>33.29</v>
      </c>
    </row>
    <row r="3188" ht="15" customFormat="1" customHeight="1" s="5">
      <c r="A3188" s="81" t="n">
        <v>45783</v>
      </c>
      <c r="B3188" s="82" t="n">
        <v>0.2916666666666667</v>
      </c>
      <c r="C3188" s="5" t="inlineStr">
        <is>
          <t>CDLE FAMLI</t>
        </is>
      </c>
      <c r="D3188" s="5" t="n">
        <v>1</v>
      </c>
      <c r="F3188" s="6" t="inlineStr">
        <is>
          <t>NA_Fam12</t>
        </is>
      </c>
      <c r="G3188" s="10" t="n"/>
      <c r="H3188" s="9" t="inlineStr">
        <is>
          <t>RTX ELI Deposit CDLE FAMLI_2 Benefits</t>
        </is>
      </c>
      <c r="I3188" s="9" t="n">
        <v>1</v>
      </c>
      <c r="J3188" s="9" t="inlineStr">
        <is>
          <t>cnt</t>
        </is>
      </c>
      <c r="K3188" s="85" t="n">
        <v>-1324.21</v>
      </c>
    </row>
    <row r="3189" ht="15" customFormat="1" customHeight="1" s="5">
      <c r="A3189" s="81" t="n">
        <v>45782</v>
      </c>
      <c r="B3189" s="82" t="n">
        <v>0.3451388888888889</v>
      </c>
      <c r="C3189" s="5" t="inlineStr">
        <is>
          <t>Xfinity</t>
        </is>
      </c>
      <c r="D3189" s="5" t="n">
        <v>1</v>
      </c>
      <c r="F3189" s="6" t="n"/>
      <c r="G3189" s="7" t="n"/>
      <c r="H3189" s="9" t="inlineStr">
        <is>
          <t>Xfinity wifi monthly payment autodraft</t>
        </is>
      </c>
      <c r="I3189" s="9" t="n">
        <v>1</v>
      </c>
      <c r="J3189" s="9" t="inlineStr">
        <is>
          <t>cnt</t>
        </is>
      </c>
      <c r="K3189" s="9" t="n">
        <v>60</v>
      </c>
    </row>
    <row r="3190" ht="15" customFormat="1" customHeight="1" s="5">
      <c r="A3190" s="81" t="n">
        <v>45782</v>
      </c>
      <c r="B3190" s="82" t="n">
        <v>0.2916666666666667</v>
      </c>
      <c r="C3190" s="5" t="inlineStr">
        <is>
          <t>Vanguard</t>
        </is>
      </c>
      <c r="D3190" s="5" t="n">
        <v>1</v>
      </c>
      <c r="F3190" s="6" t="n"/>
      <c r="G3190" s="10" t="n"/>
      <c r="H3190" s="9" t="inlineStr">
        <is>
          <t>Roth IRA fillup for this year</t>
        </is>
      </c>
      <c r="I3190" s="9" t="n"/>
      <c r="J3190" s="9" t="n"/>
      <c r="K3190" s="9" t="n">
        <v>7000</v>
      </c>
    </row>
    <row r="3191" ht="15" customFormat="1" customHeight="1" s="5">
      <c r="A3191" s="81" t="n">
        <v>45781</v>
      </c>
      <c r="B3191" s="82" t="n">
        <v>0.4661921296296296</v>
      </c>
      <c r="C3191" s="5" t="inlineStr">
        <is>
          <t>Walmart</t>
        </is>
      </c>
      <c r="E3191" s="5" t="n">
        <v>1</v>
      </c>
      <c r="F3191" s="6" t="inlineStr">
        <is>
          <t>2934 3138 1088 7285 6507</t>
        </is>
      </c>
      <c r="G3191" s="17" t="inlineStr">
        <is>
          <t>085002872018</t>
        </is>
      </c>
      <c r="H3191" s="9" t="inlineStr">
        <is>
          <t>ULTRA 3GB prepaid 30-day plans +SIM card</t>
        </is>
      </c>
      <c r="I3191" s="9" t="n">
        <v>1</v>
      </c>
      <c r="J3191" s="9" t="inlineStr">
        <is>
          <t>cnt</t>
        </is>
      </c>
      <c r="K3191" s="9" t="inlineStr">
        <is>
          <t>18.88 X</t>
        </is>
      </c>
    </row>
    <row r="3192" ht="15" customFormat="1" customHeight="1" s="5">
      <c r="A3192" s="81" t="n">
        <v>45781</v>
      </c>
      <c r="B3192" s="82" t="n">
        <v>0.4661921296296296</v>
      </c>
      <c r="C3192" s="5" t="inlineStr">
        <is>
          <t>Walmart</t>
        </is>
      </c>
      <c r="E3192" s="5" t="n">
        <v>1</v>
      </c>
      <c r="F3192" s="6" t="inlineStr">
        <is>
          <t>2934 3138 1088 7285 6507</t>
        </is>
      </c>
      <c r="G3192" s="7" t="n"/>
      <c r="H3192" s="9" t="inlineStr">
        <is>
          <t>Tax 1 8.000%</t>
        </is>
      </c>
      <c r="I3192" s="9" t="n">
        <v>1</v>
      </c>
      <c r="J3192" s="9" t="inlineStr">
        <is>
          <t>cnt</t>
        </is>
      </c>
      <c r="K3192" s="9" t="n">
        <v>1.51</v>
      </c>
    </row>
    <row r="3193" ht="15" customFormat="1" customHeight="1" s="5">
      <c r="A3193" s="81" t="n">
        <v>45780</v>
      </c>
      <c r="B3193" s="82" t="n">
        <v>0.8944444444444445</v>
      </c>
      <c r="C3193" s="5" t="inlineStr">
        <is>
          <t>Walmart</t>
        </is>
      </c>
      <c r="D3193" s="5" t="n">
        <v>1</v>
      </c>
      <c r="F3193" s="6" t="inlineStr">
        <is>
          <t>2000132-65761698</t>
        </is>
      </c>
      <c r="G3193" s="7" t="n"/>
      <c r="H3193" s="9" t="inlineStr">
        <is>
          <t>Antioxidant Solutions 100% Tart Cherry Juice not from Concentrate, 32 fl oz.</t>
        </is>
      </c>
      <c r="I3193" s="9" t="n">
        <v>32</v>
      </c>
      <c r="J3193" s="9" t="inlineStr">
        <is>
          <t>fl oz</t>
        </is>
      </c>
      <c r="K3193" s="9" t="n">
        <v>5.12</v>
      </c>
    </row>
    <row r="3194" ht="15" customFormat="1" customHeight="1" s="5">
      <c r="A3194" s="81" t="n">
        <v>45780</v>
      </c>
      <c r="B3194" s="82" t="n">
        <v>0.8944444444444445</v>
      </c>
      <c r="C3194" s="5" t="inlineStr">
        <is>
          <t>Walmart</t>
        </is>
      </c>
      <c r="D3194" s="5" t="n">
        <v>1</v>
      </c>
      <c r="F3194" s="6" t="inlineStr">
        <is>
          <t>2000132-65761698</t>
        </is>
      </c>
      <c r="G3194" s="7" t="n"/>
      <c r="H3194" s="9" t="inlineStr">
        <is>
          <t>Great Value Whole Vitamin D Milk, Gallon, Plastic, Jug, 128 Fl Oz</t>
        </is>
      </c>
      <c r="I3194" s="9" t="n">
        <v>1</v>
      </c>
      <c r="J3194" s="9" t="inlineStr">
        <is>
          <t>gal</t>
        </is>
      </c>
      <c r="K3194" s="9" t="n">
        <v>3.23</v>
      </c>
    </row>
    <row r="3195" ht="15" customFormat="1" customHeight="1" s="5">
      <c r="A3195" s="81" t="n">
        <v>45780</v>
      </c>
      <c r="B3195" s="82" t="n">
        <v>0.8944444444444445</v>
      </c>
      <c r="C3195" s="5" t="inlineStr">
        <is>
          <t>Walmart</t>
        </is>
      </c>
      <c r="D3195" s="5" t="n">
        <v>1</v>
      </c>
      <c r="F3195" s="6" t="inlineStr">
        <is>
          <t>2000132-65761698</t>
        </is>
      </c>
      <c r="G3195" s="7" t="n"/>
      <c r="H3195" s="9" t="inlineStr">
        <is>
          <t>Fresh Iceberg Lettuce, each</t>
        </is>
      </c>
      <c r="I3195" s="9" t="n">
        <v>1</v>
      </c>
      <c r="J3195" s="9" t="inlineStr">
        <is>
          <t>cnt</t>
        </is>
      </c>
      <c r="K3195" s="9" t="n">
        <v>1.87</v>
      </c>
    </row>
    <row r="3196" ht="15" customFormat="1" customHeight="1" s="5">
      <c r="A3196" s="81" t="n">
        <v>45780</v>
      </c>
      <c r="B3196" s="82" t="n">
        <v>0.8944444444444445</v>
      </c>
      <c r="C3196" s="5" t="inlineStr">
        <is>
          <t>Walmart</t>
        </is>
      </c>
      <c r="D3196" s="5" t="n">
        <v>1</v>
      </c>
      <c r="F3196" s="6" t="inlineStr">
        <is>
          <t>2000132-65761698</t>
        </is>
      </c>
      <c r="G3196" s="7" t="n"/>
      <c r="H3196" s="9" t="inlineStr">
        <is>
          <t>Fresh Roma Tomato, Each $1.28/ea per pound</t>
        </is>
      </c>
      <c r="I3196" s="9" t="n">
        <v>3</v>
      </c>
      <c r="J3196" s="9" t="inlineStr">
        <is>
          <t>cnt</t>
        </is>
      </c>
      <c r="K3196" s="9" t="n">
        <v>0.99</v>
      </c>
    </row>
    <row r="3197" ht="15" customFormat="1" customHeight="1" s="5">
      <c r="A3197" s="81" t="n">
        <v>45780</v>
      </c>
      <c r="B3197" s="82" t="n">
        <v>0.8944444444444445</v>
      </c>
      <c r="C3197" s="5" t="inlineStr">
        <is>
          <t>Walmart</t>
        </is>
      </c>
      <c r="D3197" s="5" t="n">
        <v>1</v>
      </c>
      <c r="F3197" s="6" t="inlineStr">
        <is>
          <t>2000132-65761698</t>
        </is>
      </c>
      <c r="G3197" s="7" t="n"/>
      <c r="H3197" s="9" t="inlineStr">
        <is>
          <t>Fresh Cucumber</t>
        </is>
      </c>
      <c r="I3197" s="9" t="n">
        <v>1</v>
      </c>
      <c r="J3197" s="9" t="inlineStr">
        <is>
          <t>cnt</t>
        </is>
      </c>
      <c r="K3197" s="9" t="n">
        <v>0.84</v>
      </c>
    </row>
    <row r="3198" ht="15" customFormat="1" customHeight="1" s="5">
      <c r="A3198" s="81" t="n">
        <v>45780</v>
      </c>
      <c r="B3198" s="82" t="n">
        <v>0.8944444444444445</v>
      </c>
      <c r="C3198" s="5" t="inlineStr">
        <is>
          <t>Walmart</t>
        </is>
      </c>
      <c r="D3198" s="5" t="n">
        <v>1</v>
      </c>
      <c r="F3198" s="6" t="inlineStr">
        <is>
          <t>2000132-65761698</t>
        </is>
      </c>
      <c r="G3198" s="7" t="n"/>
      <c r="H3198" s="9" t="inlineStr">
        <is>
          <t>Fresh Navel Orange</t>
        </is>
      </c>
      <c r="I3198" s="9" t="n">
        <v>1</v>
      </c>
      <c r="J3198" s="9" t="inlineStr">
        <is>
          <t>cnt</t>
        </is>
      </c>
      <c r="K3198" s="9" t="n">
        <v>0.77</v>
      </c>
    </row>
    <row r="3199" ht="15" customFormat="1" customHeight="1" s="5">
      <c r="A3199" s="81" t="n">
        <v>45780</v>
      </c>
      <c r="B3199" s="82" t="n">
        <v>0.8944444444444445</v>
      </c>
      <c r="C3199" s="5" t="inlineStr">
        <is>
          <t>Walmart</t>
        </is>
      </c>
      <c r="D3199" s="5" t="n">
        <v>1</v>
      </c>
      <c r="F3199" s="6" t="inlineStr">
        <is>
          <t>2000132-65761698</t>
        </is>
      </c>
      <c r="G3199" s="7" t="n"/>
      <c r="H3199" s="9" t="inlineStr">
        <is>
          <t>Bag Fee (per bag)</t>
        </is>
      </c>
      <c r="I3199" s="9" t="n">
        <v>1</v>
      </c>
      <c r="J3199" s="9" t="inlineStr">
        <is>
          <t>cnt</t>
        </is>
      </c>
      <c r="K3199" s="9" t="n">
        <v>0.1</v>
      </c>
    </row>
    <row r="3200" ht="15" customFormat="1" customHeight="1" s="5">
      <c r="A3200" s="81" t="n">
        <v>45780</v>
      </c>
      <c r="B3200" s="82" t="n">
        <v>0.8944444444444445</v>
      </c>
      <c r="C3200" s="5" t="inlineStr">
        <is>
          <t>Walmart</t>
        </is>
      </c>
      <c r="D3200" s="5" t="n">
        <v>1</v>
      </c>
      <c r="F3200" s="6" t="inlineStr">
        <is>
          <t>2000132-65761698</t>
        </is>
      </c>
      <c r="G3200" s="7" t="n"/>
      <c r="H3200" s="9" t="inlineStr">
        <is>
          <t>Tax</t>
        </is>
      </c>
      <c r="I3200" s="9" t="n">
        <v>8</v>
      </c>
      <c r="J3200" s="9" t="inlineStr">
        <is>
          <t>cnt</t>
        </is>
      </c>
      <c r="K3200" s="9" t="n">
        <v>0</v>
      </c>
    </row>
    <row r="3201" ht="15" customFormat="1" customHeight="1" s="5">
      <c r="A3201" s="81" t="n">
        <v>45780</v>
      </c>
      <c r="B3201" s="82" t="n">
        <v>0.5797222222222222</v>
      </c>
      <c r="C3201" s="5" t="inlineStr">
        <is>
          <t>Walmart</t>
        </is>
      </c>
      <c r="E3201" s="5" t="n">
        <v>1</v>
      </c>
      <c r="F3201" s="6" t="inlineStr">
        <is>
          <t>1102 0908 2848 5801 0102</t>
        </is>
      </c>
      <c r="G3201" s="7" t="inlineStr">
        <is>
          <t>007874225462 F</t>
        </is>
      </c>
      <c r="H3201" s="9" t="inlineStr">
        <is>
          <t>GV Dried Oregano Leaves</t>
        </is>
      </c>
      <c r="I3201" s="9" t="n">
        <v>0.87</v>
      </c>
      <c r="J3201" s="9" t="inlineStr">
        <is>
          <t>oz</t>
        </is>
      </c>
      <c r="K3201" s="9" t="inlineStr">
        <is>
          <t>1.24 O</t>
        </is>
      </c>
    </row>
    <row r="3202" ht="15" customFormat="1" customHeight="1" s="5">
      <c r="A3202" s="81" t="n">
        <v>45780</v>
      </c>
      <c r="B3202" s="82" t="n">
        <v>0.5797222222222222</v>
      </c>
      <c r="C3202" s="5" t="inlineStr">
        <is>
          <t>Walmart</t>
        </is>
      </c>
      <c r="E3202" s="5" t="n">
        <v>1</v>
      </c>
      <c r="F3202" s="6" t="inlineStr">
        <is>
          <t>1102 0908 2848 5801 0102</t>
        </is>
      </c>
      <c r="G3202" s="7" t="inlineStr">
        <is>
          <t>007874225462 F</t>
        </is>
      </c>
      <c r="H3202" s="9" t="inlineStr">
        <is>
          <t>GV Dried Basil Leaves</t>
        </is>
      </c>
      <c r="I3202" s="9" t="n">
        <v>0.8</v>
      </c>
      <c r="J3202" s="9" t="inlineStr">
        <is>
          <t>oz</t>
        </is>
      </c>
      <c r="K3202" s="9" t="inlineStr">
        <is>
          <t>1.24 O</t>
        </is>
      </c>
    </row>
    <row r="3203" ht="15" customFormat="1" customHeight="1" s="5">
      <c r="A3203" s="81" t="n">
        <v>45780</v>
      </c>
      <c r="B3203" s="82" t="n">
        <v>0.5797222222222222</v>
      </c>
      <c r="C3203" s="5" t="inlineStr">
        <is>
          <t>Walmart</t>
        </is>
      </c>
      <c r="E3203" s="5" t="n">
        <v>1</v>
      </c>
      <c r="F3203" s="6" t="inlineStr">
        <is>
          <t>1102 0908 2848 5801 0102</t>
        </is>
      </c>
      <c r="G3203" s="7" t="inlineStr">
        <is>
          <t>007874225457 F</t>
        </is>
      </c>
      <c r="H3203" s="9" t="inlineStr">
        <is>
          <t>Pink Salmon Canned</t>
        </is>
      </c>
      <c r="I3203" s="9" t="n">
        <v>14.75</v>
      </c>
      <c r="J3203" s="9" t="inlineStr">
        <is>
          <t>oz</t>
        </is>
      </c>
      <c r="K3203" s="9" t="inlineStr">
        <is>
          <t>3.98 N</t>
        </is>
      </c>
    </row>
    <row r="3204" ht="15" customFormat="1" customHeight="1" s="5">
      <c r="A3204" s="81" t="n">
        <v>45780</v>
      </c>
      <c r="B3204" s="82" t="n">
        <v>0.5797222222222222</v>
      </c>
      <c r="C3204" s="5" t="inlineStr">
        <is>
          <t>Walmart</t>
        </is>
      </c>
      <c r="E3204" s="5" t="n">
        <v>1</v>
      </c>
      <c r="F3204" s="6" t="inlineStr">
        <is>
          <t>1102 0908 2848 5801 0102</t>
        </is>
      </c>
      <c r="G3204" s="7" t="inlineStr">
        <is>
          <t>004800001475 F</t>
        </is>
      </c>
      <c r="H3204" s="9" t="inlineStr">
        <is>
          <t>Pink Salmon Canned</t>
        </is>
      </c>
      <c r="I3204" s="9" t="n">
        <v>14.75</v>
      </c>
      <c r="J3204" s="9" t="inlineStr">
        <is>
          <t>oz</t>
        </is>
      </c>
      <c r="K3204" s="9" t="inlineStr">
        <is>
          <t>3.98 N</t>
        </is>
      </c>
    </row>
    <row r="3205" ht="15" customFormat="1" customHeight="1" s="5">
      <c r="A3205" s="81" t="n">
        <v>45780</v>
      </c>
      <c r="B3205" s="82" t="n">
        <v>0.5797222222222222</v>
      </c>
      <c r="C3205" s="5" t="inlineStr">
        <is>
          <t>Walmart</t>
        </is>
      </c>
      <c r="E3205" s="5" t="n">
        <v>1</v>
      </c>
      <c r="F3205" s="6" t="inlineStr">
        <is>
          <t>1102 0908 2848 5801 0102</t>
        </is>
      </c>
      <c r="G3205" s="7" t="inlineStr">
        <is>
          <t>004800001475 F</t>
        </is>
      </c>
      <c r="H3205" s="9" t="inlineStr">
        <is>
          <t>Pink Salmon Canned</t>
        </is>
      </c>
      <c r="I3205" s="9" t="n">
        <v>14.75</v>
      </c>
      <c r="J3205" s="9" t="inlineStr">
        <is>
          <t>oz</t>
        </is>
      </c>
      <c r="K3205" s="9" t="inlineStr">
        <is>
          <t>3.98 N</t>
        </is>
      </c>
    </row>
    <row r="3206" ht="15" customFormat="1" customHeight="1" s="5">
      <c r="A3206" s="81" t="n">
        <v>45780</v>
      </c>
      <c r="B3206" s="82" t="n">
        <v>0.5797222222222222</v>
      </c>
      <c r="C3206" s="5" t="inlineStr">
        <is>
          <t>Walmart</t>
        </is>
      </c>
      <c r="E3206" s="5" t="n">
        <v>1</v>
      </c>
      <c r="F3206" s="6" t="inlineStr">
        <is>
          <t>1102 0908 2848 5801 0102</t>
        </is>
      </c>
      <c r="G3206" s="7" t="inlineStr">
        <is>
          <t>004800001475 F</t>
        </is>
      </c>
      <c r="H3206" s="9" t="inlineStr">
        <is>
          <t>Pink Salmon Canned</t>
        </is>
      </c>
      <c r="I3206" s="9" t="n">
        <v>14.75</v>
      </c>
      <c r="J3206" s="9" t="inlineStr">
        <is>
          <t>oz</t>
        </is>
      </c>
      <c r="K3206" s="9" t="inlineStr">
        <is>
          <t>3.98 N</t>
        </is>
      </c>
    </row>
    <row r="3207" ht="15" customFormat="1" customHeight="1" s="5">
      <c r="A3207" s="81" t="n">
        <v>45780</v>
      </c>
      <c r="B3207" s="82" t="n">
        <v>0.5797222222222222</v>
      </c>
      <c r="C3207" s="5" t="inlineStr">
        <is>
          <t>Walmart</t>
        </is>
      </c>
      <c r="E3207" s="5" t="n">
        <v>1</v>
      </c>
      <c r="F3207" s="6" t="inlineStr">
        <is>
          <t>1102 0908 2848 5801 0102</t>
        </is>
      </c>
      <c r="G3207" s="7" t="inlineStr">
        <is>
          <t>004800001475 F</t>
        </is>
      </c>
      <c r="H3207" s="9" t="inlineStr">
        <is>
          <t>Pink Salmon Canned</t>
        </is>
      </c>
      <c r="I3207" s="9" t="n">
        <v>14.75</v>
      </c>
      <c r="J3207" s="9" t="inlineStr">
        <is>
          <t>oz</t>
        </is>
      </c>
      <c r="K3207" s="9" t="inlineStr">
        <is>
          <t>3.98 N</t>
        </is>
      </c>
    </row>
    <row r="3208" ht="15" customFormat="1" customHeight="1" s="5">
      <c r="A3208" s="81" t="n">
        <v>45780</v>
      </c>
      <c r="B3208" s="82" t="n">
        <v>0.5797222222222222</v>
      </c>
      <c r="C3208" s="5" t="inlineStr">
        <is>
          <t>Walmart</t>
        </is>
      </c>
      <c r="E3208" s="5" t="n">
        <v>1</v>
      </c>
      <c r="F3208" s="6" t="inlineStr">
        <is>
          <t>1102 0908 2848 5801 0102</t>
        </is>
      </c>
      <c r="G3208" s="7" t="n"/>
      <c r="H3208" s="9" t="inlineStr">
        <is>
          <t>Tax</t>
        </is>
      </c>
      <c r="I3208" s="9" t="n">
        <v>7</v>
      </c>
      <c r="J3208" s="9" t="inlineStr">
        <is>
          <t>cnt</t>
        </is>
      </c>
      <c r="K3208" s="9" t="n">
        <v>0</v>
      </c>
    </row>
    <row r="3209" ht="15" customFormat="1" customHeight="1" s="5">
      <c r="A3209" s="81" t="n">
        <v>45780</v>
      </c>
      <c r="B3209" s="82" t="n">
        <v>0.4340277777777778</v>
      </c>
      <c r="C3209" s="5" t="inlineStr">
        <is>
          <t>Pint's Peak Food Truck</t>
        </is>
      </c>
      <c r="E3209" s="5" t="n">
        <v>1</v>
      </c>
      <c r="F3209" s="6" t="inlineStr">
        <is>
          <t>FarmersMarket00</t>
        </is>
      </c>
      <c r="G3209" s="7" t="n"/>
      <c r="H3209" s="9" t="inlineStr">
        <is>
          <t>Pint's Peak ice cream Double Scoop: Dairy-Free Mango Sticky Rice + Raspberry Mexican Hot Chocolate</t>
        </is>
      </c>
      <c r="I3209" s="9" t="n">
        <v>1</v>
      </c>
      <c r="J3209" s="9" t="inlineStr">
        <is>
          <t>cnt</t>
        </is>
      </c>
      <c r="K3209" s="9" t="n">
        <v>9</v>
      </c>
    </row>
    <row r="3210" ht="15" customFormat="1" customHeight="1" s="5">
      <c r="A3210" s="81" t="n">
        <v>45779</v>
      </c>
      <c r="B3210" s="82" t="n">
        <v>0.8395833333333333</v>
      </c>
      <c r="C3210" s="5" t="inlineStr">
        <is>
          <t>Costco</t>
        </is>
      </c>
      <c r="E3210" s="5" t="n">
        <v>1</v>
      </c>
      <c r="F3210" s="6" t="inlineStr">
        <is>
          <t>39254</t>
        </is>
      </c>
      <c r="G3210" s="17" t="inlineStr">
        <is>
          <t>1</t>
        </is>
      </c>
      <c r="H3210" s="9" t="inlineStr">
        <is>
          <t>Subaru Gas 14.765 Gallons @ $2.639/gal</t>
        </is>
      </c>
      <c r="I3210" s="9" t="n">
        <v>14.765</v>
      </c>
      <c r="J3210" s="9" t="inlineStr">
        <is>
          <t>gal</t>
        </is>
      </c>
      <c r="K3210" s="9" t="n">
        <v>38.96</v>
      </c>
    </row>
    <row r="3211" ht="15" customFormat="1" customHeight="1" s="5">
      <c r="A3211" s="81" t="n">
        <v>45779</v>
      </c>
      <c r="B3211" s="82" t="n">
        <v>0.8340277777777778</v>
      </c>
      <c r="C3211" s="5" t="inlineStr">
        <is>
          <t>O'Reilly Auto Parts</t>
        </is>
      </c>
      <c r="E3211" s="5" t="n">
        <v>1</v>
      </c>
      <c r="F3211" s="6" t="inlineStr">
        <is>
          <t>833712</t>
        </is>
      </c>
      <c r="G3211" s="7" t="inlineStr">
        <is>
          <t>VAL SYN5-20-5QT</t>
        </is>
      </c>
      <c r="H3211" s="9" t="inlineStr">
        <is>
          <t>5QT motor oil</t>
        </is>
      </c>
      <c r="I3211" s="9" t="n">
        <v>5</v>
      </c>
      <c r="J3211" s="9" t="inlineStr">
        <is>
          <t>quart</t>
        </is>
      </c>
      <c r="K3211" s="9" t="n">
        <v>36.99</v>
      </c>
    </row>
    <row r="3212" ht="15" customFormat="1" customHeight="1" s="5">
      <c r="A3212" s="81" t="n">
        <v>45779</v>
      </c>
      <c r="B3212" s="82" t="n">
        <v>0.8340277777777778</v>
      </c>
      <c r="C3212" s="5" t="inlineStr">
        <is>
          <t>O'Reilly Auto Parts</t>
        </is>
      </c>
      <c r="E3212" s="5" t="n">
        <v>1</v>
      </c>
      <c r="F3212" s="6" t="inlineStr">
        <is>
          <t>833712</t>
        </is>
      </c>
      <c r="G3212" s="7" t="inlineStr">
        <is>
          <t>WIX 51348</t>
        </is>
      </c>
      <c r="H3212" s="9" t="inlineStr">
        <is>
          <t>oil filter</t>
        </is>
      </c>
      <c r="I3212" s="9" t="n">
        <v>1</v>
      </c>
      <c r="J3212" s="9" t="inlineStr">
        <is>
          <t>cnt</t>
        </is>
      </c>
      <c r="K3212" s="9" t="n">
        <v>14.99</v>
      </c>
    </row>
    <row r="3213" ht="15" customFormat="1" customHeight="1" s="5">
      <c r="A3213" s="81" t="n">
        <v>45779</v>
      </c>
      <c r="B3213" s="82" t="n">
        <v>0.8340277777777778</v>
      </c>
      <c r="C3213" s="5" t="inlineStr">
        <is>
          <t>O'Reilly Auto Parts</t>
        </is>
      </c>
      <c r="E3213" s="5" t="n">
        <v>1</v>
      </c>
      <c r="F3213" s="6" t="inlineStr">
        <is>
          <t>833712</t>
        </is>
      </c>
      <c r="G3213" s="7" t="n"/>
      <c r="H3213" s="9" t="inlineStr">
        <is>
          <t>Sales Tax</t>
        </is>
      </c>
      <c r="I3213" s="9" t="n">
        <v>2</v>
      </c>
      <c r="J3213" s="9" t="inlineStr">
        <is>
          <t>cnt</t>
        </is>
      </c>
      <c r="K3213" s="9" t="n">
        <v>2.8</v>
      </c>
    </row>
    <row r="3214" ht="15" customFormat="1" customHeight="1" s="5">
      <c r="A3214" s="81" t="n">
        <v>45779</v>
      </c>
      <c r="B3214" s="82" t="n">
        <v>0.8340277777777778</v>
      </c>
      <c r="C3214" s="5" t="inlineStr">
        <is>
          <t>O'Reilly Auto Parts</t>
        </is>
      </c>
      <c r="E3214" s="5" t="n">
        <v>1</v>
      </c>
      <c r="F3214" s="6" t="inlineStr">
        <is>
          <t>833712</t>
        </is>
      </c>
      <c r="G3214" s="7" t="inlineStr">
        <is>
          <t>VAL SYN5-20-5QT</t>
        </is>
      </c>
      <c r="H3214" s="9" t="inlineStr">
        <is>
          <t>**DISCOUNT** MANUFACTURERS DEFECT WARRANTY</t>
        </is>
      </c>
      <c r="I3214" s="9" t="n">
        <v>5</v>
      </c>
      <c r="J3214" s="9" t="inlineStr">
        <is>
          <t>quart</t>
        </is>
      </c>
      <c r="K3214" s="9" t="n">
        <v>-8.039999999999999</v>
      </c>
    </row>
    <row r="3215" ht="15" customFormat="1" customHeight="1" s="5">
      <c r="A3215" s="81" t="n">
        <v>45779</v>
      </c>
      <c r="B3215" s="82" t="n">
        <v>0.8340277777777778</v>
      </c>
      <c r="C3215" s="5" t="inlineStr">
        <is>
          <t>O'Reilly Auto Parts</t>
        </is>
      </c>
      <c r="E3215" s="5" t="n">
        <v>1</v>
      </c>
      <c r="F3215" s="6" t="inlineStr">
        <is>
          <t>833712</t>
        </is>
      </c>
      <c r="G3215" s="7" t="inlineStr">
        <is>
          <t>WIX 51348</t>
        </is>
      </c>
      <c r="H3215" s="9" t="inlineStr">
        <is>
          <t>**DISCOUNT** SPECIAL OFFER</t>
        </is>
      </c>
      <c r="I3215" s="9" t="n">
        <v>1</v>
      </c>
      <c r="J3215" s="9" t="inlineStr">
        <is>
          <t>cnt</t>
        </is>
      </c>
      <c r="K3215" s="9" t="n">
        <v>-8.949999999999999</v>
      </c>
    </row>
    <row r="3216" ht="15" customFormat="1" customHeight="1" s="5">
      <c r="A3216" s="81" t="n">
        <v>45779</v>
      </c>
      <c r="B3216" s="82" t="n">
        <v>0.70625</v>
      </c>
      <c r="C3216" s="5" t="inlineStr">
        <is>
          <t>Curry Kitchen Lakewood CO</t>
        </is>
      </c>
      <c r="E3216" s="5" t="n">
        <v>1</v>
      </c>
      <c r="F3216" s="6" t="inlineStr">
        <is>
          <t>#32</t>
        </is>
      </c>
      <c r="G3216" s="7" t="n"/>
      <c r="H3216" s="9" t="inlineStr">
        <is>
          <t>Rack of Lamb (special)</t>
        </is>
      </c>
      <c r="I3216" s="9" t="n">
        <v>2</v>
      </c>
      <c r="J3216" s="9" t="inlineStr">
        <is>
          <t>cnt</t>
        </is>
      </c>
      <c r="K3216" s="9" t="n">
        <v>28</v>
      </c>
    </row>
    <row r="3217" ht="15" customFormat="1" customHeight="1" s="5">
      <c r="A3217" s="81" t="n">
        <v>45779</v>
      </c>
      <c r="B3217" s="82" t="n">
        <v>0.70625</v>
      </c>
      <c r="C3217" s="5" t="inlineStr">
        <is>
          <t>Curry Kitchen Lakewood CO</t>
        </is>
      </c>
      <c r="E3217" s="5" t="n">
        <v>1</v>
      </c>
      <c r="F3217" s="6" t="inlineStr">
        <is>
          <t>#32</t>
        </is>
      </c>
      <c r="G3217" s="7" t="n"/>
      <c r="H3217" s="9" t="inlineStr">
        <is>
          <t>Curry, Mild</t>
        </is>
      </c>
      <c r="I3217" s="9" t="n">
        <v>1</v>
      </c>
      <c r="J3217" s="9" t="inlineStr">
        <is>
          <t>cnt</t>
        </is>
      </c>
      <c r="K3217" s="9" t="n">
        <v>16</v>
      </c>
    </row>
    <row r="3218" ht="15" customFormat="1" customHeight="1" s="5">
      <c r="A3218" s="81" t="n">
        <v>45779</v>
      </c>
      <c r="B3218" s="82" t="n">
        <v>0.70625</v>
      </c>
      <c r="C3218" s="5" t="inlineStr">
        <is>
          <t>Curry Kitchen Lakewood CO</t>
        </is>
      </c>
      <c r="E3218" s="5" t="n">
        <v>1</v>
      </c>
      <c r="F3218" s="6" t="inlineStr">
        <is>
          <t>#32</t>
        </is>
      </c>
      <c r="G3218" s="7" t="n"/>
      <c r="H3218" s="9" t="inlineStr">
        <is>
          <t>Ginger Chai Chata</t>
        </is>
      </c>
      <c r="I3218" s="9" t="n">
        <v>1</v>
      </c>
      <c r="J3218" s="9" t="inlineStr">
        <is>
          <t>cnt</t>
        </is>
      </c>
      <c r="K3218" s="9" t="n">
        <v>13</v>
      </c>
    </row>
    <row r="3219" ht="15" customFormat="1" customHeight="1" s="5">
      <c r="A3219" s="81" t="n">
        <v>45779</v>
      </c>
      <c r="B3219" s="82" t="n">
        <v>0.70625</v>
      </c>
      <c r="C3219" s="5" t="inlineStr">
        <is>
          <t>Curry Kitchen Lakewood CO</t>
        </is>
      </c>
      <c r="E3219" s="5" t="n">
        <v>1</v>
      </c>
      <c r="F3219" s="6" t="inlineStr">
        <is>
          <t>#32</t>
        </is>
      </c>
      <c r="G3219" s="7" t="n"/>
      <c r="H3219" s="9" t="inlineStr">
        <is>
          <t>Cash Tip ($10 + 3 $1)</t>
        </is>
      </c>
      <c r="I3219" s="9" t="n">
        <v>1</v>
      </c>
      <c r="J3219" s="9" t="inlineStr">
        <is>
          <t>cnt</t>
        </is>
      </c>
      <c r="K3219" s="9" t="n">
        <v>13</v>
      </c>
    </row>
    <row r="3220" ht="15" customFormat="1" customHeight="1" s="5">
      <c r="A3220" s="81" t="n">
        <v>45779</v>
      </c>
      <c r="B3220" s="82" t="n">
        <v>0.70625</v>
      </c>
      <c r="C3220" s="5" t="inlineStr">
        <is>
          <t>Curry Kitchen Lakewood CO</t>
        </is>
      </c>
      <c r="E3220" s="5" t="n">
        <v>1</v>
      </c>
      <c r="F3220" s="6" t="inlineStr">
        <is>
          <t>#32</t>
        </is>
      </c>
      <c r="G3220" s="7" t="n"/>
      <c r="H3220" s="9" t="inlineStr">
        <is>
          <t>Tax</t>
        </is>
      </c>
      <c r="I3220" s="9" t="n">
        <v>6</v>
      </c>
      <c r="J3220" s="9" t="inlineStr">
        <is>
          <t>cnt</t>
        </is>
      </c>
      <c r="K3220" s="9" t="n">
        <v>5.09</v>
      </c>
    </row>
    <row r="3221" ht="15" customFormat="1" customHeight="1" s="5">
      <c r="A3221" s="81" t="n">
        <v>45779</v>
      </c>
      <c r="B3221" s="82" t="n">
        <v>0.70625</v>
      </c>
      <c r="C3221" s="5" t="inlineStr">
        <is>
          <t>Curry Kitchen Lakewood CO</t>
        </is>
      </c>
      <c r="E3221" s="5" t="n">
        <v>1</v>
      </c>
      <c r="F3221" s="6" t="inlineStr">
        <is>
          <t>#32</t>
        </is>
      </c>
      <c r="G3221" s="7" t="n"/>
      <c r="H3221" s="9" t="inlineStr">
        <is>
          <t>Garlic Naan</t>
        </is>
      </c>
      <c r="I3221" s="9" t="n">
        <v>2</v>
      </c>
      <c r="J3221" s="9" t="inlineStr">
        <is>
          <t>cnt</t>
        </is>
      </c>
      <c r="K3221" s="9" t="n">
        <v>5</v>
      </c>
    </row>
    <row r="3222" ht="15" customFormat="1" customHeight="1" s="5">
      <c r="A3222" s="81" t="n">
        <v>45779</v>
      </c>
      <c r="B3222" s="82" t="n">
        <v>0.70625</v>
      </c>
      <c r="C3222" s="5" t="inlineStr">
        <is>
          <t>Curry Kitchen Lakewood CO</t>
        </is>
      </c>
      <c r="E3222" s="5" t="n">
        <v>1</v>
      </c>
      <c r="F3222" s="6" t="inlineStr">
        <is>
          <t>#32</t>
        </is>
      </c>
      <c r="G3222" s="7" t="n"/>
      <c r="H3222" s="18" t="inlineStr">
        <is>
          <t>+ Lamb for curry</t>
        </is>
      </c>
      <c r="I3222" s="9" t="n">
        <v>1</v>
      </c>
      <c r="J3222" s="9" t="inlineStr">
        <is>
          <t>cnt</t>
        </is>
      </c>
      <c r="K3222" s="9" t="n">
        <v>3</v>
      </c>
    </row>
    <row r="3223" ht="15" customFormat="1" customHeight="1" s="5">
      <c r="A3223" s="81" t="n">
        <v>45779</v>
      </c>
      <c r="B3223" s="82" t="n">
        <v>0.70625</v>
      </c>
      <c r="C3223" s="5" t="inlineStr">
        <is>
          <t>Curry Kitchen Lakewood CO</t>
        </is>
      </c>
      <c r="E3223" s="5" t="n">
        <v>1</v>
      </c>
      <c r="F3223" s="6" t="inlineStr">
        <is>
          <t>#32</t>
        </is>
      </c>
      <c r="G3223" s="7" t="n"/>
      <c r="H3223" s="9" t="inlineStr">
        <is>
          <t>Side Raita</t>
        </is>
      </c>
      <c r="I3223" s="9" t="n">
        <v>1</v>
      </c>
      <c r="J3223" s="9" t="inlineStr">
        <is>
          <t>cnt</t>
        </is>
      </c>
      <c r="K3223" s="9" t="n">
        <v>3</v>
      </c>
    </row>
    <row r="3224" ht="15" customFormat="1" customHeight="1" s="5">
      <c r="A3224" s="81" t="n">
        <v>45779</v>
      </c>
      <c r="B3224" s="82" t="n">
        <v>0.70625</v>
      </c>
      <c r="C3224" s="5" t="inlineStr">
        <is>
          <t>Curry Kitchen Lakewood CO</t>
        </is>
      </c>
      <c r="E3224" s="5" t="n">
        <v>1</v>
      </c>
      <c r="F3224" s="6" t="inlineStr">
        <is>
          <t>#32</t>
        </is>
      </c>
      <c r="G3224" s="7" t="n"/>
      <c r="H3224" s="9" t="inlineStr">
        <is>
          <t>(costco) Synergy Gift Card</t>
        </is>
      </c>
      <c r="I3224" s="9" t="n">
        <v>6</v>
      </c>
      <c r="J3224" s="9" t="inlineStr">
        <is>
          <t>cnt</t>
        </is>
      </c>
      <c r="K3224" s="9" t="n">
        <v>-73.09</v>
      </c>
    </row>
    <row r="3225" ht="15" customFormat="1" customHeight="1" s="5">
      <c r="A3225" s="81" t="n">
        <v>45778</v>
      </c>
      <c r="B3225" s="82" t="n">
        <v>0.7388888888888889</v>
      </c>
      <c r="C3225" s="5" t="inlineStr">
        <is>
          <t>Safeway</t>
        </is>
      </c>
      <c r="E3225" s="5" t="n">
        <v>1</v>
      </c>
      <c r="F3225" s="6" t="inlineStr">
        <is>
          <t>2612 54 172 8854</t>
        </is>
      </c>
      <c r="G3225" s="7" t="n"/>
      <c r="H3225" s="9" t="inlineStr">
        <is>
          <t>Signature Select Medium Spicy Enchilada Sauce</t>
        </is>
      </c>
      <c r="I3225" s="9" t="n">
        <v>28</v>
      </c>
      <c r="J3225" s="9" t="inlineStr">
        <is>
          <t>fl oz</t>
        </is>
      </c>
      <c r="K3225" s="9" t="n">
        <v>2.79</v>
      </c>
    </row>
    <row r="3226" ht="15" customFormat="1" customHeight="1" s="5">
      <c r="A3226" s="81" t="n">
        <v>45778</v>
      </c>
      <c r="B3226" s="82" t="n">
        <v>0.7388888888888889</v>
      </c>
      <c r="C3226" s="5" t="inlineStr">
        <is>
          <t>Safeway</t>
        </is>
      </c>
      <c r="E3226" s="5" t="n">
        <v>1</v>
      </c>
      <c r="F3226" s="6" t="inlineStr">
        <is>
          <t>2612 54 172 8854</t>
        </is>
      </c>
      <c r="G3226" s="7" t="n"/>
      <c r="H3226" s="9" t="inlineStr">
        <is>
          <t>Tax</t>
        </is>
      </c>
      <c r="I3226" s="9" t="n">
        <v>28</v>
      </c>
      <c r="J3226" s="9" t="inlineStr">
        <is>
          <t>fl oz</t>
        </is>
      </c>
      <c r="K3226" s="9" t="n">
        <v>0</v>
      </c>
    </row>
    <row r="3227" ht="15" customFormat="1" customHeight="1" s="5">
      <c r="A3227" s="81" t="n">
        <v>45778</v>
      </c>
      <c r="B3227" s="82" t="n">
        <v>0.7388888888888889</v>
      </c>
      <c r="C3227" s="5" t="inlineStr">
        <is>
          <t>Safeway</t>
        </is>
      </c>
      <c r="E3227" s="5" t="n">
        <v>1</v>
      </c>
      <c r="F3227" s="6" t="inlineStr">
        <is>
          <t>2612 54 172 8854</t>
        </is>
      </c>
      <c r="G3227" s="7" t="n"/>
      <c r="H3227" s="9" t="inlineStr">
        <is>
          <t>**DISCOUNT** Basket Savings</t>
        </is>
      </c>
      <c r="I3227" s="9" t="n">
        <v>28</v>
      </c>
      <c r="J3227" s="9" t="inlineStr">
        <is>
          <t>fl oz</t>
        </is>
      </c>
      <c r="K3227" s="9" t="n">
        <v>-1.09</v>
      </c>
    </row>
    <row r="3228" ht="15" customFormat="1" customHeight="1" s="5">
      <c r="A3228" s="81" t="n">
        <v>45778</v>
      </c>
      <c r="B3228" s="82" t="n">
        <v>0.6840277777777778</v>
      </c>
      <c r="C3228" s="5" t="inlineStr">
        <is>
          <t>Tyndall Green</t>
        </is>
      </c>
      <c r="D3228" s="5" t="n">
        <v>1</v>
      </c>
      <c r="F3228" s="6" t="inlineStr">
        <is>
          <t>378667042</t>
        </is>
      </c>
      <c r="G3228" s="10" t="n"/>
      <c r="H3228" s="9" t="inlineStr">
        <is>
          <t>Tyndall Green Apr Payment</t>
        </is>
      </c>
      <c r="I3228" s="9" t="n"/>
      <c r="J3228" s="9" t="n"/>
      <c r="K3228" s="9" t="n">
        <v>331.12</v>
      </c>
    </row>
    <row r="3229" ht="14" customFormat="1" customHeight="1" s="5">
      <c r="A3229" s="81" t="n">
        <v>45778</v>
      </c>
      <c r="B3229" s="82" t="n">
        <v>0.4819444444444445</v>
      </c>
      <c r="C3229" s="5" t="inlineStr">
        <is>
          <t>House Denver</t>
        </is>
      </c>
      <c r="D3229" s="5" t="n">
        <v>1</v>
      </c>
      <c r="F3229" s="6" t="n">
        <v>53852722946</v>
      </c>
      <c r="G3229" s="10" t="n"/>
      <c r="H3229" s="9" t="inlineStr">
        <is>
          <t>Monthly overflow chunk of 2025 tithe bunched into 2024. This transaction was actually made on 12/31/25, but it is logged against 2025 budget.</t>
        </is>
      </c>
      <c r="I3229" s="9" t="n"/>
      <c r="J3229" s="9" t="n"/>
      <c r="K3229" s="9">
        <f>(9500-8750.43)/12</f>
        <v/>
      </c>
    </row>
    <row r="3230" ht="15" customFormat="1" customHeight="1" s="5">
      <c r="A3230" s="81" t="n">
        <v>45778</v>
      </c>
      <c r="B3230" s="82" t="n">
        <v>0.4819444444444445</v>
      </c>
      <c r="C3230" s="5" t="inlineStr">
        <is>
          <t>House Denver</t>
        </is>
      </c>
      <c r="D3230" s="5" t="n">
        <v>1</v>
      </c>
      <c r="F3230" s="6" t="n">
        <v>53852722946</v>
      </c>
      <c r="G3230" s="10" t="n"/>
      <c r="H3230" s="9" t="inlineStr">
        <is>
          <t>Monthly chunk of 2025 tithe bunched into 2024. This transaction was actually made on 12/31/25, but it is logged against 2025 budget.</t>
        </is>
      </c>
      <c r="I3230" s="9" t="n"/>
      <c r="J3230" s="9" t="n"/>
      <c r="K3230" s="9" t="n">
        <v>942.4834004600064</v>
      </c>
    </row>
    <row r="3231" ht="15" customFormat="1" customHeight="1" s="5">
      <c r="A3231" s="81" t="n">
        <v>45778</v>
      </c>
      <c r="B3231" s="82" t="n">
        <v>0.4791666666666667</v>
      </c>
      <c r="C3231" s="5" t="inlineStr">
        <is>
          <t>Costco</t>
        </is>
      </c>
      <c r="E3231" s="5" t="n">
        <v>1</v>
      </c>
      <c r="F3231" s="6" t="inlineStr">
        <is>
          <t>439 209 34 709</t>
        </is>
      </c>
      <c r="G3231" s="7" t="n"/>
      <c r="H3231" s="9" t="inlineStr">
        <is>
          <t>Beef Chubs: Lean Ground Beef 5 x 1lb packges, 91% lean, 9% fat</t>
        </is>
      </c>
      <c r="I3231" s="9" t="n">
        <v>5</v>
      </c>
      <c r="J3231" s="9" t="inlineStr">
        <is>
          <t>lb</t>
        </is>
      </c>
      <c r="K3231" s="9" t="n">
        <v>27.79</v>
      </c>
    </row>
    <row r="3232" ht="15" customFormat="1" customHeight="1" s="5">
      <c r="A3232" s="81" t="n">
        <v>45778</v>
      </c>
      <c r="B3232" s="82" t="n">
        <v>0.4791666666666667</v>
      </c>
      <c r="C3232" s="5" t="inlineStr">
        <is>
          <t>Costco</t>
        </is>
      </c>
      <c r="E3232" s="5" t="n">
        <v>1</v>
      </c>
      <c r="F3232" s="6" t="inlineStr">
        <is>
          <t>439 209 34 709</t>
        </is>
      </c>
      <c r="G3232" s="7" t="n"/>
      <c r="H3232" s="9" t="inlineStr">
        <is>
          <t>KS Tilapia</t>
        </is>
      </c>
      <c r="I3232" s="9" t="n">
        <v>3</v>
      </c>
      <c r="J3232" s="9" t="inlineStr">
        <is>
          <t>lb</t>
        </is>
      </c>
      <c r="K3232" s="9" t="n">
        <v>16.99</v>
      </c>
    </row>
    <row r="3233" ht="15" customFormat="1" customHeight="1" s="5">
      <c r="A3233" s="81" t="n">
        <v>45778</v>
      </c>
      <c r="B3233" s="82" t="n">
        <v>0.4791666666666667</v>
      </c>
      <c r="C3233" s="5" t="inlineStr">
        <is>
          <t>Costco</t>
        </is>
      </c>
      <c r="E3233" s="5" t="n">
        <v>1</v>
      </c>
      <c r="F3233" s="6" t="inlineStr">
        <is>
          <t>439 209 34 709</t>
        </is>
      </c>
      <c r="G3233" s="7" t="n"/>
      <c r="H3233" s="9" t="inlineStr">
        <is>
          <t>KS Organic Cashews unsalted unroasted</t>
        </is>
      </c>
      <c r="I3233" s="9" t="n">
        <v>2.5</v>
      </c>
      <c r="J3233" s="9" t="inlineStr">
        <is>
          <t>lb</t>
        </is>
      </c>
      <c r="K3233" s="9" t="n">
        <v>14.99</v>
      </c>
    </row>
    <row r="3234" ht="15" customFormat="1" customHeight="1" s="5">
      <c r="A3234" s="81" t="n">
        <v>45778</v>
      </c>
      <c r="B3234" s="82" t="n">
        <v>0.4791666666666667</v>
      </c>
      <c r="C3234" s="5" t="inlineStr">
        <is>
          <t>Costco</t>
        </is>
      </c>
      <c r="E3234" s="5" t="n">
        <v>1</v>
      </c>
      <c r="F3234" s="6" t="inlineStr">
        <is>
          <t>439 209 34 709</t>
        </is>
      </c>
      <c r="G3234" s="7" t="n"/>
      <c r="H3234" s="9" t="inlineStr">
        <is>
          <t>Panera Mac&amp;Cheese, 2 containers, 3 lbs</t>
        </is>
      </c>
      <c r="I3234" s="9" t="n">
        <v>48</v>
      </c>
      <c r="J3234" s="9" t="inlineStr">
        <is>
          <t>oz</t>
        </is>
      </c>
      <c r="K3234" s="9" t="n">
        <v>11.89</v>
      </c>
    </row>
    <row r="3235" ht="15" customFormat="1" customHeight="1" s="5">
      <c r="A3235" s="81" t="n">
        <v>45778</v>
      </c>
      <c r="B3235" s="82" t="n">
        <v>0.4791666666666667</v>
      </c>
      <c r="C3235" s="5" t="inlineStr">
        <is>
          <t>Costco</t>
        </is>
      </c>
      <c r="E3235" s="5" t="n">
        <v>1</v>
      </c>
      <c r="F3235" s="6" t="inlineStr">
        <is>
          <t>439 209 34 709</t>
        </is>
      </c>
      <c r="G3235" s="7" t="n"/>
      <c r="H3235" s="9" t="inlineStr">
        <is>
          <t>Goldfish Cheddar Flavor</t>
        </is>
      </c>
      <c r="I3235" s="9" t="n">
        <v>66</v>
      </c>
      <c r="J3235" s="9" t="inlineStr">
        <is>
          <t>oz</t>
        </is>
      </c>
      <c r="K3235" s="9" t="n">
        <v>11.79</v>
      </c>
    </row>
    <row r="3236" ht="15" customFormat="1" customHeight="1" s="5">
      <c r="A3236" s="81" t="n">
        <v>45778</v>
      </c>
      <c r="B3236" s="82" t="n">
        <v>0.4791666666666667</v>
      </c>
      <c r="C3236" s="5" t="inlineStr">
        <is>
          <t>Costco</t>
        </is>
      </c>
      <c r="E3236" s="5" t="n">
        <v>1</v>
      </c>
      <c r="F3236" s="6" t="inlineStr">
        <is>
          <t>439 209 34 709</t>
        </is>
      </c>
      <c r="G3236" s="7" t="n"/>
      <c r="H3236" s="9" t="inlineStr">
        <is>
          <t>KS Organic Granola Ancient Grains</t>
        </is>
      </c>
      <c r="I3236" s="9" t="n">
        <v>35.3</v>
      </c>
      <c r="J3236" s="9" t="inlineStr">
        <is>
          <t>oz</t>
        </is>
      </c>
      <c r="K3236" s="9" t="n">
        <v>8.789999999999999</v>
      </c>
    </row>
    <row r="3237" ht="15" customFormat="1" customHeight="1" s="5">
      <c r="A3237" s="81" t="n">
        <v>45778</v>
      </c>
      <c r="B3237" s="82" t="n">
        <v>0.4791666666666667</v>
      </c>
      <c r="C3237" s="5" t="inlineStr">
        <is>
          <t>Costco</t>
        </is>
      </c>
      <c r="E3237" s="5" t="n">
        <v>1</v>
      </c>
      <c r="F3237" s="6" t="inlineStr">
        <is>
          <t>439 209 34 709</t>
        </is>
      </c>
      <c r="G3237" s="7" t="n"/>
      <c r="H3237" s="9" t="inlineStr">
        <is>
          <t>KS Cage Free Grade AA Large 24 Eggs</t>
        </is>
      </c>
      <c r="I3237" s="9" t="n">
        <v>3</v>
      </c>
      <c r="J3237" s="9" t="inlineStr">
        <is>
          <t>lb</t>
        </is>
      </c>
      <c r="K3237" s="9" t="n">
        <v>6.89</v>
      </c>
    </row>
    <row r="3238" ht="15" customFormat="1" customHeight="1" s="5">
      <c r="A3238" s="81" t="n">
        <v>45778</v>
      </c>
      <c r="B3238" s="82" t="n">
        <v>0.4791666666666667</v>
      </c>
      <c r="C3238" s="5" t="inlineStr">
        <is>
          <t>Costco</t>
        </is>
      </c>
      <c r="E3238" s="5" t="n">
        <v>1</v>
      </c>
      <c r="F3238" s="6" t="inlineStr">
        <is>
          <t>439 209 34 709</t>
        </is>
      </c>
      <c r="G3238" s="7" t="n"/>
      <c r="H3238" s="9" t="inlineStr">
        <is>
          <t>KS Cage Free Grade AA Large 24 Eggs</t>
        </is>
      </c>
      <c r="I3238" s="9" t="n">
        <v>3</v>
      </c>
      <c r="J3238" s="9" t="inlineStr">
        <is>
          <t>lb</t>
        </is>
      </c>
      <c r="K3238" s="9" t="n">
        <v>6.89</v>
      </c>
    </row>
    <row r="3239" ht="15" customFormat="1" customHeight="1" s="5">
      <c r="A3239" s="81" t="n">
        <v>45778</v>
      </c>
      <c r="B3239" s="82" t="n">
        <v>0.4791666666666667</v>
      </c>
      <c r="C3239" s="5" t="inlineStr">
        <is>
          <t>Costco</t>
        </is>
      </c>
      <c r="E3239" s="5" t="n">
        <v>1</v>
      </c>
      <c r="F3239" s="6" t="inlineStr">
        <is>
          <t>439 209 34 709</t>
        </is>
      </c>
      <c r="G3239" s="7" t="n"/>
      <c r="H3239" s="9" t="inlineStr">
        <is>
          <t xml:space="preserve">Mini cucumbers. Cukes </t>
        </is>
      </c>
      <c r="I3239" s="9" t="n">
        <v>1.5</v>
      </c>
      <c r="J3239" s="9" t="inlineStr">
        <is>
          <t>lb</t>
        </is>
      </c>
      <c r="K3239" s="9" t="n">
        <v>5.99</v>
      </c>
    </row>
    <row r="3240" ht="15" customFormat="1" customHeight="1" s="5">
      <c r="A3240" s="81" t="n">
        <v>45778</v>
      </c>
      <c r="B3240" s="82" t="n">
        <v>0.4791666666666667</v>
      </c>
      <c r="C3240" s="5" t="inlineStr">
        <is>
          <t>Costco</t>
        </is>
      </c>
      <c r="E3240" s="5" t="n">
        <v>1</v>
      </c>
      <c r="F3240" s="6" t="inlineStr">
        <is>
          <t>439 209 34 709</t>
        </is>
      </c>
      <c r="G3240" s="7" t="n"/>
      <c r="H3240" s="9" t="inlineStr">
        <is>
          <t>Butter Croissants, 12 count</t>
        </is>
      </c>
      <c r="I3240" s="9" t="n">
        <v>28</v>
      </c>
      <c r="J3240" s="9" t="inlineStr">
        <is>
          <t>oz</t>
        </is>
      </c>
      <c r="K3240" s="9" t="n">
        <v>5.99</v>
      </c>
    </row>
    <row r="3241" ht="15" customFormat="1" customHeight="1" s="5">
      <c r="A3241" s="81" t="n">
        <v>45778</v>
      </c>
      <c r="B3241" s="82" t="n">
        <v>0.4791666666666667</v>
      </c>
      <c r="C3241" s="5" t="inlineStr">
        <is>
          <t>Costco</t>
        </is>
      </c>
      <c r="E3241" s="5" t="n">
        <v>1</v>
      </c>
      <c r="F3241" s="6" t="inlineStr">
        <is>
          <t>439 209 34 709</t>
        </is>
      </c>
      <c r="G3241" s="7" t="n"/>
      <c r="H3241" s="9" t="inlineStr">
        <is>
          <t>Rustic Italian Loaf of Bread</t>
        </is>
      </c>
      <c r="I3241" s="9" t="n">
        <v>32</v>
      </c>
      <c r="J3241" s="9" t="inlineStr">
        <is>
          <t>oz</t>
        </is>
      </c>
      <c r="K3241" s="9" t="n">
        <v>5.99</v>
      </c>
    </row>
    <row r="3242" ht="15" customFormat="1" customHeight="1" s="5">
      <c r="A3242" s="81" t="n">
        <v>45778</v>
      </c>
      <c r="B3242" s="82" t="n">
        <v>0.4791666666666667</v>
      </c>
      <c r="C3242" s="5" t="inlineStr">
        <is>
          <t>Costco</t>
        </is>
      </c>
      <c r="E3242" s="5" t="n">
        <v>1</v>
      </c>
      <c r="F3242" s="6" t="inlineStr">
        <is>
          <t>439 209 34 709</t>
        </is>
      </c>
      <c r="G3242" s="7" t="n"/>
      <c r="H3242" s="9" t="inlineStr">
        <is>
          <t>Org Brussels Sprouts</t>
        </is>
      </c>
      <c r="I3242" s="9" t="n">
        <v>2</v>
      </c>
      <c r="J3242" s="9" t="inlineStr">
        <is>
          <t>lb</t>
        </is>
      </c>
      <c r="K3242" s="9" t="n">
        <v>5.89</v>
      </c>
    </row>
    <row r="3243" ht="15" customFormat="1" customHeight="1" s="5">
      <c r="A3243" s="81" t="n">
        <v>45778</v>
      </c>
      <c r="B3243" s="82" t="n">
        <v>0.4791666666666667</v>
      </c>
      <c r="C3243" s="5" t="inlineStr">
        <is>
          <t>Costco</t>
        </is>
      </c>
      <c r="E3243" s="5" t="n">
        <v>1</v>
      </c>
      <c r="F3243" s="6" t="inlineStr">
        <is>
          <t>439 209 34 709</t>
        </is>
      </c>
      <c r="G3243" s="7" t="n"/>
      <c r="H3243" s="9" t="inlineStr">
        <is>
          <t>Org Spinach</t>
        </is>
      </c>
      <c r="I3243" s="9" t="n">
        <v>16</v>
      </c>
      <c r="J3243" s="9" t="inlineStr">
        <is>
          <t>oz</t>
        </is>
      </c>
      <c r="K3243" s="9" t="n">
        <v>3.89</v>
      </c>
    </row>
    <row r="3244" ht="15" customFormat="1" customHeight="1" s="5">
      <c r="A3244" s="81" t="n">
        <v>45778</v>
      </c>
      <c r="B3244" s="82" t="n">
        <v>0.4791666666666667</v>
      </c>
      <c r="C3244" s="5" t="inlineStr">
        <is>
          <t>Costco</t>
        </is>
      </c>
      <c r="E3244" s="5" t="n">
        <v>1</v>
      </c>
      <c r="F3244" s="6" t="inlineStr">
        <is>
          <t>439 209 34 709</t>
        </is>
      </c>
      <c r="G3244" s="7" t="n"/>
      <c r="H3244" s="9" t="inlineStr">
        <is>
          <t>NTG beach sunscreen: Neutrogena 60+ helloplex spray</t>
        </is>
      </c>
      <c r="I3244" s="9" t="n">
        <v>17</v>
      </c>
      <c r="J3244" s="9" t="inlineStr">
        <is>
          <t>oz</t>
        </is>
      </c>
      <c r="K3244" s="9" t="inlineStr">
        <is>
          <t>4.00-A</t>
        </is>
      </c>
    </row>
    <row r="3245" ht="15" customFormat="1" customHeight="1" s="5">
      <c r="A3245" s="81" t="n">
        <v>45778</v>
      </c>
      <c r="B3245" s="82" t="n">
        <v>0.4791666666666667</v>
      </c>
      <c r="C3245" s="5" t="inlineStr">
        <is>
          <t>Costco</t>
        </is>
      </c>
      <c r="E3245" s="5" t="n">
        <v>1</v>
      </c>
      <c r="F3245" s="6" t="inlineStr">
        <is>
          <t>439 209 34 709</t>
        </is>
      </c>
      <c r="G3245" s="7" t="n"/>
      <c r="H3245" s="9" t="inlineStr">
        <is>
          <t>NTG beach sunscreen: Neutrogena 60+ helloplex spray, 2 x 8.5 fl oz (240 g) bottles</t>
        </is>
      </c>
      <c r="I3245" s="9" t="n">
        <v>17</v>
      </c>
      <c r="J3245" s="9" t="inlineStr">
        <is>
          <t>oz</t>
        </is>
      </c>
      <c r="K3245" s="9" t="inlineStr">
        <is>
          <t>16.99 A</t>
        </is>
      </c>
    </row>
    <row r="3246" ht="15" customFormat="1" customHeight="1" s="5">
      <c r="A3246" s="81" t="n">
        <v>45778</v>
      </c>
      <c r="B3246" s="82" t="n">
        <v>0.4791666666666667</v>
      </c>
      <c r="C3246" s="5" t="inlineStr">
        <is>
          <t>Costco</t>
        </is>
      </c>
      <c r="E3246" s="5" t="n">
        <v>1</v>
      </c>
      <c r="F3246" s="6" t="inlineStr">
        <is>
          <t>439 209 34 709</t>
        </is>
      </c>
      <c r="G3246" s="7" t="n"/>
      <c r="H3246" s="9" t="inlineStr">
        <is>
          <t>TAX A 8.000% (on FSA eligible $12.99)</t>
        </is>
      </c>
      <c r="I3246" s="9" t="n">
        <v>1</v>
      </c>
      <c r="J3246" s="9" t="inlineStr">
        <is>
          <t>cnt</t>
        </is>
      </c>
      <c r="K3246" s="9" t="n">
        <v>1.04</v>
      </c>
    </row>
    <row r="3247" ht="15" customFormat="1" customHeight="1" s="5">
      <c r="A3247" s="81" t="n">
        <v>45778</v>
      </c>
      <c r="B3247" s="82" t="n">
        <v>0.4791666666666667</v>
      </c>
      <c r="C3247" s="5" t="inlineStr">
        <is>
          <t>Costco</t>
        </is>
      </c>
      <c r="E3247" s="5" t="n">
        <v>1</v>
      </c>
      <c r="F3247" s="6" t="inlineStr">
        <is>
          <t>439 209 34 709</t>
        </is>
      </c>
      <c r="G3247" s="7" t="n"/>
      <c r="H3247" s="9" t="inlineStr">
        <is>
          <t>Irish Spring Soap, 20 bars x 4.5 oz</t>
        </is>
      </c>
      <c r="I3247" s="9" t="n">
        <v>90</v>
      </c>
      <c r="J3247" s="9" t="inlineStr">
        <is>
          <t>oz</t>
        </is>
      </c>
      <c r="K3247" s="9" t="inlineStr">
        <is>
          <t>11.99 A</t>
        </is>
      </c>
    </row>
    <row r="3248" ht="15" customFormat="1" customHeight="1" s="5">
      <c r="A3248" s="81" t="n">
        <v>45778</v>
      </c>
      <c r="B3248" s="82" t="n">
        <v>0.4791666666666667</v>
      </c>
      <c r="C3248" s="5" t="inlineStr">
        <is>
          <t>Costco</t>
        </is>
      </c>
      <c r="E3248" s="5" t="n">
        <v>1</v>
      </c>
      <c r="F3248" s="6" t="inlineStr">
        <is>
          <t>439 209 34 709</t>
        </is>
      </c>
      <c r="G3248" s="7" t="n"/>
      <c r="H3248" s="9" t="inlineStr">
        <is>
          <t>TAX A 8.000%</t>
        </is>
      </c>
      <c r="I3248" s="9" t="n">
        <v>1</v>
      </c>
      <c r="J3248" s="9" t="inlineStr">
        <is>
          <t>cnt</t>
        </is>
      </c>
      <c r="K3248" s="9" t="n">
        <v>0.96</v>
      </c>
    </row>
    <row r="3249" ht="15" customFormat="1" customHeight="1" s="5">
      <c r="A3249" s="81" t="n">
        <v>45778</v>
      </c>
      <c r="B3249" s="82" t="n">
        <v>0.4194444444444445</v>
      </c>
      <c r="C3249" s="5" t="inlineStr">
        <is>
          <t>Safeway</t>
        </is>
      </c>
      <c r="E3249" s="5" t="n">
        <v>1</v>
      </c>
      <c r="F3249" s="6" t="inlineStr">
        <is>
          <t>2612 54 41 8854</t>
        </is>
      </c>
      <c r="G3249" s="7" t="n"/>
      <c r="H3249" s="9" t="inlineStr">
        <is>
          <t>Mixed Market Bunches of Flowers</t>
        </is>
      </c>
      <c r="I3249" s="9" t="n">
        <v>2</v>
      </c>
      <c r="J3249" s="9" t="inlineStr">
        <is>
          <t>cnt</t>
        </is>
      </c>
      <c r="K3249" s="9" t="n">
        <v>13.98</v>
      </c>
    </row>
    <row r="3250" ht="15" customFormat="1" customHeight="1" s="5">
      <c r="A3250" s="81" t="n">
        <v>45778</v>
      </c>
      <c r="B3250" s="82" t="n">
        <v>0.4194444444444445</v>
      </c>
      <c r="C3250" s="5" t="inlineStr">
        <is>
          <t>Safeway</t>
        </is>
      </c>
      <c r="E3250" s="5" t="n">
        <v>1</v>
      </c>
      <c r="F3250" s="6" t="inlineStr">
        <is>
          <t>2612 54 41 8854</t>
        </is>
      </c>
      <c r="G3250" s="7" t="n"/>
      <c r="H3250" s="9" t="inlineStr">
        <is>
          <t>Tax</t>
        </is>
      </c>
      <c r="I3250" s="9" t="n">
        <v>1</v>
      </c>
      <c r="J3250" s="9" t="inlineStr">
        <is>
          <t>cnt</t>
        </is>
      </c>
      <c r="K3250" s="9" t="n">
        <v>0.92</v>
      </c>
    </row>
    <row r="3251" ht="15" customFormat="1" customHeight="1" s="5">
      <c r="A3251" s="81" t="n">
        <v>45778</v>
      </c>
      <c r="B3251" s="82" t="n">
        <v>0.4194444444444445</v>
      </c>
      <c r="C3251" s="5" t="inlineStr">
        <is>
          <t>Safeway</t>
        </is>
      </c>
      <c r="E3251" s="5" t="n">
        <v>1</v>
      </c>
      <c r="F3251" s="6" t="inlineStr">
        <is>
          <t>2612 54 41 8854</t>
        </is>
      </c>
      <c r="G3251" s="7" t="n"/>
      <c r="H3251" s="9" t="inlineStr">
        <is>
          <t>8 Medium Hass Avocados</t>
        </is>
      </c>
      <c r="I3251" s="9" t="n">
        <v>8</v>
      </c>
      <c r="J3251" s="9" t="inlineStr">
        <is>
          <t>cnt</t>
        </is>
      </c>
      <c r="K3251" s="9" t="n">
        <v>16</v>
      </c>
    </row>
    <row r="3252" ht="15" customFormat="1" customHeight="1" s="5">
      <c r="A3252" s="81" t="n">
        <v>45778</v>
      </c>
      <c r="B3252" s="82" t="n">
        <v>0.4194444444444445</v>
      </c>
      <c r="C3252" s="5" t="inlineStr">
        <is>
          <t>Safeway</t>
        </is>
      </c>
      <c r="E3252" s="5" t="n">
        <v>1</v>
      </c>
      <c r="F3252" s="6" t="inlineStr">
        <is>
          <t>2612 54 41 8854</t>
        </is>
      </c>
      <c r="G3252" s="7" t="n"/>
      <c r="H3252" s="9" t="inlineStr">
        <is>
          <t>Lucerne Cheese Mexican Blend</t>
        </is>
      </c>
      <c r="I3252" s="9" t="n">
        <v>32</v>
      </c>
      <c r="J3252" s="9" t="inlineStr">
        <is>
          <t>oz</t>
        </is>
      </c>
      <c r="K3252" s="9" t="n">
        <v>7.99</v>
      </c>
    </row>
    <row r="3253" ht="15" customFormat="1" customHeight="1" s="5">
      <c r="A3253" s="81" t="n">
        <v>45778</v>
      </c>
      <c r="B3253" s="82" t="n">
        <v>0.4194444444444445</v>
      </c>
      <c r="C3253" s="5" t="inlineStr">
        <is>
          <t>Safeway</t>
        </is>
      </c>
      <c r="E3253" s="5" t="n">
        <v>1</v>
      </c>
      <c r="F3253" s="6" t="inlineStr">
        <is>
          <t>2612 54 41 8854</t>
        </is>
      </c>
      <c r="G3253" s="7" t="n"/>
      <c r="H3253" s="9" t="inlineStr">
        <is>
          <t>Violife Cheese Slices</t>
        </is>
      </c>
      <c r="I3253" s="9" t="n">
        <v>7.05</v>
      </c>
      <c r="J3253" s="9" t="inlineStr">
        <is>
          <t>oz</t>
        </is>
      </c>
      <c r="K3253" s="9" t="n">
        <v>6.99</v>
      </c>
    </row>
    <row r="3254" ht="15" customFormat="1" customHeight="1" s="5">
      <c r="A3254" s="81" t="n">
        <v>45778</v>
      </c>
      <c r="B3254" s="82" t="n">
        <v>0.4194444444444445</v>
      </c>
      <c r="C3254" s="5" t="inlineStr">
        <is>
          <t>Safeway</t>
        </is>
      </c>
      <c r="E3254" s="5" t="n">
        <v>1</v>
      </c>
      <c r="F3254" s="6" t="inlineStr">
        <is>
          <t>2612 54 41 8854</t>
        </is>
      </c>
      <c r="G3254" s="7" t="n"/>
      <c r="H3254" s="9" t="inlineStr">
        <is>
          <t>JUS-Rol Puff Pastry</t>
        </is>
      </c>
      <c r="I3254" s="9" t="n">
        <v>13.68</v>
      </c>
      <c r="J3254" s="9" t="inlineStr">
        <is>
          <t>oz</t>
        </is>
      </c>
      <c r="K3254" s="9" t="n">
        <v>4.99</v>
      </c>
    </row>
    <row r="3255" ht="15" customFormat="1" customHeight="1" s="5">
      <c r="A3255" s="81" t="n">
        <v>45778</v>
      </c>
      <c r="B3255" s="82" t="n">
        <v>0.4194444444444445</v>
      </c>
      <c r="C3255" s="5" t="inlineStr">
        <is>
          <t>Safeway</t>
        </is>
      </c>
      <c r="E3255" s="5" t="n">
        <v>1</v>
      </c>
      <c r="F3255" s="6" t="inlineStr">
        <is>
          <t>2612 54 41 8854</t>
        </is>
      </c>
      <c r="G3255" s="7" t="n"/>
      <c r="H3255" s="9" t="inlineStr">
        <is>
          <t>Mission Tortilla Chips Resturant Style</t>
        </is>
      </c>
      <c r="I3255" s="9" t="n">
        <v>9</v>
      </c>
      <c r="J3255" s="9" t="inlineStr">
        <is>
          <t>oz</t>
        </is>
      </c>
      <c r="K3255" s="9" t="n">
        <v>4.79</v>
      </c>
    </row>
    <row r="3256" ht="15" customFormat="1" customHeight="1" s="5">
      <c r="A3256" s="81" t="n">
        <v>45778</v>
      </c>
      <c r="B3256" s="82" t="n">
        <v>0.4194444444444445</v>
      </c>
      <c r="C3256" s="5" t="inlineStr">
        <is>
          <t>Safeway</t>
        </is>
      </c>
      <c r="E3256" s="5" t="n">
        <v>1</v>
      </c>
      <c r="F3256" s="6" t="inlineStr">
        <is>
          <t>2612 54 41 8854</t>
        </is>
      </c>
      <c r="G3256" s="7" t="n"/>
      <c r="H3256" s="9" t="inlineStr">
        <is>
          <t>Mission Tortilla Chips Rounds</t>
        </is>
      </c>
      <c r="I3256" s="9" t="n">
        <v>11</v>
      </c>
      <c r="J3256" s="9" t="inlineStr">
        <is>
          <t>oz</t>
        </is>
      </c>
      <c r="K3256" s="9" t="n">
        <v>4.79</v>
      </c>
    </row>
    <row r="3257" ht="15" customFormat="1" customHeight="1" s="5">
      <c r="A3257" s="81" t="n">
        <v>45778</v>
      </c>
      <c r="B3257" s="82" t="n">
        <v>0.4194444444444445</v>
      </c>
      <c r="C3257" s="5" t="inlineStr">
        <is>
          <t>Safeway</t>
        </is>
      </c>
      <c r="E3257" s="5" t="n">
        <v>1</v>
      </c>
      <c r="F3257" s="6" t="inlineStr">
        <is>
          <t>2612 54 41 8854</t>
        </is>
      </c>
      <c r="G3257" s="7" t="n"/>
      <c r="H3257" s="9" t="inlineStr">
        <is>
          <t>Stawberries</t>
        </is>
      </c>
      <c r="I3257" s="9" t="n">
        <v>1</v>
      </c>
      <c r="J3257" s="9" t="inlineStr">
        <is>
          <t>lb</t>
        </is>
      </c>
      <c r="K3257" s="9" t="n">
        <v>3.99</v>
      </c>
    </row>
    <row r="3258" ht="15" customFormat="1" customHeight="1" s="5">
      <c r="A3258" s="81" t="n">
        <v>45778</v>
      </c>
      <c r="B3258" s="82" t="n">
        <v>0.4194444444444445</v>
      </c>
      <c r="C3258" s="5" t="inlineStr">
        <is>
          <t>Safeway</t>
        </is>
      </c>
      <c r="E3258" s="5" t="n">
        <v>1</v>
      </c>
      <c r="F3258" s="6" t="inlineStr">
        <is>
          <t>2612 54 41 8854</t>
        </is>
      </c>
      <c r="G3258" s="7" t="n"/>
      <c r="H3258" s="9" t="inlineStr">
        <is>
          <t>2 LARGE Mangos</t>
        </is>
      </c>
      <c r="I3258" s="9" t="n">
        <v>2</v>
      </c>
      <c r="J3258" s="9" t="inlineStr">
        <is>
          <t>cnt</t>
        </is>
      </c>
      <c r="K3258" s="9" t="n">
        <v>3.98</v>
      </c>
    </row>
    <row r="3259" ht="15" customFormat="1" customHeight="1" s="5">
      <c r="A3259" s="81" t="n">
        <v>45778</v>
      </c>
      <c r="B3259" s="82" t="n">
        <v>0.4194444444444445</v>
      </c>
      <c r="C3259" s="5" t="inlineStr">
        <is>
          <t>Safeway</t>
        </is>
      </c>
      <c r="E3259" s="5" t="n">
        <v>1</v>
      </c>
      <c r="F3259" s="6" t="inlineStr">
        <is>
          <t>2612 54 41 8854</t>
        </is>
      </c>
      <c r="G3259" s="7" t="n"/>
      <c r="H3259" s="9" t="inlineStr">
        <is>
          <t>Enchilada Sauce Las Palmas</t>
        </is>
      </c>
      <c r="I3259" s="9" t="n">
        <v>28</v>
      </c>
      <c r="J3259" s="9" t="inlineStr">
        <is>
          <t>oz</t>
        </is>
      </c>
      <c r="K3259" s="9" t="n">
        <v>3.49</v>
      </c>
    </row>
    <row r="3260" ht="15" customFormat="1" customHeight="1" s="5">
      <c r="A3260" s="81" t="n">
        <v>45778</v>
      </c>
      <c r="B3260" s="82" t="n">
        <v>0.4194444444444445</v>
      </c>
      <c r="C3260" s="5" t="inlineStr">
        <is>
          <t>Safeway</t>
        </is>
      </c>
      <c r="E3260" s="5" t="n">
        <v>1</v>
      </c>
      <c r="F3260" s="6" t="inlineStr">
        <is>
          <t>2612 54 41 8854</t>
        </is>
      </c>
      <c r="G3260" s="7" t="n"/>
      <c r="H3260" s="9" t="inlineStr">
        <is>
          <t>Mission Tortilla Yellow Tortillas 30 count</t>
        </is>
      </c>
      <c r="I3260" s="9" t="n">
        <v>25</v>
      </c>
      <c r="J3260" s="9" t="inlineStr">
        <is>
          <t>oz</t>
        </is>
      </c>
      <c r="K3260" s="9" t="n">
        <v>3.29</v>
      </c>
    </row>
    <row r="3261" ht="15" customFormat="1" customHeight="1" s="5">
      <c r="A3261" s="81" t="n">
        <v>45778</v>
      </c>
      <c r="B3261" s="82" t="n">
        <v>0.4194444444444445</v>
      </c>
      <c r="C3261" s="5" t="inlineStr">
        <is>
          <t>Safeway</t>
        </is>
      </c>
      <c r="E3261" s="5" t="n">
        <v>1</v>
      </c>
      <c r="F3261" s="6" t="inlineStr">
        <is>
          <t>2612 54 41 8854</t>
        </is>
      </c>
      <c r="G3261" s="7" t="n"/>
      <c r="H3261" s="9" t="inlineStr">
        <is>
          <t>Signature Select Chunky Salsa MILD</t>
        </is>
      </c>
      <c r="I3261" s="9" t="n">
        <v>16</v>
      </c>
      <c r="J3261" s="9" t="inlineStr">
        <is>
          <t>oz</t>
        </is>
      </c>
      <c r="K3261" s="9" t="n">
        <v>2.49</v>
      </c>
    </row>
    <row r="3262" ht="15" customFormat="1" customHeight="1" s="5">
      <c r="A3262" s="81" t="n">
        <v>45778</v>
      </c>
      <c r="B3262" s="82" t="n">
        <v>0.4194444444444445</v>
      </c>
      <c r="C3262" s="5" t="inlineStr">
        <is>
          <t>Safeway</t>
        </is>
      </c>
      <c r="E3262" s="5" t="n">
        <v>1</v>
      </c>
      <c r="F3262" s="6" t="inlineStr">
        <is>
          <t>2612 54 41 8854</t>
        </is>
      </c>
      <c r="G3262" s="7" t="n"/>
      <c r="H3262" s="9" t="inlineStr">
        <is>
          <t>Signature Select Chunky Salsa MEDIUM</t>
        </is>
      </c>
      <c r="I3262" s="9" t="n">
        <v>16</v>
      </c>
      <c r="J3262" s="9" t="inlineStr">
        <is>
          <t>oz</t>
        </is>
      </c>
      <c r="K3262" s="9" t="n">
        <v>2.49</v>
      </c>
    </row>
    <row r="3263" ht="15" customFormat="1" customHeight="1" s="5">
      <c r="A3263" s="81" t="n">
        <v>45778</v>
      </c>
      <c r="B3263" s="82" t="n">
        <v>0.4194444444444445</v>
      </c>
      <c r="C3263" s="5" t="inlineStr">
        <is>
          <t>Safeway</t>
        </is>
      </c>
      <c r="E3263" s="5" t="n">
        <v>1</v>
      </c>
      <c r="F3263" s="6" t="inlineStr">
        <is>
          <t>2612 54 41 8854</t>
        </is>
      </c>
      <c r="G3263" s="7" t="n"/>
      <c r="H3263" s="9" t="inlineStr">
        <is>
          <t>O Organic Black Beans No Added Salt</t>
        </is>
      </c>
      <c r="I3263" s="9" t="n">
        <v>15</v>
      </c>
      <c r="J3263" s="9" t="inlineStr">
        <is>
          <t>oz</t>
        </is>
      </c>
      <c r="K3263" s="9" t="n">
        <v>2.29</v>
      </c>
    </row>
    <row r="3264" ht="15" customFormat="1" customHeight="1" s="5">
      <c r="A3264" s="81" t="n">
        <v>45778</v>
      </c>
      <c r="B3264" s="82" t="n">
        <v>0.4194444444444445</v>
      </c>
      <c r="C3264" s="5" t="inlineStr">
        <is>
          <t>Safeway</t>
        </is>
      </c>
      <c r="E3264" s="5" t="n">
        <v>1</v>
      </c>
      <c r="F3264" s="6" t="inlineStr">
        <is>
          <t>2612 54 41 8854</t>
        </is>
      </c>
      <c r="G3264" s="7" t="n"/>
      <c r="H3264" s="9" t="inlineStr">
        <is>
          <t>Rosita Refried Beans, 30% less sodium</t>
        </is>
      </c>
      <c r="I3264" s="9" t="n">
        <v>16</v>
      </c>
      <c r="J3264" s="9" t="inlineStr">
        <is>
          <t>oz</t>
        </is>
      </c>
      <c r="K3264" s="9" t="n">
        <v>1.59</v>
      </c>
    </row>
    <row r="3265" ht="15" customFormat="1" customHeight="1" s="5">
      <c r="A3265" s="81" t="n">
        <v>45778</v>
      </c>
      <c r="B3265" s="82" t="n">
        <v>0.4194444444444445</v>
      </c>
      <c r="C3265" s="5" t="inlineStr">
        <is>
          <t>Safeway</t>
        </is>
      </c>
      <c r="E3265" s="5" t="n">
        <v>1</v>
      </c>
      <c r="F3265" s="6" t="inlineStr">
        <is>
          <t>2612 54 41 8854</t>
        </is>
      </c>
      <c r="G3265" s="7" t="n"/>
      <c r="H3265" s="9" t="inlineStr">
        <is>
          <t>**DISCOUNT** Basket Savings</t>
        </is>
      </c>
      <c r="I3265" s="9" t="n">
        <v>1</v>
      </c>
      <c r="J3265" s="9" t="inlineStr">
        <is>
          <t>cnt</t>
        </is>
      </c>
      <c r="K3265" s="9" t="n">
        <v>-10</v>
      </c>
    </row>
    <row r="3266" ht="15" customFormat="1" customHeight="1" s="5">
      <c r="A3266" s="81" t="n">
        <v>45778</v>
      </c>
      <c r="B3266" s="82" t="n">
        <v>0.4194444444444445</v>
      </c>
      <c r="C3266" s="5" t="inlineStr">
        <is>
          <t>Safeway</t>
        </is>
      </c>
      <c r="E3266" s="5" t="n">
        <v>1</v>
      </c>
      <c r="F3266" s="6" t="inlineStr">
        <is>
          <t>2612 54 41 8854</t>
        </is>
      </c>
      <c r="G3266" s="7" t="n"/>
      <c r="H3266" s="9" t="inlineStr">
        <is>
          <t>**DISCOUNT** forU Store Coupon</t>
        </is>
      </c>
      <c r="I3266" s="9" t="n">
        <v>14</v>
      </c>
      <c r="J3266" s="9" t="inlineStr">
        <is>
          <t>cnt</t>
        </is>
      </c>
      <c r="K3266" s="9" t="n">
        <v>-25.42</v>
      </c>
    </row>
    <row r="3267" ht="15" customFormat="1" customHeight="1" s="5">
      <c r="A3267" s="81" t="n">
        <v>45778</v>
      </c>
      <c r="B3267" s="82" t="n">
        <v>0.4145833333333334</v>
      </c>
      <c r="C3267" s="5" t="inlineStr">
        <is>
          <t>Starbucks</t>
        </is>
      </c>
      <c r="E3267" s="5" t="n">
        <v>1</v>
      </c>
      <c r="F3267" s="6" t="inlineStr">
        <is>
          <t>2612 47 36 4129</t>
        </is>
      </c>
      <c r="G3267" s="7" t="n"/>
      <c r="H3267" s="9" t="inlineStr">
        <is>
          <t>Chai Tea Latte Grande Cherry Cold Foam -- Coconut Milk</t>
        </is>
      </c>
      <c r="I3267" s="9" t="n">
        <v>32</v>
      </c>
      <c r="J3267" s="9" t="inlineStr">
        <is>
          <t>fl oz</t>
        </is>
      </c>
      <c r="K3267" s="9" t="n">
        <v>5.45</v>
      </c>
    </row>
    <row r="3268" ht="15" customFormat="1" customHeight="1" s="5">
      <c r="A3268" s="81" t="n">
        <v>45778</v>
      </c>
      <c r="B3268" s="82" t="n">
        <v>0.4145833333333334</v>
      </c>
      <c r="C3268" s="5" t="inlineStr">
        <is>
          <t>Starbucks</t>
        </is>
      </c>
      <c r="E3268" s="5" t="n">
        <v>1</v>
      </c>
      <c r="F3268" s="6" t="inlineStr">
        <is>
          <t>2612 47 36 4129</t>
        </is>
      </c>
      <c r="G3268" s="7" t="n"/>
      <c r="H3268" s="9" t="inlineStr">
        <is>
          <t>Cold Espresso Shot</t>
        </is>
      </c>
      <c r="I3268" s="9" t="n">
        <v>1</v>
      </c>
      <c r="J3268" s="9" t="inlineStr">
        <is>
          <t>fl oz</t>
        </is>
      </c>
      <c r="K3268" s="9" t="n">
        <v>1.25</v>
      </c>
    </row>
    <row r="3269" ht="15" customFormat="1" customHeight="1" s="5">
      <c r="A3269" s="81" t="n">
        <v>45778</v>
      </c>
      <c r="B3269" s="82" t="n">
        <v>0.4145833333333334</v>
      </c>
      <c r="C3269" s="5" t="inlineStr">
        <is>
          <t>Starbucks</t>
        </is>
      </c>
      <c r="E3269" s="5" t="n">
        <v>1</v>
      </c>
      <c r="F3269" s="6" t="inlineStr">
        <is>
          <t>2612 47 36 4129</t>
        </is>
      </c>
      <c r="G3269" s="7" t="n"/>
      <c r="H3269" s="9" t="inlineStr">
        <is>
          <t>Tax</t>
        </is>
      </c>
      <c r="I3269" s="9" t="n">
        <v>32</v>
      </c>
      <c r="J3269" s="9" t="inlineStr">
        <is>
          <t>fl oz</t>
        </is>
      </c>
      <c r="K3269" s="9" t="n">
        <v>0.43</v>
      </c>
    </row>
    <row r="3270" ht="15" customFormat="1" customHeight="1" s="5">
      <c r="A3270" s="81" t="n">
        <v>45778</v>
      </c>
      <c r="B3270" s="82" t="n">
        <v>0.4145833333333334</v>
      </c>
      <c r="C3270" s="5" t="inlineStr">
        <is>
          <t>Starbucks</t>
        </is>
      </c>
      <c r="E3270" s="5" t="n">
        <v>1</v>
      </c>
      <c r="F3270" s="6" t="inlineStr">
        <is>
          <t>2612 47 36 4129</t>
        </is>
      </c>
      <c r="G3270" s="7" t="n"/>
      <c r="H3270" s="9" t="inlineStr">
        <is>
          <t>**DISCOUNT** Basket Savings</t>
        </is>
      </c>
      <c r="I3270" s="9" t="n">
        <v>32</v>
      </c>
      <c r="J3270" s="9" t="inlineStr">
        <is>
          <t>fl oz</t>
        </is>
      </c>
      <c r="K3270" s="9" t="n">
        <v>-1.29</v>
      </c>
    </row>
    <row r="3271" ht="15" customFormat="1" customHeight="1" s="5">
      <c r="A3271" s="81" t="n">
        <v>45778</v>
      </c>
      <c r="B3271" s="82" t="n">
        <v>0.2916666666666667</v>
      </c>
      <c r="C3271" s="5" t="inlineStr">
        <is>
          <t>Lakeview Mortgage (??)</t>
        </is>
      </c>
      <c r="D3271" s="5" t="n">
        <v>1</v>
      </c>
      <c r="F3271" s="6" t="inlineStr">
        <is>
          <t>0068721927_03</t>
        </is>
      </c>
      <c r="G3271" s="10" t="n"/>
      <c r="H3271" s="9" t="inlineStr">
        <is>
          <t>Interest</t>
        </is>
      </c>
      <c r="I3271" s="9" t="n"/>
      <c r="J3271" s="9" t="n"/>
      <c r="K3271" s="9" t="n">
        <v>1166.5</v>
      </c>
    </row>
    <row r="3272" ht="15" customFormat="1" customHeight="1" s="5">
      <c r="A3272" s="81" t="n">
        <v>45778</v>
      </c>
      <c r="B3272" s="82" t="n">
        <v>0.2916666666666667</v>
      </c>
      <c r="C3272" s="5" t="inlineStr">
        <is>
          <t>Lakeview Mortgage (??)</t>
        </is>
      </c>
      <c r="D3272" s="5" t="n">
        <v>1</v>
      </c>
      <c r="F3272" s="6" t="inlineStr">
        <is>
          <t>0068721927_03</t>
        </is>
      </c>
      <c r="G3272" s="10" t="n"/>
      <c r="H3272" s="9" t="inlineStr">
        <is>
          <t>Principal</t>
        </is>
      </c>
      <c r="I3272" s="9" t="n"/>
      <c r="J3272" s="9" t="n"/>
      <c r="K3272" s="9" t="n">
        <v>247.98</v>
      </c>
    </row>
    <row r="3273" ht="15" customFormat="1" customHeight="1" s="5">
      <c r="A3273" s="81" t="n">
        <v>45778</v>
      </c>
      <c r="B3273" s="82" t="n">
        <v>0.2916666666666667</v>
      </c>
      <c r="C3273" s="5" t="inlineStr">
        <is>
          <t>Lakeview Mortgage (??)</t>
        </is>
      </c>
      <c r="D3273" s="5" t="n">
        <v>1</v>
      </c>
      <c r="F3273" s="6" t="inlineStr">
        <is>
          <t>0068721927_03</t>
        </is>
      </c>
      <c r="G3273" s="10" t="n"/>
      <c r="H3273" s="9" t="inlineStr">
        <is>
          <t>Taxes and Insurance ESCROW</t>
        </is>
      </c>
      <c r="I3273" s="9" t="n"/>
      <c r="J3273" s="9" t="n"/>
      <c r="K3273" s="9" t="n">
        <v>156.8</v>
      </c>
    </row>
    <row r="3274" ht="15" customFormat="1" customHeight="1" s="5">
      <c r="A3274" s="81" t="n">
        <v>45778</v>
      </c>
      <c r="B3274" s="82" t="n">
        <v>0.2916666666666667</v>
      </c>
      <c r="C3274" s="5" t="inlineStr">
        <is>
          <t>YMCA</t>
        </is>
      </c>
      <c r="D3274" s="5" t="n">
        <v>1</v>
      </c>
      <c r="F3274" s="6" t="inlineStr">
        <is>
          <t>24207175</t>
        </is>
      </c>
      <c r="G3274" s="7" t="n"/>
      <c r="H3274" s="9" t="inlineStr">
        <is>
          <t>May YMCA monthly dues</t>
        </is>
      </c>
      <c r="I3274" s="9" t="n">
        <v>1</v>
      </c>
      <c r="J3274" s="9" t="inlineStr">
        <is>
          <t>cnt</t>
        </is>
      </c>
      <c r="K3274" s="9" t="n">
        <v>65</v>
      </c>
    </row>
    <row r="3275" ht="15" customFormat="1" customHeight="1" s="5">
      <c r="A3275" s="81" t="n">
        <v>45777</v>
      </c>
      <c r="B3275" s="82" t="n">
        <v>0.7486111111111111</v>
      </c>
      <c r="C3275" s="5" t="inlineStr">
        <is>
          <t>Panera Bread</t>
        </is>
      </c>
      <c r="E3275" s="5" t="n">
        <v>1</v>
      </c>
      <c r="F3275" s="6" t="inlineStr">
        <is>
          <t>PaneraDate01</t>
        </is>
      </c>
      <c r="G3275" s="7" t="n"/>
      <c r="H3275" s="9" t="inlineStr">
        <is>
          <t>Pick2: Half Grilled Cheese + Half grilled Chicken Avo BLT + chips</t>
        </is>
      </c>
      <c r="I3275" s="9" t="n">
        <v>1</v>
      </c>
      <c r="J3275" s="9" t="inlineStr">
        <is>
          <t>cnt</t>
        </is>
      </c>
      <c r="K3275" s="9" t="n">
        <v>15.58</v>
      </c>
    </row>
    <row r="3276" ht="15" customFormat="1" customHeight="1" s="5">
      <c r="A3276" s="81" t="n">
        <v>45777</v>
      </c>
      <c r="B3276" s="82" t="n">
        <v>0.7486111111111111</v>
      </c>
      <c r="C3276" s="5" t="inlineStr">
        <is>
          <t>Panera Bread</t>
        </is>
      </c>
      <c r="E3276" s="5" t="n">
        <v>1</v>
      </c>
      <c r="F3276" s="6" t="inlineStr">
        <is>
          <t>PaneraDate01</t>
        </is>
      </c>
      <c r="G3276" s="7" t="n"/>
      <c r="H3276" s="9" t="inlineStr">
        <is>
          <t>Panera Duet: Tomato soup + grilled cheese + Baguette</t>
        </is>
      </c>
      <c r="I3276" s="9" t="n">
        <v>1</v>
      </c>
      <c r="J3276" s="9" t="inlineStr">
        <is>
          <t>cnt</t>
        </is>
      </c>
      <c r="K3276" s="9" t="n">
        <v>8.99</v>
      </c>
    </row>
    <row r="3277" ht="15" customFormat="1" customHeight="1" s="5">
      <c r="A3277" s="81" t="n">
        <v>45777</v>
      </c>
      <c r="B3277" s="82" t="n">
        <v>0.7486111111111111</v>
      </c>
      <c r="C3277" s="5" t="inlineStr">
        <is>
          <t>Panera Bread</t>
        </is>
      </c>
      <c r="E3277" s="5" t="n">
        <v>1</v>
      </c>
      <c r="F3277" s="6" t="inlineStr">
        <is>
          <t>PaneraDate01</t>
        </is>
      </c>
      <c r="G3277" s="7" t="n"/>
      <c r="H3277" s="9" t="inlineStr">
        <is>
          <t>Tax</t>
        </is>
      </c>
      <c r="I3277" s="9" t="n">
        <v>2</v>
      </c>
      <c r="J3277" s="9" t="inlineStr">
        <is>
          <t>cnt</t>
        </is>
      </c>
      <c r="K3277" s="9" t="n">
        <v>1.34</v>
      </c>
    </row>
    <row r="3278" ht="15" customFormat="1" customHeight="1" s="5">
      <c r="A3278" s="81" t="n">
        <v>45777</v>
      </c>
      <c r="B3278" s="82" t="n">
        <v>0.7486111111111111</v>
      </c>
      <c r="C3278" s="5" t="inlineStr">
        <is>
          <t>Panera Bread</t>
        </is>
      </c>
      <c r="E3278" s="5" t="n">
        <v>1</v>
      </c>
      <c r="F3278" s="6" t="inlineStr">
        <is>
          <t>PaneraDate01</t>
        </is>
      </c>
      <c r="G3278" s="7" t="n"/>
      <c r="H3278" s="9" t="inlineStr">
        <is>
          <t>**DISCOUNT** 50% off you-pick-two</t>
        </is>
      </c>
      <c r="I3278" s="9" t="n">
        <v>1</v>
      </c>
      <c r="J3278" s="9" t="inlineStr">
        <is>
          <t>cnt</t>
        </is>
      </c>
      <c r="K3278" s="9" t="n">
        <v>-7.79</v>
      </c>
    </row>
    <row r="3279" ht="15" customFormat="1" customHeight="1" s="5">
      <c r="A3279" s="81" t="n">
        <v>45777</v>
      </c>
      <c r="B3279" s="82" t="n">
        <v>0.7486111111111111</v>
      </c>
      <c r="C3279" s="5" t="inlineStr">
        <is>
          <t>Panera Bread</t>
        </is>
      </c>
      <c r="E3279" s="5" t="n">
        <v>1</v>
      </c>
      <c r="F3279" s="6" t="inlineStr">
        <is>
          <t>PaneraDate01</t>
        </is>
      </c>
      <c r="G3279" s="7" t="n"/>
      <c r="H3279" s="9" t="inlineStr">
        <is>
          <t>GIFT CARDS FROM MARY WU!</t>
        </is>
      </c>
      <c r="I3279" s="9" t="n">
        <v>3</v>
      </c>
      <c r="J3279" s="9" t="inlineStr">
        <is>
          <t>cnt</t>
        </is>
      </c>
      <c r="K3279" s="9" t="n">
        <v>-18.12</v>
      </c>
    </row>
    <row r="3280" ht="15" customFormat="1" customHeight="1" s="5">
      <c r="A3280" s="81" t="n">
        <v>45777</v>
      </c>
      <c r="B3280" s="82" t="n">
        <v>0.2916666666666667</v>
      </c>
      <c r="C3280" s="5" t="inlineStr">
        <is>
          <t>Amazon</t>
        </is>
      </c>
      <c r="D3280" s="5" t="n">
        <v>1</v>
      </c>
      <c r="F3280" s="16" t="inlineStr">
        <is>
          <t>#D01-8566117-9920264</t>
        </is>
      </c>
      <c r="G3280" s="10" t="n"/>
      <c r="H3280" s="9" t="inlineStr">
        <is>
          <t>Amazon Prime* TBD Amzn.com/bill WA</t>
        </is>
      </c>
      <c r="I3280" s="9" t="n">
        <v>1</v>
      </c>
      <c r="J3280" s="9" t="inlineStr">
        <is>
          <t>cnt</t>
        </is>
      </c>
      <c r="K3280" s="9" t="n">
        <v>8.09</v>
      </c>
    </row>
    <row r="3281" ht="15" customFormat="1" customHeight="1" s="5">
      <c r="A3281" s="81" t="n">
        <v>45777</v>
      </c>
      <c r="B3281" s="82" t="n">
        <v>0.2916666666666667</v>
      </c>
      <c r="C3281" s="5" t="inlineStr">
        <is>
          <t>NFCU</t>
        </is>
      </c>
      <c r="D3281" s="5" t="n">
        <v>1</v>
      </c>
      <c r="F3281" s="6" t="n"/>
      <c r="G3281" s="7" t="n"/>
      <c r="H3281" s="9" t="inlineStr">
        <is>
          <t>NFCU Savings Divident</t>
        </is>
      </c>
      <c r="I3281" s="9" t="n">
        <v>1</v>
      </c>
      <c r="J3281" s="9" t="inlineStr">
        <is>
          <t>cnt</t>
        </is>
      </c>
      <c r="K3281" s="9" t="n">
        <v>-6.75</v>
      </c>
    </row>
    <row r="3282" ht="15" customFormat="1" customHeight="1" s="5">
      <c r="A3282" s="81" t="n">
        <v>45776</v>
      </c>
      <c r="B3282" s="82" t="n">
        <v>0.7178703703703704</v>
      </c>
      <c r="C3282" s="5" t="inlineStr">
        <is>
          <t>Mr. Bakery</t>
        </is>
      </c>
      <c r="E3282" s="5" t="n">
        <v>1</v>
      </c>
      <c r="F3282" s="6" t="inlineStr">
        <is>
          <t>000043</t>
        </is>
      </c>
      <c r="G3282" s="7" t="n"/>
      <c r="H3282" s="9" t="inlineStr">
        <is>
          <t>Raspberry Pastry</t>
        </is>
      </c>
      <c r="I3282" s="9" t="n">
        <v>1</v>
      </c>
      <c r="J3282" s="9" t="inlineStr">
        <is>
          <t>cnt</t>
        </is>
      </c>
      <c r="K3282" s="9" t="n">
        <v>3.5</v>
      </c>
    </row>
    <row r="3283" ht="15" customFormat="1" customHeight="1" s="5">
      <c r="A3283" s="81" t="n">
        <v>45776</v>
      </c>
      <c r="B3283" s="82" t="n">
        <v>0.7178703703703704</v>
      </c>
      <c r="C3283" s="5" t="inlineStr">
        <is>
          <t>Mr. Bakery</t>
        </is>
      </c>
      <c r="E3283" s="5" t="n">
        <v>1</v>
      </c>
      <c r="F3283" s="6" t="inlineStr">
        <is>
          <t>000043</t>
        </is>
      </c>
      <c r="G3283" s="7" t="n"/>
      <c r="H3283" s="9" t="inlineStr">
        <is>
          <t>Potato Garoke</t>
        </is>
      </c>
      <c r="I3283" s="9" t="n">
        <v>1</v>
      </c>
      <c r="J3283" s="9" t="inlineStr">
        <is>
          <t>cnt</t>
        </is>
      </c>
      <c r="K3283" s="9" t="n">
        <v>3.5</v>
      </c>
    </row>
    <row r="3284" ht="15" customFormat="1" customHeight="1" s="5">
      <c r="A3284" s="81" t="n">
        <v>45776</v>
      </c>
      <c r="B3284" s="82" t="n">
        <v>0.7178703703703704</v>
      </c>
      <c r="C3284" s="5" t="inlineStr">
        <is>
          <t>Mr. Bakery</t>
        </is>
      </c>
      <c r="E3284" s="5" t="n">
        <v>1</v>
      </c>
      <c r="F3284" s="6" t="inlineStr">
        <is>
          <t>000043</t>
        </is>
      </c>
      <c r="G3284" s="7" t="n"/>
      <c r="H3284" s="9" t="inlineStr">
        <is>
          <t>Walnut Almond Bun</t>
        </is>
      </c>
      <c r="I3284" s="9" t="n">
        <v>1</v>
      </c>
      <c r="J3284" s="9" t="inlineStr">
        <is>
          <t>cnt</t>
        </is>
      </c>
      <c r="K3284" s="9" t="n">
        <v>2.5</v>
      </c>
    </row>
    <row r="3285" ht="15" customFormat="1" customHeight="1" s="5">
      <c r="A3285" s="81" t="n">
        <v>45776</v>
      </c>
      <c r="B3285" s="82" t="n">
        <v>0.7178703703703704</v>
      </c>
      <c r="C3285" s="5" t="inlineStr">
        <is>
          <t>Mr. Bakery</t>
        </is>
      </c>
      <c r="E3285" s="5" t="n">
        <v>1</v>
      </c>
      <c r="F3285" s="6" t="inlineStr">
        <is>
          <t>000043</t>
        </is>
      </c>
      <c r="G3285" s="7" t="n"/>
      <c r="H3285" s="9" t="inlineStr">
        <is>
          <t>Sausage Bun</t>
        </is>
      </c>
      <c r="I3285" s="9" t="n">
        <v>1</v>
      </c>
      <c r="J3285" s="9" t="inlineStr">
        <is>
          <t>cnt</t>
        </is>
      </c>
      <c r="K3285" s="9" t="n">
        <v>2.5</v>
      </c>
    </row>
    <row r="3286" ht="15" customFormat="1" customHeight="1" s="5">
      <c r="A3286" s="81" t="n">
        <v>45776</v>
      </c>
      <c r="B3286" s="82" t="n">
        <v>0.7178703703703704</v>
      </c>
      <c r="C3286" s="5" t="inlineStr">
        <is>
          <t>Mr. Bakery</t>
        </is>
      </c>
      <c r="E3286" s="5" t="n">
        <v>1</v>
      </c>
      <c r="F3286" s="6" t="inlineStr">
        <is>
          <t>000043</t>
        </is>
      </c>
      <c r="G3286" s="7" t="n"/>
      <c r="H3286" s="9" t="inlineStr">
        <is>
          <t>Tax</t>
        </is>
      </c>
      <c r="I3286" s="9" t="n">
        <v>4</v>
      </c>
      <c r="J3286" s="9" t="inlineStr">
        <is>
          <t>cnt</t>
        </is>
      </c>
      <c r="K3286" s="9" t="n">
        <v>0</v>
      </c>
    </row>
    <row r="3287" ht="15" customFormat="1" customHeight="1" s="5">
      <c r="A3287" s="81" t="n">
        <v>45776</v>
      </c>
      <c r="B3287" s="82" t="n">
        <v>0.7143518518518519</v>
      </c>
      <c r="C3287" s="5" t="inlineStr">
        <is>
          <t>H-Mart</t>
        </is>
      </c>
      <c r="E3287" s="5" t="n">
        <v>1</v>
      </c>
      <c r="F3287" s="6" t="inlineStr">
        <is>
          <t>13405 036996</t>
        </is>
      </c>
      <c r="G3287" s="7" t="n"/>
      <c r="H3287" s="9" t="inlineStr">
        <is>
          <t>BTB Rice Bermicelli</t>
        </is>
      </c>
      <c r="I3287" s="9" t="n">
        <v>2</v>
      </c>
      <c r="J3287" s="9" t="inlineStr">
        <is>
          <t>lb</t>
        </is>
      </c>
      <c r="K3287" s="9" t="n">
        <v>4.99</v>
      </c>
    </row>
    <row r="3288" ht="15" customFormat="1" customHeight="1" s="5">
      <c r="A3288" s="81" t="n">
        <v>45776</v>
      </c>
      <c r="B3288" s="82" t="n">
        <v>0.7143518518518519</v>
      </c>
      <c r="C3288" s="5" t="inlineStr">
        <is>
          <t>H-Mart</t>
        </is>
      </c>
      <c r="E3288" s="5" t="n">
        <v>1</v>
      </c>
      <c r="F3288" s="6" t="inlineStr">
        <is>
          <t>13405 036996</t>
        </is>
      </c>
      <c r="G3288" s="7" t="n"/>
      <c r="H3288" s="9" t="inlineStr">
        <is>
          <t>DF 3mm Instant Noodle Package (pad thai noodle)</t>
        </is>
      </c>
      <c r="I3288" s="9" t="n">
        <v>28</v>
      </c>
      <c r="J3288" s="9" t="inlineStr">
        <is>
          <t>oz</t>
        </is>
      </c>
      <c r="K3288" s="9" t="n">
        <v>4.49</v>
      </c>
    </row>
    <row r="3289" ht="15" customFormat="1" customHeight="1" s="5">
      <c r="A3289" s="81" t="n">
        <v>45776</v>
      </c>
      <c r="B3289" s="82" t="n">
        <v>0.7143518518518519</v>
      </c>
      <c r="C3289" s="5" t="inlineStr">
        <is>
          <t>H-Mart</t>
        </is>
      </c>
      <c r="E3289" s="5" t="n">
        <v>1</v>
      </c>
      <c r="F3289" s="6" t="inlineStr">
        <is>
          <t>13405 036996</t>
        </is>
      </c>
      <c r="G3289" s="7" t="n"/>
      <c r="H3289" s="9" t="inlineStr">
        <is>
          <t>GC almond Gelatin Dessert</t>
        </is>
      </c>
      <c r="I3289" s="9" t="n">
        <v>7</v>
      </c>
      <c r="J3289" s="9" t="inlineStr">
        <is>
          <t>oz</t>
        </is>
      </c>
      <c r="K3289" s="9" t="n">
        <v>2.99</v>
      </c>
    </row>
    <row r="3290" ht="15" customFormat="1" customHeight="1" s="5">
      <c r="A3290" s="81" t="n">
        <v>45776</v>
      </c>
      <c r="B3290" s="82" t="n">
        <v>0.7143518518518519</v>
      </c>
      <c r="C3290" s="5" t="inlineStr">
        <is>
          <t>H-Mart</t>
        </is>
      </c>
      <c r="E3290" s="5" t="n">
        <v>1</v>
      </c>
      <c r="F3290" s="6" t="inlineStr">
        <is>
          <t>13405 036996</t>
        </is>
      </c>
      <c r="G3290" s="7" t="n"/>
      <c r="H3290" s="9" t="inlineStr">
        <is>
          <t>3Ladies Rice Paper 22cm</t>
        </is>
      </c>
      <c r="I3290" s="9" t="n">
        <v>12</v>
      </c>
      <c r="J3290" s="9" t="inlineStr">
        <is>
          <t>oz</t>
        </is>
      </c>
      <c r="K3290" s="9" t="n">
        <v>2.79</v>
      </c>
    </row>
    <row r="3291" ht="15" customFormat="1" customHeight="1" s="5">
      <c r="A3291" s="81" t="n">
        <v>45776</v>
      </c>
      <c r="B3291" s="82" t="n">
        <v>0.7143518518518519</v>
      </c>
      <c r="C3291" s="5" t="inlineStr">
        <is>
          <t>H-Mart</t>
        </is>
      </c>
      <c r="E3291" s="5" t="n">
        <v>1</v>
      </c>
      <c r="F3291" s="6" t="inlineStr">
        <is>
          <t>13405 036996</t>
        </is>
      </c>
      <c r="G3291" s="7" t="n"/>
      <c r="H3291" s="9" t="inlineStr">
        <is>
          <t>3Ladies Rice Paper 16cm</t>
        </is>
      </c>
      <c r="I3291" s="9" t="n">
        <v>12</v>
      </c>
      <c r="J3291" s="9" t="inlineStr">
        <is>
          <t>oz</t>
        </is>
      </c>
      <c r="K3291" s="9" t="n">
        <v>2.79</v>
      </c>
    </row>
    <row r="3292" ht="15" customFormat="1" customHeight="1" s="5">
      <c r="A3292" s="81" t="n">
        <v>45776</v>
      </c>
      <c r="B3292" s="82" t="n">
        <v>0.7143518518518519</v>
      </c>
      <c r="C3292" s="5" t="inlineStr">
        <is>
          <t>H-Mart</t>
        </is>
      </c>
      <c r="E3292" s="5" t="n">
        <v>1</v>
      </c>
      <c r="F3292" s="6" t="inlineStr">
        <is>
          <t>13405 036996</t>
        </is>
      </c>
      <c r="G3292" s="7" t="n"/>
      <c r="H3292" s="9" t="inlineStr">
        <is>
          <t>Shanghai Bok Choy YSA @$1.28/lb</t>
        </is>
      </c>
      <c r="I3292" s="9" t="n">
        <v>1.3</v>
      </c>
      <c r="J3292" s="9" t="inlineStr">
        <is>
          <t>lb</t>
        </is>
      </c>
      <c r="K3292" s="9" t="n">
        <v>1.66</v>
      </c>
    </row>
    <row r="3293" ht="15" customFormat="1" customHeight="1" s="5">
      <c r="A3293" s="81" t="n">
        <v>45776</v>
      </c>
      <c r="B3293" s="82" t="n">
        <v>0.7143518518518519</v>
      </c>
      <c r="C3293" s="5" t="inlineStr">
        <is>
          <t>H-Mart</t>
        </is>
      </c>
      <c r="E3293" s="5" t="n">
        <v>1</v>
      </c>
      <c r="F3293" s="6" t="inlineStr">
        <is>
          <t>13405 036996</t>
        </is>
      </c>
      <c r="G3293" s="7" t="n"/>
      <c r="H3293" s="9" t="inlineStr">
        <is>
          <t>Lime USA/MEXICO @$0.34/each</t>
        </is>
      </c>
      <c r="I3293" s="9" t="n">
        <v>3</v>
      </c>
      <c r="J3293" s="9" t="inlineStr">
        <is>
          <t>cnt</t>
        </is>
      </c>
      <c r="K3293" s="9" t="n">
        <v>1</v>
      </c>
    </row>
    <row r="3294" ht="15" customFormat="1" customHeight="1" s="5">
      <c r="A3294" s="81" t="n">
        <v>45776</v>
      </c>
      <c r="B3294" s="82" t="n">
        <v>0.7143518518518519</v>
      </c>
      <c r="C3294" s="5" t="inlineStr">
        <is>
          <t>H-Mart</t>
        </is>
      </c>
      <c r="E3294" s="5" t="n">
        <v>1</v>
      </c>
      <c r="F3294" s="6" t="inlineStr">
        <is>
          <t>13405 036996</t>
        </is>
      </c>
      <c r="G3294" s="7" t="n"/>
      <c r="H3294" s="9" t="inlineStr">
        <is>
          <t>Green Bell Pepper USA/Mexico @$1.28/lb</t>
        </is>
      </c>
      <c r="I3294" s="9" t="n">
        <v>0.47</v>
      </c>
      <c r="J3294" s="9" t="inlineStr">
        <is>
          <t>lb</t>
        </is>
      </c>
      <c r="K3294" s="9" t="n">
        <v>0.6</v>
      </c>
    </row>
    <row r="3295" ht="15" customFormat="1" customHeight="1" s="5">
      <c r="A3295" s="81" t="n">
        <v>45776</v>
      </c>
      <c r="B3295" s="82" t="n">
        <v>0.7143518518518519</v>
      </c>
      <c r="C3295" s="5" t="inlineStr">
        <is>
          <t>H-Mart</t>
        </is>
      </c>
      <c r="E3295" s="5" t="n">
        <v>1</v>
      </c>
      <c r="F3295" s="6" t="inlineStr">
        <is>
          <t>13405 036996</t>
        </is>
      </c>
      <c r="G3295" s="7" t="n"/>
      <c r="H3295" s="9" t="inlineStr">
        <is>
          <t xml:space="preserve">Green Onion Bunch </t>
        </is>
      </c>
      <c r="I3295" s="9" t="n">
        <v>1</v>
      </c>
      <c r="J3295" s="9" t="inlineStr">
        <is>
          <t>cnt</t>
        </is>
      </c>
      <c r="K3295" s="9" t="n">
        <v>0.55</v>
      </c>
    </row>
    <row r="3296" ht="15" customFormat="1" customHeight="1" s="5">
      <c r="A3296" s="81" t="n">
        <v>45776</v>
      </c>
      <c r="B3296" s="82" t="n">
        <v>0.7143518518518519</v>
      </c>
      <c r="C3296" s="5" t="inlineStr">
        <is>
          <t>H-Mart</t>
        </is>
      </c>
      <c r="E3296" s="5" t="n">
        <v>1</v>
      </c>
      <c r="F3296" s="6" t="inlineStr">
        <is>
          <t>13405 036996</t>
        </is>
      </c>
      <c r="G3296" s="7" t="n"/>
      <c r="H3296" s="9" t="inlineStr">
        <is>
          <t>Cilantro Bunch</t>
        </is>
      </c>
      <c r="I3296" s="9" t="n">
        <v>1</v>
      </c>
      <c r="J3296" s="9" t="inlineStr">
        <is>
          <t>cnt</t>
        </is>
      </c>
      <c r="K3296" s="9" t="n">
        <v>0.55</v>
      </c>
    </row>
    <row r="3297" ht="15" customFormat="1" customHeight="1" s="5">
      <c r="A3297" s="81" t="n">
        <v>45776</v>
      </c>
      <c r="B3297" s="82" t="n">
        <v>0.7143518518518519</v>
      </c>
      <c r="C3297" s="5" t="inlineStr">
        <is>
          <t>H-Mart</t>
        </is>
      </c>
      <c r="E3297" s="5" t="n">
        <v>1</v>
      </c>
      <c r="F3297" s="6" t="inlineStr">
        <is>
          <t>13405 036996</t>
        </is>
      </c>
      <c r="G3297" s="7" t="n"/>
      <c r="H3297" s="9" t="inlineStr">
        <is>
          <t>Tax</t>
        </is>
      </c>
      <c r="I3297" s="9" t="n">
        <v>11</v>
      </c>
      <c r="J3297" s="9" t="inlineStr">
        <is>
          <t>cnt</t>
        </is>
      </c>
      <c r="K3297" s="9" t="n">
        <v>0</v>
      </c>
    </row>
    <row r="3298" ht="15" customFormat="1" customHeight="1" s="5">
      <c r="A3298" s="81" t="n">
        <v>45776</v>
      </c>
      <c r="B3298" s="82" t="n">
        <v>0.2916666666666667</v>
      </c>
      <c r="C3298" s="5" t="inlineStr">
        <is>
          <t>Fidelity</t>
        </is>
      </c>
      <c r="D3298" s="5" t="n">
        <v>1</v>
      </c>
      <c r="F3298" s="6" t="inlineStr">
        <is>
          <t>HW-1051940266</t>
        </is>
      </c>
      <c r="G3298" s="10" t="inlineStr">
        <is>
          <t>ACH Debit - Fidelity Investm Med Paymnt 2100103</t>
        </is>
      </c>
      <c r="H3298" s="9" t="inlineStr">
        <is>
          <t>BCBS BASIC 15 days remaining coverage</t>
        </is>
      </c>
      <c r="I3298" s="9" t="n"/>
      <c r="J3298" s="9" t="n"/>
      <c r="K3298" s="9" t="n">
        <v>57.51</v>
      </c>
    </row>
    <row r="3299" ht="15" customFormat="1" customHeight="1" s="5">
      <c r="A3299" s="81" t="n">
        <v>45776</v>
      </c>
      <c r="B3299" s="82" t="n">
        <v>0.2916666666666667</v>
      </c>
      <c r="C3299" s="5" t="inlineStr">
        <is>
          <t>Fidelity</t>
        </is>
      </c>
      <c r="D3299" s="5" t="n">
        <v>1</v>
      </c>
      <c r="F3299" s="6" t="inlineStr">
        <is>
          <t>HW-1051940266</t>
        </is>
      </c>
      <c r="G3299" s="10" t="inlineStr">
        <is>
          <t>ACH Debit - Fidelity Investm Med Paymnt 2100103</t>
        </is>
      </c>
      <c r="H3299" s="9" t="inlineStr">
        <is>
          <t>Vision (Salaried) for me and Eli, 15 days</t>
        </is>
      </c>
      <c r="I3299" s="9" t="n"/>
      <c r="J3299" s="9" t="n"/>
      <c r="K3299" s="9" t="n">
        <v>14.98</v>
      </c>
    </row>
    <row r="3300" ht="15" customFormat="1" customHeight="1" s="5">
      <c r="A3300" s="81" t="n">
        <v>45776</v>
      </c>
      <c r="B3300" s="78" t="n">
        <v>0.2916666666666667</v>
      </c>
      <c r="C3300" s="5" t="inlineStr">
        <is>
          <t>BELLA Health + Wellness</t>
        </is>
      </c>
      <c r="D3300" s="5" t="n">
        <v>1</v>
      </c>
      <c r="F3300" s="16" t="inlineStr">
        <is>
          <t>NA_didNotGetChargedByAnyone</t>
        </is>
      </c>
      <c r="G3300" s="10" t="n"/>
      <c r="H3300" s="9" t="inlineStr">
        <is>
          <t xml:space="preserve">4/14 Lydia CLAIM DENIED Medical "Office O/p Est Low 20 Min" -- BELLA Health telemedicine first prenatal meeting -- double claim </t>
        </is>
      </c>
      <c r="I3300" s="9" t="n"/>
      <c r="J3300" s="9" t="n"/>
      <c r="K3300" s="9" t="n">
        <v>-373</v>
      </c>
    </row>
    <row r="3301" ht="15" customFormat="1" customHeight="1" s="5">
      <c r="A3301" s="81" t="n">
        <v>45776</v>
      </c>
      <c r="B3301" s="78" t="n">
        <v>0.2916666666666667</v>
      </c>
      <c r="C3301" s="5" t="inlineStr">
        <is>
          <t>BELLA Health + Wellness</t>
        </is>
      </c>
      <c r="D3301" s="5" t="n">
        <v>1</v>
      </c>
      <c r="F3301" s="16" t="inlineStr">
        <is>
          <t>NA_didNotGetChargedByAnyone</t>
        </is>
      </c>
      <c r="G3301" s="15" t="inlineStr">
        <is>
          <t>2025119BO0372</t>
        </is>
      </c>
      <c r="H3301" s="9" t="inlineStr">
        <is>
          <t xml:space="preserve">4/14 Lydia CLAIM DENIED Medical "Office O/p Est Low 20 Min" -- BELLA Health telemedicine first prenatal meeting -- double claim </t>
        </is>
      </c>
      <c r="I3301" s="9" t="n">
        <v>1</v>
      </c>
      <c r="J3301" s="9" t="inlineStr">
        <is>
          <t>cnt</t>
        </is>
      </c>
      <c r="K3301" s="9" t="n">
        <v>373</v>
      </c>
    </row>
    <row r="3302" ht="15" customFormat="1" customHeight="1" s="5">
      <c r="A3302" s="81" t="n">
        <v>45775</v>
      </c>
      <c r="B3302" s="82" t="n">
        <v>0.7916666666666666</v>
      </c>
      <c r="C3302" s="5" t="inlineStr">
        <is>
          <t>Costco</t>
        </is>
      </c>
      <c r="D3302" s="5" t="n">
        <v>1</v>
      </c>
      <c r="F3302" s="6" t="n"/>
      <c r="G3302" s="7" t="n"/>
      <c r="H3302" s="9" t="inlineStr">
        <is>
          <t>REFUND LATE FEE</t>
        </is>
      </c>
      <c r="I3302" s="9" t="n"/>
      <c r="J3302" s="9" t="n"/>
      <c r="K3302" s="9" t="n">
        <v>-29</v>
      </c>
    </row>
    <row r="3303" ht="15" customFormat="1" customHeight="1" s="5">
      <c r="A3303" s="81" t="n">
        <v>45775</v>
      </c>
      <c r="B3303" s="82" t="n">
        <v>0.7916666666666666</v>
      </c>
      <c r="C3303" s="5" t="inlineStr">
        <is>
          <t>Costco</t>
        </is>
      </c>
      <c r="D3303" s="5" t="n">
        <v>1</v>
      </c>
      <c r="F3303" s="6" t="n"/>
      <c r="G3303" s="7" t="n"/>
      <c r="H3303" s="9" t="inlineStr">
        <is>
          <t>REFUND CREDIT INTEREST CHARGES</t>
        </is>
      </c>
      <c r="I3303" s="9" t="n"/>
      <c r="J3303" s="9" t="n"/>
      <c r="K3303" s="9" t="n">
        <v>-14.73</v>
      </c>
    </row>
    <row r="3304" ht="15" customFormat="1" customHeight="1" s="5">
      <c r="A3304" s="81" t="n">
        <v>45775</v>
      </c>
      <c r="B3304" s="82" t="n">
        <v>0.6215277777777778</v>
      </c>
      <c r="C3304" s="5" t="inlineStr">
        <is>
          <t>Amazon</t>
        </is>
      </c>
      <c r="D3304" s="5" t="n">
        <v>1</v>
      </c>
      <c r="F3304" s="6" t="inlineStr">
        <is>
          <t>113-4979150-2753012</t>
        </is>
      </c>
      <c r="G3304" s="7" t="n"/>
      <c r="H3304" s="9" t="inlineStr">
        <is>
          <t>Gaiibbt 3PACK Baby Rompers Footless 2 Way Zipper Long Sleeve Pajamas aqua green+lilac+light yellow 6-12 M Sold by: XIADWN (seller profile) Supplied by: XIADWN (seller profile)</t>
        </is>
      </c>
      <c r="I3304" s="9" t="n">
        <v>3</v>
      </c>
      <c r="J3304" s="9" t="inlineStr">
        <is>
          <t>cnt</t>
        </is>
      </c>
      <c r="K3304" s="9" t="n">
        <v>32.99</v>
      </c>
    </row>
    <row r="3305" ht="15" customFormat="1" customHeight="1" s="5">
      <c r="A3305" s="81" t="n">
        <v>45775</v>
      </c>
      <c r="B3305" s="82" t="n">
        <v>0.6215277777777778</v>
      </c>
      <c r="C3305" s="5" t="inlineStr">
        <is>
          <t>Amazon</t>
        </is>
      </c>
      <c r="D3305" s="5" t="n">
        <v>1</v>
      </c>
      <c r="F3305" s="6" t="inlineStr">
        <is>
          <t>113-4979150-2753012</t>
        </is>
      </c>
      <c r="G3305" s="7" t="n"/>
      <c r="H3305" s="9" t="inlineStr">
        <is>
          <t>Gift card usage</t>
        </is>
      </c>
      <c r="I3305" s="9" t="n"/>
      <c r="J3305" s="9" t="n"/>
      <c r="K3305" s="9" t="n">
        <v>9.640000000000001</v>
      </c>
    </row>
    <row r="3306" ht="15" customFormat="1" customHeight="1" s="5">
      <c r="A3306" s="81" t="n">
        <v>45775</v>
      </c>
      <c r="B3306" s="82" t="n">
        <v>0.6215277777777778</v>
      </c>
      <c r="C3306" s="5" t="inlineStr">
        <is>
          <t>Amazon</t>
        </is>
      </c>
      <c r="D3306" s="5" t="n">
        <v>1</v>
      </c>
      <c r="F3306" s="6" t="inlineStr">
        <is>
          <t>113-4979150-2753012</t>
        </is>
      </c>
      <c r="G3306" s="7" t="n"/>
      <c r="H3306" s="9" t="inlineStr">
        <is>
          <t>Tax</t>
        </is>
      </c>
      <c r="I3306" s="9" t="n">
        <v>1</v>
      </c>
      <c r="J3306" s="9" t="inlineStr">
        <is>
          <t>cnt</t>
        </is>
      </c>
      <c r="K3306" s="9" t="n">
        <v>2.64</v>
      </c>
    </row>
    <row r="3307" ht="15" customFormat="1" customHeight="1" s="5">
      <c r="A3307" s="81" t="n">
        <v>45775</v>
      </c>
      <c r="B3307" s="82" t="n">
        <v>0.6215277777777778</v>
      </c>
      <c r="C3307" s="5" t="inlineStr">
        <is>
          <t>Amazon</t>
        </is>
      </c>
      <c r="D3307" s="5" t="n">
        <v>1</v>
      </c>
      <c r="F3307" s="6" t="inlineStr">
        <is>
          <t>113-4979150-2753012</t>
        </is>
      </c>
      <c r="G3307" s="7" t="n"/>
      <c r="H3307" s="9" t="inlineStr">
        <is>
          <t>Co retail delivery fee</t>
        </is>
      </c>
      <c r="I3307" s="9" t="n">
        <v>1</v>
      </c>
      <c r="J3307" s="9" t="inlineStr">
        <is>
          <t>cnt</t>
        </is>
      </c>
      <c r="K3307" s="9" t="n">
        <v>0.29</v>
      </c>
    </row>
    <row r="3308" ht="15" customFormat="1" customHeight="1" s="5">
      <c r="A3308" s="81" t="n">
        <v>45775</v>
      </c>
      <c r="B3308" s="82" t="n">
        <v>0.6215277777777778</v>
      </c>
      <c r="C3308" s="5" t="inlineStr">
        <is>
          <t>Amazon</t>
        </is>
      </c>
      <c r="D3308" s="5" t="n">
        <v>1</v>
      </c>
      <c r="F3308" s="6" t="inlineStr">
        <is>
          <t>113-4979150-2753012</t>
        </is>
      </c>
      <c r="G3308" s="7" t="n"/>
      <c r="H3308" s="9" t="inlineStr">
        <is>
          <t>Gift card usage</t>
        </is>
      </c>
      <c r="I3308" s="9" t="n"/>
      <c r="J3308" s="9" t="n"/>
      <c r="K3308" s="9" t="n">
        <v>-9.640000000000001</v>
      </c>
    </row>
    <row r="3309" ht="15" customFormat="1" customHeight="1" s="5">
      <c r="A3309" s="81" t="n">
        <v>45775</v>
      </c>
      <c r="B3309" s="82" t="n">
        <v>0.2916666666666667</v>
      </c>
      <c r="C3309" s="5" t="inlineStr">
        <is>
          <t>CDLE FAMLI</t>
        </is>
      </c>
      <c r="D3309" s="5" t="n">
        <v>1</v>
      </c>
      <c r="F3309" s="6" t="inlineStr">
        <is>
          <t>NA_Fam11</t>
        </is>
      </c>
      <c r="G3309" s="10" t="n"/>
      <c r="H3309" s="9" t="inlineStr">
        <is>
          <t>RTX ELI Deposit CDLE FAMLI_2 Benefits</t>
        </is>
      </c>
      <c r="I3309" s="9" t="n"/>
      <c r="J3309" s="9" t="n"/>
      <c r="K3309" s="9" t="n">
        <v>-1324.21</v>
      </c>
    </row>
    <row r="3310" ht="15" customFormat="1" customHeight="1" s="5">
      <c r="A3310" s="81" t="n">
        <v>45775</v>
      </c>
      <c r="B3310" s="78" t="n">
        <v>0.2916666666666667</v>
      </c>
      <c r="C3310" s="5" t="inlineStr">
        <is>
          <t>BELLA Health + Wellness</t>
        </is>
      </c>
      <c r="D3310" s="5" t="n">
        <v>1</v>
      </c>
      <c r="F3310" s="6" t="inlineStr">
        <is>
          <t>None_FullyCovered</t>
        </is>
      </c>
      <c r="G3310" s="10" t="n"/>
      <c r="H3310" s="9" t="inlineStr">
        <is>
          <t>4/28 Sheva… pharmacy prescription? Erythromycin prescription? (did not pick up?)</t>
        </is>
      </c>
      <c r="I3310" s="9" t="n">
        <v>1</v>
      </c>
      <c r="J3310" s="9" t="inlineStr">
        <is>
          <t>cnt</t>
        </is>
      </c>
      <c r="K3310" s="9" t="n">
        <v>0</v>
      </c>
    </row>
    <row r="3311" ht="15" customFormat="1" customHeight="1" s="5">
      <c r="A3311" s="81" t="n">
        <v>45774</v>
      </c>
      <c r="B3311" s="82" t="n">
        <v>0.2916666666666667</v>
      </c>
      <c r="C3311" s="5" t="inlineStr">
        <is>
          <t>Costco</t>
        </is>
      </c>
      <c r="D3311" s="5" t="n">
        <v>1</v>
      </c>
      <c r="F3311" s="6" t="n"/>
      <c r="G3311" s="7" t="n"/>
      <c r="H3311" s="9" t="inlineStr">
        <is>
          <t>MAR PAYMENT PAST DUE LATE FEE</t>
        </is>
      </c>
      <c r="I3311" s="9" t="n"/>
      <c r="J3311" s="9" t="n"/>
      <c r="K3311" s="9" t="n">
        <v>29</v>
      </c>
    </row>
    <row r="3312" ht="15" customFormat="1" customHeight="1" s="5">
      <c r="A3312" s="81" t="n">
        <v>45774</v>
      </c>
      <c r="B3312" s="82" t="n">
        <v>0.2916666666666667</v>
      </c>
      <c r="C3312" s="5" t="inlineStr">
        <is>
          <t>Costco</t>
        </is>
      </c>
      <c r="D3312" s="5" t="n">
        <v>1</v>
      </c>
      <c r="F3312" s="6" t="n"/>
      <c r="G3312" s="7" t="n"/>
      <c r="H3312" s="9" t="inlineStr">
        <is>
          <t>INTEREST CHARGED TO STANDARD PURCHASES</t>
        </is>
      </c>
      <c r="I3312" s="9" t="n"/>
      <c r="J3312" s="9" t="n"/>
      <c r="K3312" s="9" t="n">
        <v>14.73</v>
      </c>
    </row>
    <row r="3313" ht="15" customFormat="1" customHeight="1" s="5">
      <c r="A3313" s="81" t="n">
        <v>45772</v>
      </c>
      <c r="B3313" s="82" t="n">
        <v>0.6625</v>
      </c>
      <c r="C3313" s="5" t="inlineStr">
        <is>
          <t>Safeway</t>
        </is>
      </c>
      <c r="E3313" s="5" t="n">
        <v>1</v>
      </c>
      <c r="F3313" s="6" t="inlineStr">
        <is>
          <t>2612 96 73 8896</t>
        </is>
      </c>
      <c r="G3313" s="17" t="inlineStr">
        <is>
          <t>2410070571</t>
        </is>
      </c>
      <c r="H3313" s="9" t="inlineStr">
        <is>
          <t>White Cheddar Cheez-its, two 7oz boxes</t>
        </is>
      </c>
      <c r="I3313" s="9" t="n">
        <v>14</v>
      </c>
      <c r="J3313" s="9" t="inlineStr">
        <is>
          <t>oz</t>
        </is>
      </c>
      <c r="K3313" s="9" t="n">
        <v>6.98</v>
      </c>
    </row>
    <row r="3314" ht="15" customFormat="1" customHeight="1" s="5">
      <c r="A3314" s="81" t="n">
        <v>45772</v>
      </c>
      <c r="B3314" s="82" t="n">
        <v>0.6625</v>
      </c>
      <c r="C3314" s="5" t="inlineStr">
        <is>
          <t>Safeway</t>
        </is>
      </c>
      <c r="E3314" s="5" t="n">
        <v>1</v>
      </c>
      <c r="F3314" s="6" t="inlineStr">
        <is>
          <t>2612 96 73 8896</t>
        </is>
      </c>
      <c r="G3314" s="17" t="inlineStr">
        <is>
          <t>2410078909</t>
        </is>
      </c>
      <c r="H3314" s="9" t="inlineStr">
        <is>
          <t>Hot&amp;Spicy Cheez Its</t>
        </is>
      </c>
      <c r="I3314" s="9" t="n">
        <v>12.4</v>
      </c>
      <c r="J3314" s="9" t="inlineStr">
        <is>
          <t>oz</t>
        </is>
      </c>
      <c r="K3314" s="9" t="n">
        <v>4.29</v>
      </c>
    </row>
    <row r="3315" ht="15" customFormat="1" customHeight="1" s="5">
      <c r="A3315" s="81" t="n">
        <v>45772</v>
      </c>
      <c r="B3315" s="82" t="n">
        <v>0.6625</v>
      </c>
      <c r="C3315" s="5" t="inlineStr">
        <is>
          <t>Safeway</t>
        </is>
      </c>
      <c r="E3315" s="5" t="n">
        <v>1</v>
      </c>
      <c r="F3315" s="6" t="inlineStr">
        <is>
          <t>2612 96 73 8896</t>
        </is>
      </c>
      <c r="G3315" s="17" t="inlineStr">
        <is>
          <t>1300000179</t>
        </is>
      </c>
      <c r="H3315" s="9" t="inlineStr">
        <is>
          <t>Heinz Gourmet Malt Vinegar Bottle - 12 Fl. Oz.</t>
        </is>
      </c>
      <c r="I3315" s="9" t="n">
        <v>12</v>
      </c>
      <c r="J3315" s="9" t="inlineStr">
        <is>
          <t>fl oz</t>
        </is>
      </c>
      <c r="K3315" s="9" t="n">
        <v>3.99</v>
      </c>
    </row>
    <row r="3316" ht="15" customFormat="1" customHeight="1" s="5">
      <c r="A3316" s="81" t="n">
        <v>45772</v>
      </c>
      <c r="B3316" s="82" t="n">
        <v>0.6625</v>
      </c>
      <c r="C3316" s="5" t="inlineStr">
        <is>
          <t>Safeway</t>
        </is>
      </c>
      <c r="E3316" s="5" t="n">
        <v>1</v>
      </c>
      <c r="F3316" s="6" t="inlineStr">
        <is>
          <t>2612 96 73 8896</t>
        </is>
      </c>
      <c r="G3316" s="17" t="inlineStr">
        <is>
          <t>4085</t>
        </is>
      </c>
      <c r="H3316" s="9" t="inlineStr">
        <is>
          <t>White Whole Mushrooms @$3.99/lb</t>
        </is>
      </c>
      <c r="I3316" s="9" t="n">
        <v>0.43</v>
      </c>
      <c r="J3316" s="9" t="inlineStr">
        <is>
          <t>lb</t>
        </is>
      </c>
      <c r="K3316" s="9" t="n">
        <v>1.72</v>
      </c>
    </row>
    <row r="3317" ht="15" customFormat="1" customHeight="1" s="5">
      <c r="A3317" s="81" t="n">
        <v>45772</v>
      </c>
      <c r="B3317" s="82" t="n">
        <v>0.6625</v>
      </c>
      <c r="C3317" s="5" t="inlineStr">
        <is>
          <t>Safeway</t>
        </is>
      </c>
      <c r="E3317" s="5" t="n">
        <v>1</v>
      </c>
      <c r="F3317" s="6" t="inlineStr">
        <is>
          <t>2612 96 73 8896</t>
        </is>
      </c>
      <c r="G3317" s="7" t="n"/>
      <c r="H3317" s="9" t="inlineStr">
        <is>
          <t>Tax</t>
        </is>
      </c>
      <c r="I3317" s="9" t="n">
        <v>5</v>
      </c>
      <c r="J3317" s="9" t="inlineStr">
        <is>
          <t>cnt</t>
        </is>
      </c>
      <c r="K3317" s="9" t="n">
        <v>0</v>
      </c>
    </row>
    <row r="3318" ht="15" customFormat="1" customHeight="1" s="5">
      <c r="A3318" s="81" t="n">
        <v>45772</v>
      </c>
      <c r="B3318" s="82" t="n">
        <v>0.6625</v>
      </c>
      <c r="C3318" s="5" t="inlineStr">
        <is>
          <t>Safeway</t>
        </is>
      </c>
      <c r="E3318" s="5" t="n">
        <v>1</v>
      </c>
      <c r="F3318" s="6" t="inlineStr">
        <is>
          <t>2612 96 73 8896</t>
        </is>
      </c>
      <c r="G3318" s="17" t="inlineStr">
        <is>
          <t>4085</t>
        </is>
      </c>
      <c r="H3318" s="9" t="inlineStr">
        <is>
          <t>**DISCOUNT** Basket Savings</t>
        </is>
      </c>
      <c r="I3318" s="9" t="n">
        <v>0.43</v>
      </c>
      <c r="J3318" s="9" t="inlineStr">
        <is>
          <t>lb</t>
        </is>
      </c>
      <c r="K3318" s="9" t="n">
        <v>-0.08</v>
      </c>
    </row>
    <row r="3319" ht="15" customFormat="1" customHeight="1" s="5">
      <c r="A3319" s="81" t="n">
        <v>45772</v>
      </c>
      <c r="B3319" s="82" t="n">
        <v>0.6625</v>
      </c>
      <c r="C3319" s="5" t="inlineStr">
        <is>
          <t>Safeway</t>
        </is>
      </c>
      <c r="E3319" s="5" t="n">
        <v>1</v>
      </c>
      <c r="F3319" s="6" t="inlineStr">
        <is>
          <t>2612 96 73 8896</t>
        </is>
      </c>
      <c r="G3319" s="17" t="inlineStr">
        <is>
          <t>1300000179</t>
        </is>
      </c>
      <c r="H3319" s="9" t="inlineStr">
        <is>
          <t>**DISCOUNT** Basket Savings</t>
        </is>
      </c>
      <c r="I3319" s="9" t="n">
        <v>12</v>
      </c>
      <c r="J3319" s="9" t="inlineStr">
        <is>
          <t>fl oz</t>
        </is>
      </c>
      <c r="K3319" s="9" t="n">
        <v>-0.21</v>
      </c>
    </row>
    <row r="3320" ht="15" customFormat="1" customHeight="1" s="5">
      <c r="A3320" s="81" t="n">
        <v>45772</v>
      </c>
      <c r="B3320" s="82" t="n">
        <v>0.6625</v>
      </c>
      <c r="C3320" s="5" t="inlineStr">
        <is>
          <t>Safeway</t>
        </is>
      </c>
      <c r="E3320" s="5" t="n">
        <v>1</v>
      </c>
      <c r="F3320" s="6" t="inlineStr">
        <is>
          <t>2612 96 73 8896</t>
        </is>
      </c>
      <c r="G3320" s="17" t="inlineStr">
        <is>
          <t>2410078909</t>
        </is>
      </c>
      <c r="H3320" s="9" t="inlineStr">
        <is>
          <t>**DISCOUNT** Basket Savings</t>
        </is>
      </c>
      <c r="I3320" s="9" t="n">
        <v>12.4</v>
      </c>
      <c r="J3320" s="9" t="inlineStr">
        <is>
          <t>oz</t>
        </is>
      </c>
      <c r="K3320" s="9" t="n">
        <v>-0.6899999999999999</v>
      </c>
    </row>
    <row r="3321" ht="15" customFormat="1" customHeight="1" s="5">
      <c r="A3321" s="81" t="n">
        <v>45772</v>
      </c>
      <c r="B3321" s="82" t="n">
        <v>0.6625</v>
      </c>
      <c r="C3321" s="5" t="inlineStr">
        <is>
          <t>Safeway</t>
        </is>
      </c>
      <c r="E3321" s="5" t="n">
        <v>1</v>
      </c>
      <c r="F3321" s="6" t="inlineStr">
        <is>
          <t>2612 96 73 8896</t>
        </is>
      </c>
      <c r="G3321" s="17" t="inlineStr">
        <is>
          <t>2410070571</t>
        </is>
      </c>
      <c r="H3321" s="9" t="inlineStr">
        <is>
          <t>**DISCOUNT** Basket Savings</t>
        </is>
      </c>
      <c r="I3321" s="9" t="n">
        <v>14</v>
      </c>
      <c r="J3321" s="9" t="inlineStr">
        <is>
          <t>oz</t>
        </is>
      </c>
      <c r="K3321" s="9" t="n">
        <v>-3.18</v>
      </c>
    </row>
    <row r="3322" ht="15" customFormat="1" customHeight="1" s="5">
      <c r="A3322" s="81" t="n">
        <v>45772</v>
      </c>
      <c r="B3322" s="82" t="n">
        <v>0.5604166666666667</v>
      </c>
      <c r="C3322" s="5" t="inlineStr">
        <is>
          <t>Costco</t>
        </is>
      </c>
      <c r="E3322" s="5" t="n">
        <v>1</v>
      </c>
      <c r="F3322" s="6" t="inlineStr">
        <is>
          <t>439 202 100 702</t>
        </is>
      </c>
      <c r="G3322" s="7" t="inlineStr">
        <is>
          <t>F 504882</t>
        </is>
      </c>
      <c r="H3322" s="9" t="inlineStr">
        <is>
          <t>Extra Strength Tylenol Acetaminiphen Rapid Release Gels 290 cnt 500 mg each</t>
        </is>
      </c>
      <c r="I3322" s="9" t="n">
        <v>290</v>
      </c>
      <c r="J3322" s="9" t="inlineStr">
        <is>
          <t>cnt</t>
        </is>
      </c>
      <c r="K3322" s="9" t="inlineStr">
        <is>
          <t>21.49 A</t>
        </is>
      </c>
    </row>
    <row r="3323" ht="15" customFormat="1" customHeight="1" s="5">
      <c r="A3323" s="81" t="n">
        <v>45772</v>
      </c>
      <c r="B3323" s="82" t="n">
        <v>0.5604166666666667</v>
      </c>
      <c r="C3323" s="5" t="inlineStr">
        <is>
          <t>Costco</t>
        </is>
      </c>
      <c r="E3323" s="5" t="n">
        <v>1</v>
      </c>
      <c r="F3323" s="6" t="inlineStr">
        <is>
          <t>439 202 100 702</t>
        </is>
      </c>
      <c r="G3323" s="7" t="n"/>
      <c r="H3323" s="9" t="inlineStr">
        <is>
          <t>TAX A 8.000% (on FSA eligible $21.49)</t>
        </is>
      </c>
      <c r="I3323" s="9" t="n">
        <v>1</v>
      </c>
      <c r="J3323" s="9" t="inlineStr">
        <is>
          <t>cnt</t>
        </is>
      </c>
      <c r="K3323" s="9" t="n">
        <v>1.72</v>
      </c>
    </row>
    <row r="3324" ht="15" customFormat="1" customHeight="1" s="5">
      <c r="A3324" s="81" t="n">
        <v>45772</v>
      </c>
      <c r="B3324" s="82" t="n">
        <v>0.5604166666666667</v>
      </c>
      <c r="C3324" s="5" t="inlineStr">
        <is>
          <t>Costco</t>
        </is>
      </c>
      <c r="E3324" s="5" t="n">
        <v>1</v>
      </c>
      <c r="F3324" s="6" t="inlineStr">
        <is>
          <t>439 202 100 702</t>
        </is>
      </c>
      <c r="G3324" s="17" t="inlineStr">
        <is>
          <t>0000350129</t>
        </is>
      </c>
      <c r="H3324" s="9" t="inlineStr">
        <is>
          <t>**DISCOUNT** /1235761 Cranberry supplement</t>
        </is>
      </c>
      <c r="I3324" s="9" t="n">
        <v>140</v>
      </c>
      <c r="J3324" s="9" t="inlineStr">
        <is>
          <t>cnt</t>
        </is>
      </c>
      <c r="K3324" s="9" t="inlineStr">
        <is>
          <t>5.0-A</t>
        </is>
      </c>
    </row>
    <row r="3325" ht="15" customFormat="1" customHeight="1" s="5">
      <c r="A3325" s="81" t="n">
        <v>45772</v>
      </c>
      <c r="B3325" s="82" t="n">
        <v>0.5604166666666667</v>
      </c>
      <c r="C3325" s="5" t="inlineStr">
        <is>
          <t>Costco</t>
        </is>
      </c>
      <c r="E3325" s="5" t="n">
        <v>1</v>
      </c>
      <c r="F3325" s="6" t="inlineStr">
        <is>
          <t>439 202 100 702</t>
        </is>
      </c>
      <c r="G3325" s="17" t="inlineStr">
        <is>
          <t>1235761</t>
        </is>
      </c>
      <c r="H3325" s="9" t="inlineStr">
        <is>
          <t>TruNature Cranberry Vegetarian capsules, 650mg 36 mg cPACs, 1 per day</t>
        </is>
      </c>
      <c r="I3325" s="9" t="n">
        <v>140</v>
      </c>
      <c r="J3325" s="9" t="inlineStr">
        <is>
          <t>cnt</t>
        </is>
      </c>
      <c r="K3325" s="9" t="inlineStr">
        <is>
          <t>23.99 A</t>
        </is>
      </c>
    </row>
    <row r="3326" ht="15" customFormat="1" customHeight="1" s="5">
      <c r="A3326" s="81" t="n">
        <v>45772</v>
      </c>
      <c r="B3326" s="82" t="n">
        <v>0.5604166666666667</v>
      </c>
      <c r="C3326" s="5" t="inlineStr">
        <is>
          <t>Costco</t>
        </is>
      </c>
      <c r="E3326" s="5" t="n">
        <v>1</v>
      </c>
      <c r="F3326" s="6" t="inlineStr">
        <is>
          <t>439 202 100 702</t>
        </is>
      </c>
      <c r="G3326" s="7" t="n"/>
      <c r="H3326" s="9" t="inlineStr">
        <is>
          <t>TAX A 8.000%</t>
        </is>
      </c>
      <c r="I3326" s="9" t="n">
        <v>1</v>
      </c>
      <c r="J3326" s="9" t="inlineStr">
        <is>
          <t>cnt</t>
        </is>
      </c>
      <c r="K3326" s="9" t="n">
        <v>1.52</v>
      </c>
    </row>
    <row r="3327" ht="15" customFormat="1" customHeight="1" s="5">
      <c r="A3327" s="81" t="n">
        <v>45772</v>
      </c>
      <c r="B3327" s="82" t="n">
        <v>0.55625</v>
      </c>
      <c r="C3327" s="5" t="inlineStr">
        <is>
          <t>Costco</t>
        </is>
      </c>
      <c r="E3327" s="5" t="n">
        <v>1</v>
      </c>
      <c r="F3327" s="6" t="inlineStr">
        <is>
          <t>439 91 27 127</t>
        </is>
      </c>
      <c r="G3327" s="7" t="inlineStr">
        <is>
          <t>F 920000</t>
        </is>
      </c>
      <c r="H3327" s="9" t="inlineStr">
        <is>
          <t>Nitrofurantoin Mono/Macro 100mg Cap -- 7 days supple, 2/day -- BCBS claim "251155149800130999"</t>
        </is>
      </c>
      <c r="I3327" s="9" t="n">
        <v>14</v>
      </c>
      <c r="J3327" s="9" t="inlineStr">
        <is>
          <t>cnt</t>
        </is>
      </c>
      <c r="K3327" s="9" t="n">
        <v>12.99</v>
      </c>
    </row>
    <row r="3328" ht="15" customFormat="1" customHeight="1" s="5">
      <c r="A3328" s="81" t="n">
        <v>45772</v>
      </c>
      <c r="B3328" s="82" t="n">
        <v>0.55625</v>
      </c>
      <c r="C3328" s="5" t="inlineStr">
        <is>
          <t>Costco</t>
        </is>
      </c>
      <c r="E3328" s="5" t="n">
        <v>1</v>
      </c>
      <c r="F3328" s="6" t="inlineStr">
        <is>
          <t>439 91 27 127</t>
        </is>
      </c>
      <c r="G3328" s="7" t="n"/>
      <c r="H3328" s="9" t="inlineStr">
        <is>
          <t>TAX A 8.000%</t>
        </is>
      </c>
      <c r="I3328" s="9" t="n">
        <v>1</v>
      </c>
      <c r="J3328" s="9" t="inlineStr">
        <is>
          <t>cnt</t>
        </is>
      </c>
      <c r="K3328" s="9" t="n">
        <v>0</v>
      </c>
    </row>
    <row r="3329" ht="15" customFormat="1" customHeight="1" s="5">
      <c r="A3329" s="81" t="n">
        <v>45772</v>
      </c>
      <c r="B3329" s="82" t="n">
        <v>0.55625</v>
      </c>
      <c r="C3329" s="5" t="inlineStr">
        <is>
          <t>Costco</t>
        </is>
      </c>
      <c r="E3329" s="5" t="n">
        <v>1</v>
      </c>
      <c r="F3329" s="6" t="inlineStr">
        <is>
          <t>439 91 27 127</t>
        </is>
      </c>
      <c r="G3329" s="7" t="inlineStr">
        <is>
          <t>F 920000</t>
        </is>
      </c>
      <c r="H3329" s="9" t="inlineStr">
        <is>
          <t>CareMark RTX Insurance Discount</t>
        </is>
      </c>
      <c r="I3329" s="9" t="n">
        <v>14</v>
      </c>
      <c r="J3329" s="9" t="inlineStr">
        <is>
          <t>cnt</t>
        </is>
      </c>
      <c r="K3329" s="9" t="n">
        <v>-6.23</v>
      </c>
    </row>
    <row r="3330" ht="15" customFormat="1" customHeight="1" s="5">
      <c r="A3330" s="81" t="n">
        <v>45771</v>
      </c>
      <c r="B3330" s="82" t="n">
        <v>0.8048611111111111</v>
      </c>
      <c r="C3330" s="5" t="inlineStr">
        <is>
          <t>Safeway</t>
        </is>
      </c>
      <c r="E3330" s="5" t="n">
        <v>1</v>
      </c>
      <c r="F3330" s="6" t="inlineStr">
        <is>
          <t>611927490560</t>
        </is>
      </c>
      <c r="G3330" s="7" t="n"/>
      <c r="H3330" s="9" t="inlineStr">
        <is>
          <t>Prepacked Blueberries, 2 boxes</t>
        </is>
      </c>
      <c r="I3330" s="9" t="n">
        <v>18</v>
      </c>
      <c r="J3330" s="9" t="inlineStr">
        <is>
          <t>oz</t>
        </is>
      </c>
      <c r="K3330" s="9" t="n">
        <v>15.98</v>
      </c>
    </row>
    <row r="3331" ht="15" customFormat="1" customHeight="1" s="5">
      <c r="A3331" s="81" t="n">
        <v>45771</v>
      </c>
      <c r="B3331" s="82" t="n">
        <v>0.8048611111111111</v>
      </c>
      <c r="C3331" s="5" t="inlineStr">
        <is>
          <t>Safeway</t>
        </is>
      </c>
      <c r="E3331" s="5" t="n">
        <v>1</v>
      </c>
      <c r="F3331" s="6" t="inlineStr">
        <is>
          <t>611927490560</t>
        </is>
      </c>
      <c r="G3331" s="7" t="n"/>
      <c r="H3331" s="9" t="inlineStr">
        <is>
          <t>Signature Farms Chicken Drumsticks @$1.69/lb</t>
        </is>
      </c>
      <c r="I3331" s="9" t="n">
        <v>5.31</v>
      </c>
      <c r="J3331" s="9" t="inlineStr">
        <is>
          <t>lb</t>
        </is>
      </c>
      <c r="K3331" s="9" t="n">
        <v>8.98</v>
      </c>
    </row>
    <row r="3332" ht="15" customFormat="1" customHeight="1" s="5">
      <c r="A3332" s="81" t="n">
        <v>45771</v>
      </c>
      <c r="B3332" s="82" t="n">
        <v>0.8048611111111111</v>
      </c>
      <c r="C3332" s="5" t="inlineStr">
        <is>
          <t>Safeway</t>
        </is>
      </c>
      <c r="E3332" s="5" t="n">
        <v>1</v>
      </c>
      <c r="F3332" s="6" t="inlineStr">
        <is>
          <t>611927490560</t>
        </is>
      </c>
      <c r="G3332" s="7" t="n"/>
      <c r="H3332" s="9" t="inlineStr">
        <is>
          <t>Signature Select Sourdough Bread</t>
        </is>
      </c>
      <c r="I3332" s="9" t="n">
        <v>16</v>
      </c>
      <c r="J3332" s="9" t="inlineStr">
        <is>
          <t>oz</t>
        </is>
      </c>
      <c r="K3332" s="9" t="n">
        <v>2.49</v>
      </c>
    </row>
    <row r="3333" ht="15" customFormat="1" customHeight="1" s="5">
      <c r="A3333" s="81" t="n">
        <v>45771</v>
      </c>
      <c r="B3333" s="82" t="n">
        <v>0.8048611111111111</v>
      </c>
      <c r="C3333" s="5" t="inlineStr">
        <is>
          <t>Safeway</t>
        </is>
      </c>
      <c r="E3333" s="5" t="n">
        <v>1</v>
      </c>
      <c r="F3333" s="6" t="inlineStr">
        <is>
          <t>611927490560</t>
        </is>
      </c>
      <c r="G3333" s="7" t="n"/>
      <c r="H3333" s="9" t="inlineStr">
        <is>
          <t>Tax</t>
        </is>
      </c>
      <c r="I3333" s="9" t="n">
        <v>4</v>
      </c>
      <c r="J3333" s="9" t="inlineStr">
        <is>
          <t>cnt</t>
        </is>
      </c>
      <c r="K3333" s="9" t="n">
        <v>0</v>
      </c>
    </row>
    <row r="3334" ht="15" customFormat="1" customHeight="1" s="5">
      <c r="A3334" s="81" t="n">
        <v>45771</v>
      </c>
      <c r="B3334" s="82" t="n">
        <v>0.8048611111111111</v>
      </c>
      <c r="C3334" s="5" t="inlineStr">
        <is>
          <t>Safeway</t>
        </is>
      </c>
      <c r="E3334" s="5" t="n">
        <v>1</v>
      </c>
      <c r="F3334" s="6" t="inlineStr">
        <is>
          <t>611927490560</t>
        </is>
      </c>
      <c r="G3334" s="7" t="n"/>
      <c r="H3334" s="9" t="inlineStr">
        <is>
          <t>**DISCOUNT** Basket Savings</t>
        </is>
      </c>
      <c r="I3334" s="9" t="n">
        <v>16</v>
      </c>
      <c r="J3334" s="9" t="inlineStr">
        <is>
          <t>oz</t>
        </is>
      </c>
      <c r="K3334" s="9" t="n">
        <v>-0.12</v>
      </c>
    </row>
    <row r="3335" ht="15" customFormat="1" customHeight="1" s="5">
      <c r="A3335" s="81" t="n">
        <v>45771</v>
      </c>
      <c r="B3335" s="82" t="n">
        <v>0.8048611111111111</v>
      </c>
      <c r="C3335" s="5" t="inlineStr">
        <is>
          <t>Safeway</t>
        </is>
      </c>
      <c r="E3335" s="5" t="n">
        <v>1</v>
      </c>
      <c r="F3335" s="6" t="inlineStr">
        <is>
          <t>611927490560</t>
        </is>
      </c>
      <c r="G3335" s="7" t="n"/>
      <c r="H3335" s="9" t="inlineStr">
        <is>
          <t>**DISCOUNT** Basket Savings Chicken Drumsticks @$0.92/lb</t>
        </is>
      </c>
      <c r="I3335" s="9" t="n">
        <v>5.31</v>
      </c>
      <c r="J3335" s="9" t="inlineStr">
        <is>
          <t>lb</t>
        </is>
      </c>
      <c r="K3335" s="9" t="n">
        <v>-4.09</v>
      </c>
    </row>
    <row r="3336" ht="15" customFormat="1" customHeight="1" s="5">
      <c r="A3336" s="81" t="n">
        <v>45771</v>
      </c>
      <c r="B3336" s="82" t="n">
        <v>0.8048611111111111</v>
      </c>
      <c r="C3336" s="5" t="inlineStr">
        <is>
          <t>Safeway</t>
        </is>
      </c>
      <c r="E3336" s="5" t="n">
        <v>1</v>
      </c>
      <c r="F3336" s="6" t="inlineStr">
        <is>
          <t>611927490560</t>
        </is>
      </c>
      <c r="G3336" s="7" t="n"/>
      <c r="H3336" s="9" t="inlineStr">
        <is>
          <t>**DISCOUNT** Basket Savings @3 boxes /$10</t>
        </is>
      </c>
      <c r="I3336" s="9" t="n">
        <v>18</v>
      </c>
      <c r="J3336" s="9" t="inlineStr">
        <is>
          <t>oz</t>
        </is>
      </c>
      <c r="K3336" s="9" t="n">
        <v>-9.65</v>
      </c>
    </row>
    <row r="3337" ht="15" customFormat="1" customHeight="1" s="5">
      <c r="A3337" s="81" t="n">
        <v>45770</v>
      </c>
      <c r="B3337" s="82" t="n">
        <v>0.6527777777777778</v>
      </c>
      <c r="C3337" s="5" t="inlineStr">
        <is>
          <t>Cobblestone Carwash</t>
        </is>
      </c>
      <c r="E3337" s="5" t="n">
        <v>1</v>
      </c>
      <c r="F3337" s="6" t="n"/>
      <c r="G3337" s="7" t="n"/>
      <c r="H3337" s="9" t="inlineStr">
        <is>
          <t>1 month, electronic error so has discount, top "premium 4 step wash" unlimited for 1 month</t>
        </is>
      </c>
      <c r="I3337" s="9" t="n">
        <v>60</v>
      </c>
      <c r="J3337" s="9" t="inlineStr">
        <is>
          <t>cnt</t>
        </is>
      </c>
      <c r="K3337" s="9" t="n">
        <v>23</v>
      </c>
    </row>
    <row r="3338" ht="15" customFormat="1" customHeight="1" s="5">
      <c r="A3338" s="81" t="n">
        <v>45770</v>
      </c>
      <c r="B3338" s="82" t="n">
        <v>0.2916666666666667</v>
      </c>
      <c r="C3338" s="5" t="inlineStr">
        <is>
          <t>Xcel Energy</t>
        </is>
      </c>
      <c r="D3338" s="5" t="n">
        <v>1</v>
      </c>
      <c r="F3338" s="6" t="inlineStr">
        <is>
          <t>921695878_</t>
        </is>
      </c>
      <c r="G3338" s="10" t="n"/>
      <c r="H3338" s="9" t="inlineStr">
        <is>
          <t>Electricity 03/02/25 - 03/31/25</t>
        </is>
      </c>
      <c r="I3338" s="9" t="n">
        <v>229</v>
      </c>
      <c r="J3338" s="9" t="inlineStr">
        <is>
          <t>kWh</t>
        </is>
      </c>
      <c r="K3338" s="9" t="n">
        <v>39.43</v>
      </c>
    </row>
    <row r="3339" ht="15" customFormat="1" customHeight="1" s="5">
      <c r="A3339" s="81" t="n">
        <v>45770</v>
      </c>
      <c r="B3339" s="82" t="n">
        <v>0.2916666666666667</v>
      </c>
      <c r="C3339" s="5" t="inlineStr">
        <is>
          <t>Xcel Energy</t>
        </is>
      </c>
      <c r="D3339" s="5" t="n">
        <v>1</v>
      </c>
      <c r="F3339" s="6" t="inlineStr">
        <is>
          <t>921695878_</t>
        </is>
      </c>
      <c r="G3339" s="10" t="n"/>
      <c r="H3339" s="9" t="inlineStr">
        <is>
          <t>Natural Gas 03/05/25 - 04/01/25</t>
        </is>
      </c>
      <c r="I3339" s="9" t="n">
        <v>19</v>
      </c>
      <c r="J3339" s="9" t="inlineStr">
        <is>
          <t>therms</t>
        </is>
      </c>
      <c r="K3339" s="9" t="n">
        <v>27.45</v>
      </c>
    </row>
    <row r="3340" ht="15" customFormat="1" customHeight="1" s="5">
      <c r="A3340" s="81" t="n">
        <v>45770</v>
      </c>
      <c r="B3340" s="82" t="n">
        <v>0.2916666666666667</v>
      </c>
      <c r="C3340" s="5" t="inlineStr">
        <is>
          <t>Xcel Energy</t>
        </is>
      </c>
      <c r="D3340" s="5" t="n">
        <v>1</v>
      </c>
      <c r="F3340" s="6" t="inlineStr">
        <is>
          <t>921695878_</t>
        </is>
      </c>
      <c r="G3340" s="10" t="n"/>
      <c r="H3340" s="9" t="inlineStr">
        <is>
          <t>Sales Tax</t>
        </is>
      </c>
      <c r="I3340" s="9" t="n"/>
      <c r="J3340" s="9" t="n"/>
      <c r="K3340" s="9">
        <f>1.53+1.06</f>
        <v/>
      </c>
    </row>
    <row r="3341" ht="15" customFormat="1" customHeight="1" s="5">
      <c r="A3341" s="81" t="n">
        <v>45770</v>
      </c>
      <c r="B3341" s="82" t="n">
        <v>0.2916666666666667</v>
      </c>
      <c r="C3341" s="5" t="inlineStr">
        <is>
          <t>Xcel Energy</t>
        </is>
      </c>
      <c r="D3341" s="5" t="n">
        <v>1</v>
      </c>
      <c r="F3341" s="6" t="inlineStr">
        <is>
          <t>921695878_</t>
        </is>
      </c>
      <c r="G3341" s="10" t="n"/>
      <c r="H3341" s="9" t="inlineStr">
        <is>
          <t>Franchise Fee 3.00%</t>
        </is>
      </c>
      <c r="I3341" s="9" t="n"/>
      <c r="J3341" s="9" t="n"/>
      <c r="K3341" s="9">
        <f>1.19+0.83</f>
        <v/>
      </c>
    </row>
    <row r="3342" ht="15" customFormat="1" customHeight="1" s="5">
      <c r="A3342" s="81" t="n">
        <v>45769</v>
      </c>
      <c r="B3342" s="82" t="n">
        <v>0.85</v>
      </c>
      <c r="C3342" s="5" t="inlineStr">
        <is>
          <t>Costco</t>
        </is>
      </c>
      <c r="E3342" s="5" t="n">
        <v>1</v>
      </c>
      <c r="F3342" s="6" t="inlineStr">
        <is>
          <t>439 209 245 709</t>
        </is>
      </c>
      <c r="G3342" s="10" t="inlineStr">
        <is>
          <t>E  10579</t>
        </is>
      </c>
      <c r="H3342" s="9" t="inlineStr">
        <is>
          <t>Salmon raw filet Atlantic 3.61lb @$11.99/lb</t>
        </is>
      </c>
      <c r="I3342" s="9" t="n">
        <v>3.61</v>
      </c>
      <c r="J3342" s="9" t="inlineStr">
        <is>
          <t>lb</t>
        </is>
      </c>
      <c r="K3342" s="9" t="n">
        <v>43.28</v>
      </c>
    </row>
    <row r="3343" ht="15" customFormat="1" customHeight="1" s="5">
      <c r="A3343" s="81" t="n">
        <v>45769</v>
      </c>
      <c r="B3343" s="82" t="n">
        <v>0.85</v>
      </c>
      <c r="C3343" s="5" t="inlineStr">
        <is>
          <t>Costco</t>
        </is>
      </c>
      <c r="E3343" s="5" t="n">
        <v>1</v>
      </c>
      <c r="F3343" s="6" t="inlineStr">
        <is>
          <t>439 209 245 709</t>
        </is>
      </c>
      <c r="G3343" s="10" t="inlineStr">
        <is>
          <t>E 1251702</t>
        </is>
      </c>
      <c r="H3343" s="9" t="inlineStr">
        <is>
          <t>Kirkland shrimp tempura 30 count</t>
        </is>
      </c>
      <c r="I3343" s="9" t="n">
        <v>2.54</v>
      </c>
      <c r="J3343" s="9" t="inlineStr">
        <is>
          <t>lb</t>
        </is>
      </c>
      <c r="K3343" s="9" t="n">
        <v>18.49</v>
      </c>
    </row>
    <row r="3344" ht="15" customFormat="1" customHeight="1" s="5">
      <c r="A3344" s="81" t="n">
        <v>45769</v>
      </c>
      <c r="B3344" s="82" t="n">
        <v>0.85</v>
      </c>
      <c r="C3344" s="5" t="inlineStr">
        <is>
          <t>Costco</t>
        </is>
      </c>
      <c r="E3344" s="5" t="n">
        <v>1</v>
      </c>
      <c r="F3344" s="6" t="inlineStr">
        <is>
          <t>439 209 245 709</t>
        </is>
      </c>
      <c r="G3344" s="10" t="n"/>
      <c r="H3344" s="9" t="inlineStr">
        <is>
          <t>Tax</t>
        </is>
      </c>
      <c r="I3344" s="9" t="n">
        <v>2</v>
      </c>
      <c r="J3344" s="9" t="inlineStr">
        <is>
          <t>cnt</t>
        </is>
      </c>
      <c r="K3344" s="9" t="n">
        <v>0</v>
      </c>
    </row>
    <row r="3345" ht="15" customFormat="1" customHeight="1" s="5">
      <c r="A3345" s="81" t="n">
        <v>45769</v>
      </c>
      <c r="B3345" s="82" t="n">
        <v>0.6486111111111111</v>
      </c>
      <c r="C3345" s="5" t="inlineStr">
        <is>
          <t>Costco</t>
        </is>
      </c>
      <c r="E3345" s="5" t="n">
        <v>1</v>
      </c>
      <c r="F3345" s="6" t="inlineStr">
        <is>
          <t>439 201 141 701</t>
        </is>
      </c>
      <c r="G3345" s="10" t="n"/>
      <c r="H3345" s="9" t="inlineStr">
        <is>
          <t>Red ruby kiwi limited edition 13 count</t>
        </is>
      </c>
      <c r="I3345" s="9" t="n">
        <v>2</v>
      </c>
      <c r="J3345" s="9" t="inlineStr">
        <is>
          <t>lb</t>
        </is>
      </c>
      <c r="K3345" s="9" t="n">
        <v>12.99</v>
      </c>
    </row>
    <row r="3346" ht="15" customFormat="1" customHeight="1" s="5">
      <c r="A3346" s="81" t="n">
        <v>45769</v>
      </c>
      <c r="B3346" s="82" t="n">
        <v>0.6486111111111111</v>
      </c>
      <c r="C3346" s="5" t="inlineStr">
        <is>
          <t>Costco</t>
        </is>
      </c>
      <c r="E3346" s="5" t="n">
        <v>1</v>
      </c>
      <c r="F3346" s="6" t="inlineStr">
        <is>
          <t>439 201 141 701</t>
        </is>
      </c>
      <c r="G3346" s="10" t="n"/>
      <c r="H3346" s="9" t="inlineStr">
        <is>
          <t xml:space="preserve">2 10.5 kirkland goat cheese logs </t>
        </is>
      </c>
      <c r="I3346" s="9" t="n">
        <v>21</v>
      </c>
      <c r="J3346" s="9" t="inlineStr">
        <is>
          <t>oz</t>
        </is>
      </c>
      <c r="K3346" s="9" t="n">
        <v>8.289999999999999</v>
      </c>
    </row>
    <row r="3347" ht="15" customFormat="1" customHeight="1" s="5">
      <c r="A3347" s="81" t="n">
        <v>45769</v>
      </c>
      <c r="B3347" s="82" t="n">
        <v>0.6486111111111111</v>
      </c>
      <c r="C3347" s="5" t="inlineStr">
        <is>
          <t>Costco</t>
        </is>
      </c>
      <c r="E3347" s="5" t="n">
        <v>1</v>
      </c>
      <c r="F3347" s="6" t="inlineStr">
        <is>
          <t>439 201 141 701</t>
        </is>
      </c>
      <c r="G3347" s="10" t="n"/>
      <c r="H3347" s="9" t="inlineStr">
        <is>
          <t>6 plain bagels, 6 cheese bagels</t>
        </is>
      </c>
      <c r="I3347" s="9" t="n">
        <v>3</v>
      </c>
      <c r="J3347" s="9" t="inlineStr">
        <is>
          <t>lb</t>
        </is>
      </c>
      <c r="K3347" s="9" t="n">
        <v>7.99</v>
      </c>
    </row>
    <row r="3348" ht="15" customFormat="1" customHeight="1" s="5">
      <c r="A3348" s="81" t="n">
        <v>45769</v>
      </c>
      <c r="B3348" s="82" t="n">
        <v>0.6486111111111111</v>
      </c>
      <c r="C3348" s="5" t="inlineStr">
        <is>
          <t>Costco</t>
        </is>
      </c>
      <c r="E3348" s="5" t="n">
        <v>1</v>
      </c>
      <c r="F3348" s="6" t="inlineStr">
        <is>
          <t>439 201 141 701</t>
        </is>
      </c>
      <c r="G3348" s="10" t="n"/>
      <c r="H3348" s="9" t="inlineStr">
        <is>
          <t>Mini cucumbers cocktail</t>
        </is>
      </c>
      <c r="I3348" s="9" t="n">
        <v>1.5</v>
      </c>
      <c r="J3348" s="9" t="inlineStr">
        <is>
          <t>lb</t>
        </is>
      </c>
      <c r="K3348" s="9" t="n">
        <v>5.99</v>
      </c>
    </row>
    <row r="3349" ht="15" customFormat="1" customHeight="1" s="5">
      <c r="A3349" s="81" t="n">
        <v>45769</v>
      </c>
      <c r="B3349" s="82" t="n">
        <v>0.6486111111111111</v>
      </c>
      <c r="C3349" s="5" t="inlineStr">
        <is>
          <t>Costco</t>
        </is>
      </c>
      <c r="E3349" s="5" t="n">
        <v>1</v>
      </c>
      <c r="F3349" s="6" t="inlineStr">
        <is>
          <t>439 201 141 701</t>
        </is>
      </c>
      <c r="G3349" s="10" t="n"/>
      <c r="H3349" s="9" t="inlineStr">
        <is>
          <t>Grape tomatoes</t>
        </is>
      </c>
      <c r="I3349" s="9" t="n">
        <v>2</v>
      </c>
      <c r="J3349" s="9" t="inlineStr">
        <is>
          <t>lb</t>
        </is>
      </c>
      <c r="K3349" s="9" t="n">
        <v>5.89</v>
      </c>
    </row>
    <row r="3350" ht="15" customFormat="1" customHeight="1" s="5">
      <c r="A3350" s="81" t="n">
        <v>45769</v>
      </c>
      <c r="B3350" s="82" t="n">
        <v>0.6486111111111111</v>
      </c>
      <c r="C3350" s="5" t="inlineStr">
        <is>
          <t>Costco</t>
        </is>
      </c>
      <c r="E3350" s="5" t="n">
        <v>1</v>
      </c>
      <c r="F3350" s="6" t="inlineStr">
        <is>
          <t>439 201 141 701</t>
        </is>
      </c>
      <c r="G3350" s="10" t="n"/>
      <c r="H3350" s="9" t="inlineStr">
        <is>
          <t>Artisan romaine lettuce</t>
        </is>
      </c>
      <c r="I3350" s="9" t="n">
        <v>5</v>
      </c>
      <c r="J3350" s="9" t="inlineStr">
        <is>
          <t>cnt</t>
        </is>
      </c>
      <c r="K3350" s="9" t="n">
        <v>4.99</v>
      </c>
    </row>
    <row r="3351" ht="15" customFormat="1" customHeight="1" s="5">
      <c r="A3351" s="81" t="n">
        <v>45769</v>
      </c>
      <c r="B3351" s="82" t="n">
        <v>0.6486111111111111</v>
      </c>
      <c r="C3351" s="5" t="inlineStr">
        <is>
          <t>Costco</t>
        </is>
      </c>
      <c r="E3351" s="5" t="n">
        <v>1</v>
      </c>
      <c r="F3351" s="6" t="inlineStr">
        <is>
          <t>439 201 141 701</t>
        </is>
      </c>
      <c r="G3351" s="10" t="n"/>
      <c r="H3351" s="9" t="inlineStr">
        <is>
          <t>Tax</t>
        </is>
      </c>
      <c r="I3351" s="9" t="n">
        <v>7</v>
      </c>
      <c r="J3351" s="9" t="inlineStr">
        <is>
          <t>cnt</t>
        </is>
      </c>
      <c r="K3351" s="9" t="n">
        <v>0</v>
      </c>
    </row>
    <row r="3352" ht="15" customFormat="1" customHeight="1" s="5">
      <c r="A3352" s="81" t="n">
        <v>45769</v>
      </c>
      <c r="B3352" s="82" t="n">
        <v>0.6486111111111111</v>
      </c>
      <c r="C3352" s="5" t="inlineStr">
        <is>
          <t>Costco</t>
        </is>
      </c>
      <c r="E3352" s="5" t="n">
        <v>1</v>
      </c>
      <c r="F3352" s="6" t="inlineStr">
        <is>
          <t>439 201 141 701</t>
        </is>
      </c>
      <c r="G3352" s="10" t="n"/>
      <c r="H3352" s="9" t="inlineStr">
        <is>
          <t>Whole cantaloupe</t>
        </is>
      </c>
      <c r="I3352" s="9" t="n">
        <v>2</v>
      </c>
      <c r="J3352" s="9" t="inlineStr">
        <is>
          <t>cnt</t>
        </is>
      </c>
      <c r="K3352" s="9" t="n">
        <v>5.69</v>
      </c>
    </row>
    <row r="3353" ht="15" customFormat="1" customHeight="1" s="5">
      <c r="A3353" s="81" t="n">
        <v>45769</v>
      </c>
      <c r="B3353" s="82" t="n">
        <v>0.4993055555555556</v>
      </c>
      <c r="C3353" s="5" t="inlineStr">
        <is>
          <t>Amazon</t>
        </is>
      </c>
      <c r="D3353" s="5" t="n">
        <v>1</v>
      </c>
      <c r="F3353" s="6" t="inlineStr">
        <is>
          <t>111-0463174-4055405</t>
        </is>
      </c>
      <c r="G3353" s="10" t="n"/>
      <c r="H3353" s="9" t="inlineStr">
        <is>
          <t>Olababy Training Fork and Spoon Set Kiwi/Lime</t>
        </is>
      </c>
      <c r="I3353" s="9" t="n">
        <v>2</v>
      </c>
      <c r="J3353" s="9" t="inlineStr">
        <is>
          <t>cnt</t>
        </is>
      </c>
      <c r="K3353" s="9" t="n">
        <v>16.95</v>
      </c>
    </row>
    <row r="3354" ht="15" customFormat="1" customHeight="1" s="5">
      <c r="A3354" s="81" t="n">
        <v>45769</v>
      </c>
      <c r="B3354" s="82" t="n">
        <v>0.4993055555555556</v>
      </c>
      <c r="C3354" s="5" t="inlineStr">
        <is>
          <t>Amazon</t>
        </is>
      </c>
      <c r="D3354" s="5" t="n">
        <v>1</v>
      </c>
      <c r="F3354" s="6" t="inlineStr">
        <is>
          <t>111-0463174-4055405</t>
        </is>
      </c>
      <c r="G3354" s="10" t="n"/>
      <c r="H3354" s="9" t="inlineStr">
        <is>
          <t>Tax</t>
        </is>
      </c>
      <c r="I3354" s="9" t="n">
        <v>1</v>
      </c>
      <c r="J3354" s="9" t="inlineStr">
        <is>
          <t>cnt</t>
        </is>
      </c>
      <c r="K3354" s="9" t="n">
        <v>1.36</v>
      </c>
    </row>
    <row r="3355" ht="15" customFormat="1" customHeight="1" s="5">
      <c r="A3355" s="81" t="n">
        <v>45769</v>
      </c>
      <c r="B3355" s="82" t="n">
        <v>0.2916666666666667</v>
      </c>
      <c r="C3355" s="5" t="inlineStr">
        <is>
          <t>CDLE FAMLI</t>
        </is>
      </c>
      <c r="D3355" s="5" t="n">
        <v>1</v>
      </c>
      <c r="F3355" s="6" t="inlineStr">
        <is>
          <t>NA_Fam10</t>
        </is>
      </c>
      <c r="G3355" s="10" t="n"/>
      <c r="H3355" s="9" t="inlineStr">
        <is>
          <t>RTX ELI Deposit CDLE FAMLI_2 Benefits</t>
        </is>
      </c>
      <c r="I3355" s="9" t="n"/>
      <c r="J3355" s="9" t="n"/>
      <c r="K3355" s="9" t="n">
        <v>-1324.21</v>
      </c>
    </row>
    <row r="3356" ht="15" customFormat="1" customHeight="1" s="5">
      <c r="A3356" s="81" t="n">
        <v>45768</v>
      </c>
      <c r="B3356" s="82" t="n">
        <v>0.7375</v>
      </c>
      <c r="C3356" s="5" t="inlineStr">
        <is>
          <t>Il Forno De Tutti</t>
        </is>
      </c>
      <c r="E3356" s="5" t="n">
        <v>1</v>
      </c>
      <c r="F3356" s="6" t="inlineStr">
        <is>
          <t>250421-02-13</t>
        </is>
      </c>
      <c r="G3356" s="10" t="n"/>
      <c r="H3356" s="9" t="inlineStr">
        <is>
          <t>Lasagna Bolognese Primi</t>
        </is>
      </c>
      <c r="I3356" s="9" t="n">
        <v>1</v>
      </c>
      <c r="J3356" s="9" t="inlineStr">
        <is>
          <t>cnt</t>
        </is>
      </c>
      <c r="K3356" s="9" t="n">
        <v>23</v>
      </c>
    </row>
    <row r="3357" ht="15" customFormat="1" customHeight="1" s="5">
      <c r="A3357" s="81" t="n">
        <v>45768</v>
      </c>
      <c r="B3357" s="82" t="n">
        <v>0.7375</v>
      </c>
      <c r="C3357" s="5" t="inlineStr">
        <is>
          <t>Il Forno De Tutti</t>
        </is>
      </c>
      <c r="E3357" s="5" t="n">
        <v>1</v>
      </c>
      <c r="F3357" s="6" t="inlineStr">
        <is>
          <t>250421-02-13</t>
        </is>
      </c>
      <c r="G3357" s="10" t="n"/>
      <c r="H3357" s="9" t="inlineStr">
        <is>
          <t>Hand Cut Fettucine with bolognese sauce</t>
        </is>
      </c>
      <c r="I3357" s="9" t="n">
        <v>1</v>
      </c>
      <c r="J3357" s="9" t="inlineStr">
        <is>
          <t>cnt</t>
        </is>
      </c>
      <c r="K3357" s="9" t="n">
        <v>21</v>
      </c>
    </row>
    <row r="3358" ht="15" customFormat="1" customHeight="1" s="5">
      <c r="A3358" s="81" t="n">
        <v>45768</v>
      </c>
      <c r="B3358" s="82" t="n">
        <v>0.7375</v>
      </c>
      <c r="C3358" s="5" t="inlineStr">
        <is>
          <t>Il Forno De Tutti</t>
        </is>
      </c>
      <c r="E3358" s="5" t="n">
        <v>1</v>
      </c>
      <c r="F3358" s="6" t="inlineStr">
        <is>
          <t>250421-02-13</t>
        </is>
      </c>
      <c r="G3358" s="10" t="n"/>
      <c r="H3358" s="9" t="inlineStr">
        <is>
          <t>Tax</t>
        </is>
      </c>
      <c r="I3358" s="9" t="n">
        <v>2</v>
      </c>
      <c r="J3358" s="9" t="inlineStr">
        <is>
          <t>cnt</t>
        </is>
      </c>
      <c r="K3358" s="9" t="n">
        <v>3.52</v>
      </c>
    </row>
    <row r="3359" ht="15" customFormat="1" customHeight="1" s="62">
      <c r="A3359" s="81" t="n">
        <v>45768</v>
      </c>
      <c r="B3359" s="82" t="n">
        <v>0.6847222222222222</v>
      </c>
      <c r="C3359" s="5" t="inlineStr">
        <is>
          <t>Aurora Water</t>
        </is>
      </c>
      <c r="D3359" s="5" t="n">
        <v>1</v>
      </c>
      <c r="E3359" s="5" t="n"/>
      <c r="F3359" s="6" t="inlineStr">
        <is>
          <t>0002886454_4238352212</t>
        </is>
      </c>
      <c r="G3359" s="10" t="n"/>
      <c r="H3359" s="9" t="inlineStr">
        <is>
          <t>First 5K GAL @$5.63/KGal</t>
        </is>
      </c>
      <c r="I3359" s="9" t="n">
        <v>4</v>
      </c>
      <c r="J3359" s="9" t="inlineStr">
        <is>
          <t>KGal</t>
        </is>
      </c>
      <c r="K3359" s="9" t="n">
        <v>22.52</v>
      </c>
    </row>
    <row r="3360" ht="15" customFormat="1" customHeight="1" s="62">
      <c r="A3360" s="81" t="n">
        <v>45768</v>
      </c>
      <c r="B3360" s="82" t="n">
        <v>0.6847222222222222</v>
      </c>
      <c r="C3360" s="5" t="inlineStr">
        <is>
          <t>Aurora Water</t>
        </is>
      </c>
      <c r="D3360" s="5" t="n">
        <v>1</v>
      </c>
      <c r="E3360" s="5" t="n"/>
      <c r="F3360" s="6" t="inlineStr">
        <is>
          <t>0002886454_4238352212</t>
        </is>
      </c>
      <c r="G3360" s="10" t="n"/>
      <c r="H3360" s="9" t="inlineStr">
        <is>
          <t>Water Monthly Svc Chg</t>
        </is>
      </c>
      <c r="I3360" s="9" t="n"/>
      <c r="J3360" s="9" t="n"/>
      <c r="K3360" s="9" t="n">
        <v>14.94</v>
      </c>
    </row>
    <row r="3361" ht="15" customHeight="1" s="74">
      <c r="A3361" s="81" t="n">
        <v>45768</v>
      </c>
      <c r="B3361" s="82" t="n">
        <v>0.6847222222222222</v>
      </c>
      <c r="C3361" s="5" t="inlineStr">
        <is>
          <t>Aurora Water</t>
        </is>
      </c>
      <c r="D3361" s="5" t="n">
        <v>1</v>
      </c>
      <c r="E3361" s="5" t="n"/>
      <c r="F3361" s="6" t="inlineStr">
        <is>
          <t>0002886454_4238352212</t>
        </is>
      </c>
      <c r="G3361" s="10" t="n"/>
      <c r="H3361" s="9" t="inlineStr">
        <is>
          <t>Storm Drain Base</t>
        </is>
      </c>
      <c r="I3361" s="9" t="n"/>
      <c r="J3361" s="9" t="n"/>
      <c r="K3361" s="9" t="n">
        <v>11.6</v>
      </c>
    </row>
    <row r="3362" ht="15" customFormat="1" customHeight="1" s="62">
      <c r="A3362" s="81" t="n">
        <v>45768</v>
      </c>
      <c r="B3362" s="82" t="n">
        <v>0.6847222222222222</v>
      </c>
      <c r="C3362" s="5" t="inlineStr">
        <is>
          <t>Aurora Water</t>
        </is>
      </c>
      <c r="D3362" s="5" t="n">
        <v>1</v>
      </c>
      <c r="E3362" s="5" t="n"/>
      <c r="F3362" s="6" t="inlineStr">
        <is>
          <t>0002886454_4238352212</t>
        </is>
      </c>
      <c r="G3362" s="10" t="n"/>
      <c r="H3362" s="9" t="inlineStr">
        <is>
          <t>Sewer Usage Chg @$5.06/Kgal</t>
        </is>
      </c>
      <c r="I3362" s="9" t="n">
        <v>1.67</v>
      </c>
      <c r="J3362" s="9" t="inlineStr">
        <is>
          <t>KGal</t>
        </is>
      </c>
      <c r="K3362" s="9" t="n">
        <v>8.449999999999999</v>
      </c>
    </row>
    <row r="3363" ht="15" customFormat="1" customHeight="1" s="62">
      <c r="A3363" s="81" t="n">
        <v>45768</v>
      </c>
      <c r="B3363" s="82" t="n">
        <v>0.6847222222222222</v>
      </c>
      <c r="C3363" s="5" t="inlineStr">
        <is>
          <t>Aurora Water</t>
        </is>
      </c>
      <c r="D3363" s="5" t="n">
        <v>1</v>
      </c>
      <c r="E3363" s="5" t="n"/>
      <c r="F3363" s="6" t="inlineStr">
        <is>
          <t>0002886454_4238352212</t>
        </is>
      </c>
      <c r="G3363" s="10" t="n"/>
      <c r="H3363" s="9" t="inlineStr">
        <is>
          <t>Sewer Monthly Svc Chg</t>
        </is>
      </c>
      <c r="I3363" s="9" t="n"/>
      <c r="J3363" s="9" t="n"/>
      <c r="K3363" s="9" t="n">
        <v>5.51</v>
      </c>
    </row>
    <row r="3364" ht="15" customFormat="1" customHeight="1" s="62">
      <c r="A3364" s="81" t="n">
        <v>45766</v>
      </c>
      <c r="B3364" s="82" t="n">
        <v>0.7708333333333334</v>
      </c>
      <c r="C3364" s="5" t="inlineStr">
        <is>
          <t>Five Guys</t>
        </is>
      </c>
      <c r="D3364" s="5" t="n"/>
      <c r="E3364" s="5" t="n">
        <v>1</v>
      </c>
      <c r="F3364" s="6" t="inlineStr">
        <is>
          <t>NA_totallyForgotReceipt</t>
        </is>
      </c>
      <c r="G3364" s="10" t="n"/>
      <c r="H3364" s="9" t="inlineStr">
        <is>
          <t>burgers after flying home from GA and before getting home; totally forgot receipt, but it was two burgers, a medium fry, and lots of vinegar tomato sauce and mayo; they thought sheva was so stinking ute</t>
        </is>
      </c>
      <c r="I3364" s="9" t="n">
        <v>3</v>
      </c>
      <c r="J3364" s="9" t="inlineStr">
        <is>
          <t>cnt</t>
        </is>
      </c>
      <c r="K3364" s="9" t="n">
        <v>30.31</v>
      </c>
    </row>
    <row r="3365" ht="15" customFormat="1" customHeight="1" s="62">
      <c r="A3365" s="81" t="n">
        <v>45766</v>
      </c>
      <c r="B3365" s="82" t="n">
        <v>0.7611111111111111</v>
      </c>
      <c r="C3365" s="5" t="inlineStr">
        <is>
          <t>Denver International Airport Pikes Peak</t>
        </is>
      </c>
      <c r="D3365" s="5" t="n"/>
      <c r="E3365" s="5" t="n">
        <v>1</v>
      </c>
      <c r="F3365" s="6" t="inlineStr">
        <is>
          <t>629055319</t>
        </is>
      </c>
      <c r="G3365" s="7" t="n"/>
      <c r="H3365" s="9" t="inlineStr">
        <is>
          <t xml:space="preserve"> Arrived: 10:15 AM 15 Apr 2025; Departed: 6:16 PM 19 Apr 2025; Total Duration: 4 days 8 hrs</t>
        </is>
      </c>
      <c r="I3365" s="9" t="n">
        <v>5</v>
      </c>
      <c r="J3365" s="9" t="inlineStr">
        <is>
          <t>cnt</t>
        </is>
      </c>
      <c r="K3365" s="9" t="n">
        <v>40</v>
      </c>
    </row>
    <row r="3366" ht="15" customHeight="1" s="74">
      <c r="A3366" s="81" t="n">
        <v>45765</v>
      </c>
      <c r="B3366" s="82" t="n">
        <v>0.8784722222222222</v>
      </c>
      <c r="C3366" s="5" t="inlineStr">
        <is>
          <t>Amazon</t>
        </is>
      </c>
      <c r="D3366" s="5" t="n">
        <v>1</v>
      </c>
      <c r="E3366" s="5" t="n"/>
      <c r="F3366" s="6" t="inlineStr">
        <is>
          <t>111-0500957-1184200</t>
        </is>
      </c>
      <c r="G3366" s="7" t="n"/>
      <c r="H3366" s="9" t="inlineStr">
        <is>
          <t>MoKo Case for iPad (A16) 11th Generation 11 Inch 2025, iPad 10th Generation 10.9 inch 2022, Slim Stand Protective Cover with Hard PC Translucent Back Shell Cover, Support Touch ID, Navy Blue</t>
        </is>
      </c>
      <c r="I3366" s="9" t="n">
        <v>1</v>
      </c>
      <c r="J3366" s="9" t="inlineStr">
        <is>
          <t>cnt</t>
        </is>
      </c>
      <c r="K3366" s="9" t="n">
        <v>9.449999999999999</v>
      </c>
    </row>
    <row r="3367" ht="15" customHeight="1" s="74">
      <c r="A3367" s="81" t="n">
        <v>45765</v>
      </c>
      <c r="B3367" s="82" t="n">
        <v>0.8784722222222222</v>
      </c>
      <c r="C3367" s="5" t="inlineStr">
        <is>
          <t>Amazon</t>
        </is>
      </c>
      <c r="D3367" s="5" t="n">
        <v>1</v>
      </c>
      <c r="E3367" s="5" t="n"/>
      <c r="F3367" s="6" t="inlineStr">
        <is>
          <t>111-0500957-1184200</t>
        </is>
      </c>
      <c r="G3367" s="7" t="n"/>
      <c r="H3367" s="9" t="inlineStr">
        <is>
          <t>Tax</t>
        </is>
      </c>
      <c r="I3367" s="9" t="n">
        <v>1</v>
      </c>
      <c r="J3367" s="9" t="inlineStr">
        <is>
          <t>cnt</t>
        </is>
      </c>
      <c r="K3367" s="9" t="n">
        <v>0.57</v>
      </c>
    </row>
    <row r="3368" ht="15" customHeight="1" s="74">
      <c r="A3368" s="81" t="n">
        <v>45764</v>
      </c>
      <c r="B3368" s="82" t="n">
        <v>0.9576851851851852</v>
      </c>
      <c r="C3368" s="5" t="inlineStr">
        <is>
          <t>Walmart</t>
        </is>
      </c>
      <c r="D3368" s="5" t="n"/>
      <c r="E3368" s="5" t="n">
        <v>1</v>
      </c>
      <c r="F3368" s="6" t="n"/>
      <c r="G3368" s="7" t="n"/>
      <c r="H3368" s="9" t="inlineStr">
        <is>
          <t>AZO Urinary Tract Infection (UTI) At-Home Test Strips, Clinically Tested, Clean Grip Handle, 3 Count</t>
        </is>
      </c>
      <c r="I3368" s="9" t="n">
        <v>3</v>
      </c>
      <c r="J3368" s="9" t="inlineStr">
        <is>
          <t>cnt</t>
        </is>
      </c>
      <c r="K3368" s="9" t="n">
        <v>9.92</v>
      </c>
    </row>
    <row r="3369" ht="15" customHeight="1" s="74">
      <c r="A3369" s="81" t="n">
        <v>45764</v>
      </c>
      <c r="B3369" s="82" t="n">
        <v>0.9576851851851852</v>
      </c>
      <c r="C3369" s="5" t="inlineStr">
        <is>
          <t>Walmart</t>
        </is>
      </c>
      <c r="D3369" s="5" t="n"/>
      <c r="E3369" s="5" t="n">
        <v>1</v>
      </c>
      <c r="F3369" s="6" t="n"/>
      <c r="G3369" s="7" t="n"/>
      <c r="H3369" s="9" t="inlineStr">
        <is>
          <t>AZO Urinary Pain Relief Maximum Strength Tablets, HSA/FSA Eligible, Fast Relief, 24 Count</t>
        </is>
      </c>
      <c r="I3369" s="9" t="n">
        <v>24</v>
      </c>
      <c r="J3369" s="9" t="inlineStr">
        <is>
          <t>cnt</t>
        </is>
      </c>
      <c r="K3369" s="9" t="n">
        <v>8.119999999999999</v>
      </c>
    </row>
    <row r="3370" ht="15" customFormat="1" customHeight="1" s="5">
      <c r="A3370" s="81" t="n">
        <v>45764</v>
      </c>
      <c r="B3370" s="82" t="n">
        <v>0.9576851851851852</v>
      </c>
      <c r="C3370" s="5" t="inlineStr">
        <is>
          <t>Walmart</t>
        </is>
      </c>
      <c r="E3370" s="5" t="n">
        <v>1</v>
      </c>
      <c r="F3370" s="6" t="n"/>
      <c r="G3370" s="7" t="n"/>
      <c r="H3370" s="9" t="inlineStr">
        <is>
          <t>Tax (UTI stuff) — Canton GA</t>
        </is>
      </c>
      <c r="I3370" s="9" t="n">
        <v>2</v>
      </c>
      <c r="J3370" s="9" t="inlineStr">
        <is>
          <t>cnt</t>
        </is>
      </c>
      <c r="K3370" s="9" t="n">
        <v>1.08</v>
      </c>
    </row>
    <row r="3371" ht="15" customFormat="1" customHeight="1" s="5">
      <c r="A3371" s="81" t="n">
        <v>45764</v>
      </c>
      <c r="B3371" s="82" t="n">
        <v>0.9576851851851852</v>
      </c>
      <c r="C3371" s="5" t="inlineStr">
        <is>
          <t>Walmart</t>
        </is>
      </c>
      <c r="E3371" s="5" t="n">
        <v>1</v>
      </c>
      <c r="F3371" s="6" t="n"/>
      <c r="G3371" s="7" t="n"/>
      <c r="H3371" s="9" t="inlineStr">
        <is>
          <t>Huggies Simply Clean Unscented Wipes, 1 Flip-Top Pack, 64 Total Ct</t>
        </is>
      </c>
      <c r="I3371" s="9" t="n">
        <v>64</v>
      </c>
      <c r="J3371" s="9" t="inlineStr">
        <is>
          <t>cnt</t>
        </is>
      </c>
      <c r="K3371" s="9" t="n">
        <v>2.27</v>
      </c>
    </row>
    <row r="3372" ht="15" customHeight="1" s="74">
      <c r="A3372" s="81" t="n">
        <v>45764</v>
      </c>
      <c r="B3372" s="82" t="n">
        <v>0.9576851851851852</v>
      </c>
      <c r="C3372" s="5" t="inlineStr">
        <is>
          <t>Walmart</t>
        </is>
      </c>
      <c r="D3372" s="5" t="n"/>
      <c r="E3372" s="5" t="n">
        <v>1</v>
      </c>
      <c r="F3372" s="6" t="n"/>
      <c r="G3372" s="7" t="n"/>
      <c r="H3372" s="9" t="inlineStr">
        <is>
          <t>Tax (wipes) — Canton GA</t>
        </is>
      </c>
      <c r="I3372" s="9" t="n">
        <v>1</v>
      </c>
      <c r="J3372" s="9" t="inlineStr">
        <is>
          <t>cnt</t>
        </is>
      </c>
      <c r="K3372" s="9" t="n">
        <v>0.14</v>
      </c>
    </row>
    <row r="3373" ht="15" customHeight="1" s="74">
      <c r="A3373" s="81" t="n">
        <v>45764</v>
      </c>
      <c r="B3373" s="82" t="n">
        <v>0.2916666666666667</v>
      </c>
      <c r="C3373" s="5" t="inlineStr">
        <is>
          <t>NFCU</t>
        </is>
      </c>
      <c r="D3373" s="5" t="n">
        <v>1</v>
      </c>
      <c r="E3373" s="5" t="n"/>
      <c r="F3373" s="6" t="n"/>
      <c r="G3373" s="7" t="n"/>
      <c r="H3373" s="9" t="inlineStr">
        <is>
          <t>Reward Redemption</t>
        </is>
      </c>
      <c r="I3373" s="9" t="n"/>
      <c r="J3373" s="9" t="n"/>
      <c r="K3373" s="9" t="n">
        <v>-1.65</v>
      </c>
    </row>
    <row r="3374" ht="15" customHeight="1" s="74">
      <c r="A3374" s="81" t="n">
        <v>45763</v>
      </c>
      <c r="B3374" s="82" t="n">
        <v>0.2916666666666667</v>
      </c>
      <c r="C3374" s="5" t="inlineStr">
        <is>
          <t>CIT</t>
        </is>
      </c>
      <c r="D3374" s="5" t="n">
        <v>1</v>
      </c>
      <c r="E3374" s="5" t="n"/>
      <c r="F3374" s="6" t="n"/>
      <c r="G3374" s="7" t="n"/>
      <c r="H3374" s="9" t="inlineStr">
        <is>
          <t>2024 Federal Tax REFUND — filed 4/9/25</t>
        </is>
      </c>
      <c r="I3374" s="9" t="n"/>
      <c r="J3374" s="9" t="n"/>
      <c r="K3374" s="9" t="n">
        <v>-637</v>
      </c>
    </row>
    <row r="3375" ht="15" customHeight="1" s="74">
      <c r="A3375" s="81" t="n">
        <v>45763</v>
      </c>
      <c r="B3375" s="82" t="n">
        <v>0.09305555555555556</v>
      </c>
      <c r="C3375" s="5" t="inlineStr">
        <is>
          <t>Amazon</t>
        </is>
      </c>
      <c r="D3375" s="5" t="n">
        <v>1</v>
      </c>
      <c r="E3375" s="5" t="n"/>
      <c r="F3375" s="6" t="inlineStr">
        <is>
          <t>111-9691691-1717813</t>
        </is>
      </c>
      <c r="G3375" s="7" t="n"/>
      <c r="H3375" s="9" t="inlineStr">
        <is>
          <t>hiccapop Blackout Tent for Pack and Play, Patented Portable Crib Tent, Blackout Canopy Crib Cover, Sleep Pod for Kids, Pack and Play Tent, Black</t>
        </is>
      </c>
      <c r="I3375" s="9" t="n">
        <v>1</v>
      </c>
      <c r="J3375" s="9" t="n"/>
      <c r="K3375" s="9" t="n">
        <v>149.92</v>
      </c>
    </row>
    <row r="3376" ht="15" customHeight="1" s="74">
      <c r="A3376" s="81" t="n">
        <v>45763</v>
      </c>
      <c r="B3376" s="82" t="n">
        <v>0.09305555555555556</v>
      </c>
      <c r="C3376" s="5" t="inlineStr">
        <is>
          <t>Amazon</t>
        </is>
      </c>
      <c r="D3376" s="5" t="n">
        <v>1</v>
      </c>
      <c r="E3376" s="5" t="n"/>
      <c r="F3376" s="6" t="inlineStr">
        <is>
          <t>111-9691691-1717813</t>
        </is>
      </c>
      <c r="G3376" s="7" t="n"/>
      <c r="H3376" s="9" t="inlineStr">
        <is>
          <t>Tax</t>
        </is>
      </c>
      <c r="I3376" s="9" t="n">
        <v>1</v>
      </c>
      <c r="J3376" s="9" t="n"/>
      <c r="K3376" s="9" t="n">
        <v>5.99</v>
      </c>
    </row>
    <row r="3377" ht="15" customHeight="1" s="74">
      <c r="A3377" s="81" t="n">
        <v>45763</v>
      </c>
      <c r="B3377" s="82" t="n">
        <v>0.09305555555555556</v>
      </c>
      <c r="C3377" s="5" t="inlineStr">
        <is>
          <t>Amazon</t>
        </is>
      </c>
      <c r="D3377" s="5" t="n">
        <v>1</v>
      </c>
      <c r="E3377" s="5" t="n"/>
      <c r="F3377" s="6" t="inlineStr">
        <is>
          <t>111-9691691-1717813</t>
        </is>
      </c>
      <c r="G3377" s="7" t="n"/>
      <c r="H3377" s="9" t="inlineStr">
        <is>
          <t>**DISCOUNT** Used, Like New</t>
        </is>
      </c>
      <c r="I3377" s="9" t="n">
        <v>1</v>
      </c>
      <c r="J3377" s="9" t="n"/>
      <c r="K3377" s="9" t="n">
        <v>-50.03</v>
      </c>
    </row>
    <row r="3378" ht="15" customFormat="1" customHeight="1" s="5">
      <c r="A3378" s="81" t="n">
        <v>45761</v>
      </c>
      <c r="B3378" s="82" t="n">
        <v>0.9430555555555555</v>
      </c>
      <c r="C3378" s="5" t="inlineStr">
        <is>
          <t>CDLE FAMLI</t>
        </is>
      </c>
      <c r="D3378" s="5" t="n">
        <v>1</v>
      </c>
      <c r="F3378" s="6" t="inlineStr">
        <is>
          <t>NA_Fam09</t>
        </is>
      </c>
      <c r="G3378" s="7" t="n"/>
      <c r="H3378" s="9" t="inlineStr">
        <is>
          <t>RTX ELI Deposit CDLE FAMLI_2 Benefits</t>
        </is>
      </c>
      <c r="I3378" s="9" t="n"/>
      <c r="J3378" s="9" t="n"/>
      <c r="K3378" s="9" t="n">
        <v>-1324.21</v>
      </c>
    </row>
    <row r="3379" ht="15" customHeight="1" s="74">
      <c r="A3379" s="81" t="n">
        <v>45761</v>
      </c>
      <c r="B3379" s="82" t="n">
        <v>0.7868055555555555</v>
      </c>
      <c r="C3379" s="5" t="inlineStr">
        <is>
          <t>Facebook Marketplace</t>
        </is>
      </c>
      <c r="D3379" s="5" t="n">
        <v>1</v>
      </c>
      <c r="E3379" s="5" t="n"/>
      <c r="F3379" s="6" t="inlineStr">
        <is>
          <t>1838258040050996</t>
        </is>
      </c>
      <c r="G3379" s="7" t="n"/>
      <c r="H3379" s="9" t="inlineStr">
        <is>
          <t>Kyte Baby Sleep N Plays, 6-12M, like new (3 pair)</t>
        </is>
      </c>
      <c r="I3379" s="9" t="n">
        <v>3</v>
      </c>
      <c r="J3379" s="9" t="inlineStr">
        <is>
          <t>cnt</t>
        </is>
      </c>
      <c r="K3379" s="9" t="n">
        <v>24</v>
      </c>
    </row>
    <row r="3380" ht="15" customHeight="1" s="74">
      <c r="A3380" s="81" t="n">
        <v>45761</v>
      </c>
      <c r="B3380" s="82" t="n">
        <v>0.7868055555555555</v>
      </c>
      <c r="C3380" s="5" t="inlineStr">
        <is>
          <t>Facebook Marketplace</t>
        </is>
      </c>
      <c r="D3380" s="5" t="n">
        <v>1</v>
      </c>
      <c r="E3380" s="5" t="n"/>
      <c r="F3380" s="6" t="inlineStr">
        <is>
          <t>1838258040050996</t>
        </is>
      </c>
      <c r="G3380" s="7" t="n"/>
      <c r="H3380" s="9" t="inlineStr">
        <is>
          <t>Shipping</t>
        </is>
      </c>
      <c r="I3380" s="9" t="n">
        <v>1</v>
      </c>
      <c r="J3380" s="9" t="inlineStr">
        <is>
          <t>cnt</t>
        </is>
      </c>
      <c r="K3380" s="9" t="n">
        <v>5</v>
      </c>
    </row>
    <row r="3381" ht="15" customHeight="1" s="74">
      <c r="A3381" s="81" t="n">
        <v>45761</v>
      </c>
      <c r="B3381" s="82" t="n">
        <v>0.7868055555555555</v>
      </c>
      <c r="C3381" s="5" t="inlineStr">
        <is>
          <t>Facebook Marketplace</t>
        </is>
      </c>
      <c r="D3381" s="5" t="n">
        <v>1</v>
      </c>
      <c r="E3381" s="5" t="n"/>
      <c r="F3381" s="6" t="inlineStr">
        <is>
          <t>1838258040050996</t>
        </is>
      </c>
      <c r="G3381" s="7" t="n"/>
      <c r="H3381" s="9" t="inlineStr">
        <is>
          <t>Tax</t>
        </is>
      </c>
      <c r="I3381" s="9" t="n">
        <v>1</v>
      </c>
      <c r="J3381" s="9" t="inlineStr">
        <is>
          <t>cnt</t>
        </is>
      </c>
      <c r="K3381" s="9" t="n">
        <v>2.32</v>
      </c>
    </row>
    <row r="3382" ht="15" customHeight="1" s="74">
      <c r="A3382" s="81" t="n">
        <v>45761</v>
      </c>
      <c r="B3382" s="82" t="n">
        <v>0.6763888888888889</v>
      </c>
      <c r="C3382" s="5" t="inlineStr">
        <is>
          <t>Facebook Marketplace</t>
        </is>
      </c>
      <c r="D3382" s="5" t="n">
        <v>1</v>
      </c>
      <c r="E3382" s="5" t="n"/>
      <c r="F3382" s="6" t="inlineStr">
        <is>
          <t>1267721988251304</t>
        </is>
      </c>
      <c r="G3382" s="7" t="n"/>
      <c r="H3382" s="9" t="inlineStr">
        <is>
          <t>Lovevery | The Music Set | 6 Montessori Musical Instruments &amp; Rhythm Book</t>
        </is>
      </c>
      <c r="I3382" s="9" t="n">
        <v>1</v>
      </c>
      <c r="J3382" s="9" t="inlineStr">
        <is>
          <t>cnt</t>
        </is>
      </c>
      <c r="K3382" s="9" t="n">
        <v>60</v>
      </c>
    </row>
    <row r="3383" ht="15" customHeight="1" s="74">
      <c r="A3383" s="81" t="n">
        <v>45761</v>
      </c>
      <c r="B3383" s="82" t="n">
        <v>0.6763888888888889</v>
      </c>
      <c r="C3383" s="5" t="inlineStr">
        <is>
          <t>Facebook Marketplace</t>
        </is>
      </c>
      <c r="D3383" s="5" t="n">
        <v>1</v>
      </c>
      <c r="E3383" s="5" t="n"/>
      <c r="F3383" s="6" t="inlineStr">
        <is>
          <t>1267721988251304</t>
        </is>
      </c>
      <c r="G3383" s="7" t="n"/>
      <c r="H3383" s="9" t="inlineStr">
        <is>
          <t>Shipping</t>
        </is>
      </c>
      <c r="I3383" s="9" t="n">
        <v>1</v>
      </c>
      <c r="J3383" s="9" t="inlineStr">
        <is>
          <t>cnt</t>
        </is>
      </c>
      <c r="K3383" s="9" t="n">
        <v>10</v>
      </c>
    </row>
    <row r="3384" ht="15" customFormat="1" customHeight="1" s="5">
      <c r="A3384" s="81" t="n">
        <v>45761</v>
      </c>
      <c r="B3384" s="82" t="n">
        <v>0.6763888888888889</v>
      </c>
      <c r="C3384" s="5" t="inlineStr">
        <is>
          <t>Facebook Marketplace</t>
        </is>
      </c>
      <c r="D3384" s="5" t="n">
        <v>1</v>
      </c>
      <c r="F3384" s="6" t="inlineStr">
        <is>
          <t>1267721988251304</t>
        </is>
      </c>
      <c r="G3384" s="7" t="n"/>
      <c r="H3384" s="9" t="inlineStr">
        <is>
          <t>Tax</t>
        </is>
      </c>
      <c r="I3384" s="9" t="n">
        <v>1</v>
      </c>
      <c r="J3384" s="9" t="inlineStr">
        <is>
          <t>cnt</t>
        </is>
      </c>
      <c r="K3384" s="9" t="n">
        <v>5.6</v>
      </c>
    </row>
    <row r="3385" ht="15" customFormat="1" customHeight="1" s="5">
      <c r="A3385" s="81" t="n">
        <v>45761</v>
      </c>
      <c r="B3385" s="82" t="n">
        <v>0.6329050925925926</v>
      </c>
      <c r="C3385" s="5" t="inlineStr">
        <is>
          <t>PayPal</t>
        </is>
      </c>
      <c r="D3385" s="5" t="n">
        <v>1</v>
      </c>
      <c r="F3385" s="6" t="inlineStr">
        <is>
          <t>07E270259B598874Y</t>
        </is>
      </c>
      <c r="G3385" s="7" t="n"/>
      <c r="H3385" s="9" t="inlineStr">
        <is>
          <t>Kyte baby purchase REFUND (she couldn't find the outfits)</t>
        </is>
      </c>
      <c r="I3385" s="9" t="n">
        <v>4</v>
      </c>
      <c r="J3385" s="9" t="inlineStr">
        <is>
          <t>cnt</t>
        </is>
      </c>
      <c r="K3385" s="9" t="n">
        <v>-70</v>
      </c>
    </row>
    <row r="3386" ht="15" customFormat="1" customHeight="1" s="5">
      <c r="A3386" s="81" t="n">
        <v>45761</v>
      </c>
      <c r="B3386" s="82" t="n">
        <v>0.5548611111111111</v>
      </c>
      <c r="C3386" s="5" t="inlineStr">
        <is>
          <t>Panera Bread</t>
        </is>
      </c>
      <c r="D3386" s="5" t="n">
        <v>1</v>
      </c>
      <c r="F3386" s="6" t="inlineStr">
        <is>
          <t>#6051715896660240</t>
        </is>
      </c>
      <c r="G3386" s="7" t="n"/>
      <c r="H3386" s="9" t="inlineStr">
        <is>
          <t>You Pick Two: cranberry Walnut Chicken Salad Sandwich
with Black Pepper Focaccia
with Extra Sliced Tomatoes
with Basil
with Cucumber
with Zesty Sweet Peppers
with No Country Rustic Sourdough</t>
        </is>
      </c>
      <c r="I3386" s="9" t="n"/>
      <c r="J3386" s="9" t="n"/>
      <c r="K3386" s="9" t="n">
        <v>6.99</v>
      </c>
    </row>
    <row r="3387" ht="15" customHeight="1" s="74">
      <c r="A3387" s="81" t="n">
        <v>45761</v>
      </c>
      <c r="B3387" s="82" t="n">
        <v>0.5548611111111111</v>
      </c>
      <c r="C3387" s="5" t="inlineStr">
        <is>
          <t>Panera Bread</t>
        </is>
      </c>
      <c r="D3387" s="5" t="n">
        <v>1</v>
      </c>
      <c r="E3387" s="5" t="n"/>
      <c r="F3387" s="6" t="inlineStr">
        <is>
          <t>#6051715896660240</t>
        </is>
      </c>
      <c r="G3387" s="7" t="n"/>
      <c r="H3387" s="9" t="inlineStr">
        <is>
          <t>You pick Two: Half Tuna Salad Sandwich
with Black Pepper Focaccia
with Cucumber
with Zesty Sweet Peppers
with Garlic Aioli
with Basil
with No Country Rustic Sourdough</t>
        </is>
      </c>
      <c r="I3387" s="9" t="n"/>
      <c r="J3387" s="9" t="n"/>
      <c r="K3387" s="9" t="n">
        <v>6.49</v>
      </c>
    </row>
    <row r="3388" ht="15" customHeight="1" s="74">
      <c r="A3388" s="81" t="n">
        <v>45761</v>
      </c>
      <c r="B3388" s="82" t="n">
        <v>0.5548611111111111</v>
      </c>
      <c r="C3388" s="5" t="inlineStr">
        <is>
          <t>Panera Bread</t>
        </is>
      </c>
      <c r="D3388" s="5" t="n">
        <v>1</v>
      </c>
      <c r="E3388" s="5" t="n"/>
      <c r="F3388" s="6" t="inlineStr">
        <is>
          <t>#6051715896660240</t>
        </is>
      </c>
      <c r="G3388" s="7" t="n"/>
      <c r="H3388" s="9" t="inlineStr">
        <is>
          <t>Tax</t>
        </is>
      </c>
      <c r="I3388" s="9" t="n"/>
      <c r="J3388" s="9" t="n"/>
      <c r="K3388" s="9" t="n">
        <v>1.08</v>
      </c>
    </row>
    <row r="3389" ht="15" customHeight="1" s="74">
      <c r="A3389" s="81" t="n">
        <v>45761</v>
      </c>
      <c r="B3389" s="82" t="n">
        <v>0.5548611111111111</v>
      </c>
      <c r="C3389" s="5" t="inlineStr">
        <is>
          <t>Panera Bread</t>
        </is>
      </c>
      <c r="D3389" s="5" t="n">
        <v>1</v>
      </c>
      <c r="E3389" s="5" t="n"/>
      <c r="F3389" s="6" t="inlineStr">
        <is>
          <t>#6051715896660240</t>
        </is>
      </c>
      <c r="G3389" s="7" t="n"/>
      <c r="H3389" s="9" t="inlineStr">
        <is>
          <t>French baguette</t>
        </is>
      </c>
      <c r="I3389" s="9" t="n"/>
      <c r="J3389" s="9" t="n"/>
      <c r="K3389" s="9" t="n">
        <v>0</v>
      </c>
    </row>
    <row r="3390" ht="15" customHeight="1" s="74">
      <c r="A3390" s="81" t="n">
        <v>45761</v>
      </c>
      <c r="B3390" s="82" t="n">
        <v>0.5548611111111111</v>
      </c>
      <c r="C3390" s="5" t="inlineStr">
        <is>
          <t>Panera Bread</t>
        </is>
      </c>
      <c r="D3390" s="5" t="n">
        <v>1</v>
      </c>
      <c r="E3390" s="5" t="n"/>
      <c r="F3390" s="6" t="inlineStr">
        <is>
          <t>#6051715896660240</t>
        </is>
      </c>
      <c r="G3390" s="7" t="n"/>
      <c r="H3390" s="9" t="inlineStr">
        <is>
          <t>Mary Wu treat!</t>
        </is>
      </c>
      <c r="I3390" s="9" t="n"/>
      <c r="J3390" s="9" t="n"/>
      <c r="K3390" s="9" t="n">
        <v>-14.56</v>
      </c>
    </row>
    <row r="3391" ht="15" customHeight="1" s="74">
      <c r="A3391" s="81" t="n">
        <v>45760</v>
      </c>
      <c r="B3391" s="82" t="n">
        <v>0.6972222222222222</v>
      </c>
      <c r="C3391" s="5" t="inlineStr">
        <is>
          <t>Coffee Story</t>
        </is>
      </c>
      <c r="D3391" s="5" t="n"/>
      <c r="E3391" s="5" t="n">
        <v>1</v>
      </c>
      <c r="F3391" s="6" t="n"/>
      <c r="G3391" s="7" t="n"/>
      <c r="H3391" s="9" t="inlineStr">
        <is>
          <t>Mango croffle</t>
        </is>
      </c>
      <c r="I3391" s="9" t="n"/>
      <c r="J3391" s="9" t="n"/>
      <c r="K3391" s="9" t="n">
        <v>7.5</v>
      </c>
    </row>
    <row r="3392" ht="15" customHeight="1" s="74">
      <c r="A3392" s="81" t="n">
        <v>45760</v>
      </c>
      <c r="B3392" s="82" t="n">
        <v>0.6972222222222222</v>
      </c>
      <c r="C3392" s="5" t="inlineStr">
        <is>
          <t>Coffee Story</t>
        </is>
      </c>
      <c r="D3392" s="5" t="n"/>
      <c r="E3392" s="5" t="n">
        <v>1</v>
      </c>
      <c r="F3392" s="6" t="n"/>
      <c r="G3392" s="7" t="n"/>
      <c r="H3392" s="9" t="inlineStr">
        <is>
          <t>Tax</t>
        </is>
      </c>
      <c r="I3392" s="9" t="n"/>
      <c r="J3392" s="9" t="n"/>
      <c r="K3392" s="9" t="n">
        <v>0.6899999999999999</v>
      </c>
    </row>
    <row r="3393" ht="15" customHeight="1" s="74">
      <c r="A3393" s="81" t="n">
        <v>45760</v>
      </c>
      <c r="B3393" s="82" t="n">
        <v>0.6520833333333333</v>
      </c>
      <c r="C3393" s="5" t="inlineStr">
        <is>
          <t>Coffee Story</t>
        </is>
      </c>
      <c r="D3393" s="5" t="n"/>
      <c r="E3393" s="5" t="n">
        <v>1</v>
      </c>
      <c r="F3393" s="6" t="inlineStr">
        <is>
          <t>#89</t>
        </is>
      </c>
      <c r="G3393" s="7" t="n"/>
      <c r="H3393" s="9" t="inlineStr">
        <is>
          <t>Sunset (strawberry mango) sparkling ade</t>
        </is>
      </c>
      <c r="I3393" s="9" t="n"/>
      <c r="J3393" s="9" t="n"/>
      <c r="K3393" s="9" t="n">
        <v>6.5</v>
      </c>
    </row>
    <row r="3394" ht="15" customHeight="1" s="74">
      <c r="A3394" s="81" t="n">
        <v>45760</v>
      </c>
      <c r="B3394" s="82" t="n">
        <v>0.6520833333333333</v>
      </c>
      <c r="C3394" s="5" t="inlineStr">
        <is>
          <t>Coffee Story</t>
        </is>
      </c>
      <c r="D3394" s="5" t="n"/>
      <c r="E3394" s="5" t="n">
        <v>1</v>
      </c>
      <c r="F3394" s="6" t="inlineStr">
        <is>
          <t>#89</t>
        </is>
      </c>
      <c r="G3394" s="7" t="n"/>
      <c r="H3394" s="9" t="inlineStr">
        <is>
          <t>Tax</t>
        </is>
      </c>
      <c r="I3394" s="9" t="n"/>
      <c r="J3394" s="9" t="n"/>
      <c r="K3394" s="9" t="n">
        <v>0.59</v>
      </c>
    </row>
    <row r="3395" ht="15" customHeight="1" s="74">
      <c r="A3395" s="81" t="n">
        <v>45760</v>
      </c>
      <c r="B3395" s="82" t="n">
        <v>0.5215277777777778</v>
      </c>
      <c r="C3395" s="5" t="inlineStr">
        <is>
          <t>Costco</t>
        </is>
      </c>
      <c r="D3395" s="5" t="n"/>
      <c r="E3395" s="5" t="n">
        <v>1</v>
      </c>
      <c r="F3395" s="6" t="inlineStr">
        <is>
          <t>439 122 68 615</t>
        </is>
      </c>
      <c r="G3395" s="7" t="n"/>
      <c r="H3395" s="9" t="inlineStr">
        <is>
          <t>**REFUNDED** Tax</t>
        </is>
      </c>
      <c r="I3395" s="9" t="n">
        <v>4</v>
      </c>
      <c r="J3395" s="9" t="inlineStr">
        <is>
          <t>cnt</t>
        </is>
      </c>
      <c r="K3395" s="9" t="n">
        <v>0</v>
      </c>
    </row>
    <row r="3396" ht="15" customHeight="1" s="74">
      <c r="A3396" s="81" t="n">
        <v>45760</v>
      </c>
      <c r="B3396" s="82" t="n">
        <v>0.5215277777777778</v>
      </c>
      <c r="C3396" s="5" t="inlineStr">
        <is>
          <t>Costco</t>
        </is>
      </c>
      <c r="D3396" s="5" t="n"/>
      <c r="E3396" s="5" t="n">
        <v>1</v>
      </c>
      <c r="F3396" s="6" t="inlineStr">
        <is>
          <t>439 122 68 615</t>
        </is>
      </c>
      <c r="G3396" s="7" t="n"/>
      <c r="H3396" s="9" t="inlineStr">
        <is>
          <t>**RETURNED** Bagels (mold)</t>
        </is>
      </c>
      <c r="I3396" s="9" t="n">
        <v>1.5</v>
      </c>
      <c r="J3396" s="9" t="inlineStr">
        <is>
          <t>lb</t>
        </is>
      </c>
      <c r="K3396" s="9" t="n">
        <v>-7.99</v>
      </c>
    </row>
    <row r="3397" ht="15" customHeight="1" s="74">
      <c r="A3397" s="81" t="n">
        <v>45760</v>
      </c>
      <c r="B3397" s="82" t="n">
        <v>0.5215277777777778</v>
      </c>
      <c r="C3397" s="5" t="inlineStr">
        <is>
          <t>Costco</t>
        </is>
      </c>
      <c r="D3397" s="5" t="n"/>
      <c r="E3397" s="5" t="n">
        <v>1</v>
      </c>
      <c r="F3397" s="6" t="inlineStr">
        <is>
          <t>439 122 68 615</t>
        </is>
      </c>
      <c r="G3397" s="7" t="n"/>
      <c r="H3397" s="9" t="inlineStr">
        <is>
          <t>**RETURNED** squash (mold)</t>
        </is>
      </c>
      <c r="I3397" s="9" t="n">
        <v>3.5</v>
      </c>
      <c r="J3397" s="9" t="inlineStr">
        <is>
          <t>lb</t>
        </is>
      </c>
      <c r="K3397" s="9" t="n">
        <v>-7.99</v>
      </c>
    </row>
    <row r="3398" ht="15" customHeight="1" s="74">
      <c r="A3398" s="81" t="n">
        <v>45760</v>
      </c>
      <c r="B3398" s="82" t="n">
        <v>0.5215277777777778</v>
      </c>
      <c r="C3398" s="5" t="inlineStr">
        <is>
          <t>Costco</t>
        </is>
      </c>
      <c r="D3398" s="5" t="n"/>
      <c r="E3398" s="5" t="n">
        <v>1</v>
      </c>
      <c r="F3398" s="6" t="inlineStr">
        <is>
          <t>439 122 68 615</t>
        </is>
      </c>
      <c r="G3398" s="7" t="n"/>
      <c r="H3398" s="9" t="inlineStr">
        <is>
          <t>**RETURNED** bagels (mold) only one pack because ate the other before realizing!!</t>
        </is>
      </c>
      <c r="I3398" s="9" t="n">
        <v>1.5</v>
      </c>
      <c r="J3398" s="9" t="inlineStr">
        <is>
          <t>lb</t>
        </is>
      </c>
      <c r="K3398" s="9" t="n">
        <v>-7.99</v>
      </c>
    </row>
    <row r="3399" ht="15" customHeight="1" s="74">
      <c r="A3399" s="81" t="n">
        <v>45760</v>
      </c>
      <c r="B3399" s="82" t="n">
        <v>0.5215277777777778</v>
      </c>
      <c r="C3399" s="5" t="inlineStr">
        <is>
          <t>Costco</t>
        </is>
      </c>
      <c r="D3399" s="5" t="n"/>
      <c r="E3399" s="5" t="n">
        <v>1</v>
      </c>
      <c r="F3399" s="6" t="inlineStr">
        <is>
          <t>439 122 68 615</t>
        </is>
      </c>
      <c r="G3399" s="7" t="n"/>
      <c r="H3399" s="9" t="inlineStr">
        <is>
          <t>**RETURNED** Costco cherries (had sugar and sunflower oil)</t>
        </is>
      </c>
      <c r="I3399" s="9" t="n">
        <v>567</v>
      </c>
      <c r="J3399" s="9" t="inlineStr">
        <is>
          <t>g</t>
        </is>
      </c>
      <c r="K3399" s="9" t="n">
        <v>-10.99</v>
      </c>
    </row>
    <row r="3400" ht="15" customHeight="1" s="74">
      <c r="A3400" s="81" t="n">
        <v>45759</v>
      </c>
      <c r="B3400" s="82" t="n">
        <v>0.5034722222222222</v>
      </c>
      <c r="C3400" s="5" t="inlineStr">
        <is>
          <t>Costco</t>
        </is>
      </c>
      <c r="D3400" s="5" t="n"/>
      <c r="E3400" s="5" t="n">
        <v>1</v>
      </c>
      <c r="F3400" s="6" t="inlineStr">
        <is>
          <t>1027 234 42 734</t>
        </is>
      </c>
      <c r="G3400" s="17" t="inlineStr">
        <is>
          <t>1184862</t>
        </is>
      </c>
      <c r="H3400" s="9" t="inlineStr">
        <is>
          <t>Whole pepperoni pizza</t>
        </is>
      </c>
      <c r="I3400" s="9" t="n"/>
      <c r="J3400" s="9" t="n"/>
      <c r="K3400" s="9" t="n">
        <v>9.949999999999999</v>
      </c>
    </row>
    <row r="3401" ht="15" customHeight="1" s="74">
      <c r="A3401" s="81" t="n">
        <v>45759</v>
      </c>
      <c r="B3401" s="82" t="n">
        <v>0.5034722222222222</v>
      </c>
      <c r="C3401" s="5" t="inlineStr">
        <is>
          <t>Costco</t>
        </is>
      </c>
      <c r="D3401" s="5" t="n"/>
      <c r="E3401" s="5" t="n">
        <v>1</v>
      </c>
      <c r="F3401" s="6" t="inlineStr">
        <is>
          <t>1027 234 42 734</t>
        </is>
      </c>
      <c r="G3401" s="17" t="inlineStr">
        <is>
          <t>1184862</t>
        </is>
      </c>
      <c r="H3401" s="9" t="inlineStr">
        <is>
          <t>Whole pepperoni pizza</t>
        </is>
      </c>
      <c r="I3401" s="9" t="n"/>
      <c r="J3401" s="9" t="n"/>
      <c r="K3401" s="9" t="n">
        <v>9.949999999999999</v>
      </c>
    </row>
    <row r="3402" ht="15" customFormat="1" customHeight="1" s="5">
      <c r="A3402" s="81" t="n">
        <v>45759</v>
      </c>
      <c r="B3402" s="82" t="n">
        <v>0.5034722222222222</v>
      </c>
      <c r="C3402" s="5" t="inlineStr">
        <is>
          <t>Costco</t>
        </is>
      </c>
      <c r="E3402" s="5" t="n">
        <v>1</v>
      </c>
      <c r="F3402" s="6" t="inlineStr">
        <is>
          <t>1027 234 42 734</t>
        </is>
      </c>
      <c r="G3402" s="7" t="n"/>
      <c r="H3402" s="9" t="inlineStr">
        <is>
          <t>Tax A 7.75% Englewood</t>
        </is>
      </c>
      <c r="I3402" s="9" t="n"/>
      <c r="J3402" s="9" t="n"/>
      <c r="K3402" s="9" t="n">
        <v>4.67</v>
      </c>
    </row>
    <row r="3403" ht="15" customFormat="1" customHeight="1" s="5">
      <c r="A3403" s="81" t="n">
        <v>45759</v>
      </c>
      <c r="B3403" s="82" t="n">
        <v>0.5034722222222222</v>
      </c>
      <c r="C3403" s="5" t="inlineStr">
        <is>
          <t>Costco</t>
        </is>
      </c>
      <c r="E3403" s="5" t="n">
        <v>1</v>
      </c>
      <c r="F3403" s="6" t="inlineStr">
        <is>
          <t>1027 234 42 734</t>
        </is>
      </c>
      <c r="G3403" s="7" t="n"/>
      <c r="H3403" s="9" t="inlineStr">
        <is>
          <t>Tax B 1.00% PIF</t>
        </is>
      </c>
      <c r="I3403" s="9" t="n"/>
      <c r="J3403" s="9" t="n"/>
      <c r="K3403" s="9" t="n">
        <v>0.6</v>
      </c>
    </row>
    <row r="3404" ht="15" customFormat="1" customHeight="1" s="5">
      <c r="A3404" s="81" t="n">
        <v>45759</v>
      </c>
      <c r="B3404" s="82" t="n">
        <v>0.5034722222222222</v>
      </c>
      <c r="C3404" s="5" t="inlineStr">
        <is>
          <t>Costco</t>
        </is>
      </c>
      <c r="E3404" s="5" t="n">
        <v>1</v>
      </c>
      <c r="F3404" s="6" t="inlineStr">
        <is>
          <t>1027 234 42 734</t>
        </is>
      </c>
      <c r="G3404" s="17" t="inlineStr">
        <is>
          <t>1184887</t>
        </is>
      </c>
      <c r="H3404" s="9" t="inlineStr">
        <is>
          <t>WHOLE cheese Pizza</t>
        </is>
      </c>
      <c r="I3404" s="9" t="n"/>
      <c r="J3404" s="9" t="n"/>
      <c r="K3404" s="9" t="n">
        <v>9.949999999999999</v>
      </c>
    </row>
    <row r="3405" ht="15" customFormat="1" customHeight="1" s="5">
      <c r="A3405" s="81" t="n">
        <v>45759</v>
      </c>
      <c r="B3405" s="82" t="n">
        <v>0.5034722222222222</v>
      </c>
      <c r="C3405" s="5" t="inlineStr">
        <is>
          <t>Costco</t>
        </is>
      </c>
      <c r="E3405" s="5" t="n">
        <v>1</v>
      </c>
      <c r="F3405" s="6" t="inlineStr">
        <is>
          <t>1027 234 42 734</t>
        </is>
      </c>
      <c r="G3405" s="17" t="inlineStr">
        <is>
          <t>1184887</t>
        </is>
      </c>
      <c r="H3405" s="9" t="inlineStr">
        <is>
          <t>WHOLE cheese Pizza</t>
        </is>
      </c>
      <c r="I3405" s="9" t="n"/>
      <c r="J3405" s="9" t="n"/>
      <c r="K3405" s="9" t="n">
        <v>9.949999999999999</v>
      </c>
    </row>
    <row r="3406" ht="15" customFormat="1" customHeight="1" s="5">
      <c r="A3406" s="81" t="n">
        <v>45759</v>
      </c>
      <c r="B3406" s="82" t="n">
        <v>0.5034722222222222</v>
      </c>
      <c r="C3406" s="5" t="inlineStr">
        <is>
          <t>Costco</t>
        </is>
      </c>
      <c r="E3406" s="5" t="n">
        <v>1</v>
      </c>
      <c r="F3406" s="6" t="inlineStr">
        <is>
          <t>1027 234 42 734</t>
        </is>
      </c>
      <c r="G3406" s="17" t="inlineStr">
        <is>
          <t>1184862</t>
        </is>
      </c>
      <c r="H3406" s="9" t="inlineStr">
        <is>
          <t>Whole pepperoni pizza</t>
        </is>
      </c>
      <c r="I3406" s="9" t="n"/>
      <c r="J3406" s="9" t="n"/>
      <c r="K3406" s="9" t="n">
        <v>9.949999999999999</v>
      </c>
    </row>
    <row r="3407" ht="15" customFormat="1" customHeight="1" s="5">
      <c r="A3407" s="81" t="n">
        <v>45759</v>
      </c>
      <c r="B3407" s="82" t="n">
        <v>0.5034722222222222</v>
      </c>
      <c r="C3407" s="5" t="inlineStr">
        <is>
          <t>Costco</t>
        </is>
      </c>
      <c r="E3407" s="5" t="n">
        <v>1</v>
      </c>
      <c r="F3407" s="6" t="inlineStr">
        <is>
          <t>1027 234 42 734</t>
        </is>
      </c>
      <c r="G3407" s="17" t="inlineStr">
        <is>
          <t>1184862</t>
        </is>
      </c>
      <c r="H3407" s="9" t="inlineStr">
        <is>
          <t>Whole pepperoni pizza</t>
        </is>
      </c>
      <c r="I3407" s="9" t="n"/>
      <c r="J3407" s="9" t="n"/>
      <c r="K3407" s="9" t="n">
        <v>9.949999999999999</v>
      </c>
    </row>
    <row r="3408" ht="15" customFormat="1" customHeight="1" s="5">
      <c r="A3408" s="81" t="n">
        <v>45758</v>
      </c>
      <c r="B3408" s="82" t="n">
        <v>0.6618055555555555</v>
      </c>
      <c r="C3408" s="5" t="inlineStr">
        <is>
          <t>PayPal</t>
        </is>
      </c>
      <c r="F3408" s="6" t="inlineStr">
        <is>
          <t>1GC51646102413106</t>
        </is>
      </c>
      <c r="G3408" s="7" t="n"/>
      <c r="H3408" s="9" t="inlineStr">
        <is>
          <t>Kyte baby 4 onesie bundle ($60 + $10 shipping)</t>
        </is>
      </c>
      <c r="I3408" s="9" t="n">
        <v>4</v>
      </c>
      <c r="J3408" s="9" t="inlineStr">
        <is>
          <t>cnt</t>
        </is>
      </c>
      <c r="K3408" s="9" t="n">
        <v>70</v>
      </c>
    </row>
    <row r="3409" ht="15" customFormat="1" customHeight="1" s="5">
      <c r="A3409" s="81" t="n">
        <v>45758</v>
      </c>
      <c r="B3409" s="82" t="n">
        <v>0.5944444444444444</v>
      </c>
      <c r="C3409" s="5" t="inlineStr">
        <is>
          <t>Costco</t>
        </is>
      </c>
      <c r="E3409" s="5" t="n">
        <v>1</v>
      </c>
      <c r="F3409" s="6" t="inlineStr">
        <is>
          <t>439 207  123 707</t>
        </is>
      </c>
      <c r="G3409" s="7" t="n"/>
      <c r="H3409" s="9" t="inlineStr">
        <is>
          <t>Special chocolate half sheet cake: baby shower style</t>
        </is>
      </c>
      <c r="I3409" s="9" t="n">
        <v>9.5</v>
      </c>
      <c r="J3409" s="9" t="inlineStr">
        <is>
          <t>lb</t>
        </is>
      </c>
      <c r="K3409" s="9" t="n">
        <v>26.99</v>
      </c>
    </row>
    <row r="3410" ht="15" customFormat="1" customHeight="1" s="5">
      <c r="A3410" s="81" t="n">
        <v>45758</v>
      </c>
      <c r="B3410" s="82" t="n">
        <v>0.5944444444444444</v>
      </c>
      <c r="C3410" s="5" t="inlineStr">
        <is>
          <t>Costco</t>
        </is>
      </c>
      <c r="E3410" s="5" t="n">
        <v>1</v>
      </c>
      <c r="F3410" s="6" t="inlineStr">
        <is>
          <t>439 207  123 707</t>
        </is>
      </c>
      <c r="G3410" s="7" t="n"/>
      <c r="H3410" s="9" t="inlineStr">
        <is>
          <t>Navel oranges</t>
        </is>
      </c>
      <c r="I3410" s="9" t="n">
        <v>8</v>
      </c>
      <c r="J3410" s="9" t="inlineStr">
        <is>
          <t>lb</t>
        </is>
      </c>
      <c r="K3410" s="9" t="n">
        <v>7.29</v>
      </c>
    </row>
    <row r="3411" ht="15" customFormat="1" customHeight="1" s="5">
      <c r="A3411" s="81" t="n">
        <v>45758</v>
      </c>
      <c r="B3411" s="82" t="n">
        <v>0.5944444444444444</v>
      </c>
      <c r="C3411" s="5" t="inlineStr">
        <is>
          <t>Costco</t>
        </is>
      </c>
      <c r="E3411" s="5" t="n">
        <v>1</v>
      </c>
      <c r="F3411" s="6" t="inlineStr">
        <is>
          <t>439 207  123 707</t>
        </is>
      </c>
      <c r="G3411" s="7" t="n"/>
      <c r="H3411" s="9" t="inlineStr">
        <is>
          <t>Vine tomato</t>
        </is>
      </c>
      <c r="I3411" s="9" t="n">
        <v>4</v>
      </c>
      <c r="J3411" s="9" t="inlineStr">
        <is>
          <t>lb</t>
        </is>
      </c>
      <c r="K3411" s="9" t="n">
        <v>6.49</v>
      </c>
    </row>
    <row r="3412" ht="15" customFormat="1" customHeight="1" s="5">
      <c r="A3412" s="81" t="n">
        <v>45758</v>
      </c>
      <c r="B3412" s="82" t="n">
        <v>0.5944444444444444</v>
      </c>
      <c r="C3412" s="5" t="inlineStr">
        <is>
          <t>Costco</t>
        </is>
      </c>
      <c r="E3412" s="5" t="n">
        <v>1</v>
      </c>
      <c r="F3412" s="6" t="inlineStr">
        <is>
          <t>439 207  123 707</t>
        </is>
      </c>
      <c r="G3412" s="7" t="n"/>
      <c r="H3412" s="9" t="inlineStr">
        <is>
          <t>Hami Melon, 1 total</t>
        </is>
      </c>
      <c r="I3412" s="9" t="n">
        <v>1</v>
      </c>
      <c r="J3412" s="9" t="inlineStr">
        <is>
          <t>cnt</t>
        </is>
      </c>
      <c r="K3412" s="9" t="n">
        <v>4.99</v>
      </c>
    </row>
    <row r="3413" ht="15" customFormat="1" customHeight="1" s="5">
      <c r="A3413" s="81" t="n">
        <v>45758</v>
      </c>
      <c r="B3413" s="82" t="n">
        <v>0.5944444444444444</v>
      </c>
      <c r="C3413" s="5" t="inlineStr">
        <is>
          <t>Costco</t>
        </is>
      </c>
      <c r="E3413" s="5" t="n">
        <v>1</v>
      </c>
      <c r="F3413" s="6" t="inlineStr">
        <is>
          <t>439 207  123 707</t>
        </is>
      </c>
      <c r="G3413" s="7" t="n"/>
      <c r="H3413" s="9" t="inlineStr">
        <is>
          <t>Romaine lettuce 6 heads</t>
        </is>
      </c>
      <c r="I3413" s="9" t="n">
        <v>6</v>
      </c>
      <c r="J3413" s="9" t="inlineStr">
        <is>
          <t>cnt</t>
        </is>
      </c>
      <c r="K3413" s="9" t="n">
        <v>3.69</v>
      </c>
    </row>
    <row r="3414" ht="15" customFormat="1" customHeight="1" s="5">
      <c r="A3414" s="81" t="n">
        <v>45758</v>
      </c>
      <c r="B3414" s="82" t="n">
        <v>0.5944444444444444</v>
      </c>
      <c r="C3414" s="5" t="inlineStr">
        <is>
          <t>Costco</t>
        </is>
      </c>
      <c r="E3414" s="5" t="n">
        <v>1</v>
      </c>
      <c r="F3414" s="6" t="inlineStr">
        <is>
          <t>439 207  123 707</t>
        </is>
      </c>
      <c r="G3414" s="7" t="n"/>
      <c r="H3414" s="9" t="inlineStr">
        <is>
          <t>Kirkland Signature, Organic Tomato Sauce, 15 oz, 12-Count</t>
        </is>
      </c>
      <c r="I3414" s="9" t="n">
        <v>180</v>
      </c>
      <c r="J3414" s="9" t="inlineStr">
        <is>
          <t>oz</t>
        </is>
      </c>
      <c r="K3414" s="9" t="n">
        <v>11.99</v>
      </c>
    </row>
    <row r="3415" ht="15" customFormat="1" customHeight="1" s="5">
      <c r="A3415" s="81" t="n">
        <v>45758</v>
      </c>
      <c r="B3415" s="82" t="n">
        <v>0.5944444444444444</v>
      </c>
      <c r="C3415" s="5" t="inlineStr">
        <is>
          <t>Costco</t>
        </is>
      </c>
      <c r="E3415" s="5" t="n">
        <v>1</v>
      </c>
      <c r="F3415" s="6" t="inlineStr">
        <is>
          <t>439 207  123 707</t>
        </is>
      </c>
      <c r="G3415" s="7" t="n"/>
      <c r="H3415" s="9" t="inlineStr">
        <is>
          <t>KS minced garlic</t>
        </is>
      </c>
      <c r="I3415" s="9" t="n">
        <v>48</v>
      </c>
      <c r="J3415" s="9" t="inlineStr">
        <is>
          <t>oz</t>
        </is>
      </c>
      <c r="K3415" s="9" t="n">
        <v>6.99</v>
      </c>
    </row>
    <row r="3416" ht="15" customFormat="1" customHeight="1" s="5">
      <c r="A3416" s="81" t="n">
        <v>45758</v>
      </c>
      <c r="B3416" s="82" t="n">
        <v>0.5944444444444444</v>
      </c>
      <c r="C3416" s="5" t="inlineStr">
        <is>
          <t>Costco</t>
        </is>
      </c>
      <c r="E3416" s="5" t="n">
        <v>1</v>
      </c>
      <c r="F3416" s="6" t="inlineStr">
        <is>
          <t>439 207  123 707</t>
        </is>
      </c>
      <c r="G3416" s="7" t="n"/>
      <c r="H3416" s="9" t="inlineStr">
        <is>
          <t>Tax</t>
        </is>
      </c>
      <c r="I3416" s="9" t="n">
        <v>9</v>
      </c>
      <c r="J3416" s="9" t="inlineStr">
        <is>
          <t>cnt</t>
        </is>
      </c>
      <c r="K3416" s="9" t="n">
        <v>0</v>
      </c>
    </row>
    <row r="3417" ht="15" customFormat="1" customHeight="1" s="5">
      <c r="A3417" s="81" t="n">
        <v>45758</v>
      </c>
      <c r="B3417" s="82" t="n">
        <v>0.5041666666666667</v>
      </c>
      <c r="C3417" s="5" t="inlineStr">
        <is>
          <t>Safeway</t>
        </is>
      </c>
      <c r="E3417" s="5" t="n">
        <v>1</v>
      </c>
      <c r="F3417" s="6" t="inlineStr">
        <is>
          <t>2612 95 48 8895</t>
        </is>
      </c>
      <c r="G3417" s="7" t="n"/>
      <c r="H3417" s="13" t="inlineStr">
        <is>
          <t>2@ Christopher Ranch Crushed Ginger Jars</t>
        </is>
      </c>
      <c r="I3417" s="9" t="n">
        <v>8.5</v>
      </c>
      <c r="J3417" s="9" t="inlineStr">
        <is>
          <t>oz</t>
        </is>
      </c>
      <c r="K3417" s="9" t="n">
        <v>8.98</v>
      </c>
    </row>
    <row r="3418" ht="15" customFormat="1" customHeight="1" s="5">
      <c r="A3418" s="81" t="n">
        <v>45758</v>
      </c>
      <c r="B3418" s="82" t="n">
        <v>0.5041666666666667</v>
      </c>
      <c r="C3418" s="5" t="inlineStr">
        <is>
          <t>Safeway</t>
        </is>
      </c>
      <c r="E3418" s="5" t="n">
        <v>1</v>
      </c>
      <c r="F3418" s="6" t="inlineStr">
        <is>
          <t>2612 95 48 8895</t>
        </is>
      </c>
      <c r="G3418" s="7" t="n"/>
      <c r="H3418" s="9" t="inlineStr">
        <is>
          <t xml:space="preserve">Signature select baby carrot </t>
        </is>
      </c>
      <c r="I3418" s="9" t="n">
        <v>1</v>
      </c>
      <c r="J3418" s="9" t="inlineStr">
        <is>
          <t>lb</t>
        </is>
      </c>
      <c r="K3418" s="9" t="n">
        <v>1.69</v>
      </c>
    </row>
    <row r="3419" ht="15" customFormat="1" customHeight="1" s="5">
      <c r="A3419" s="81" t="n">
        <v>45758</v>
      </c>
      <c r="B3419" s="82" t="n">
        <v>0.5041666666666667</v>
      </c>
      <c r="C3419" s="5" t="inlineStr">
        <is>
          <t>Safeway</t>
        </is>
      </c>
      <c r="E3419" s="5" t="n">
        <v>1</v>
      </c>
      <c r="F3419" s="6" t="inlineStr">
        <is>
          <t>2612 95 48 8895</t>
        </is>
      </c>
      <c r="G3419" s="7" t="n"/>
      <c r="H3419" s="9" t="inlineStr">
        <is>
          <t>**DISCOUNT** rewards and cash off</t>
        </is>
      </c>
      <c r="I3419" s="9" t="n">
        <v>1</v>
      </c>
      <c r="J3419" s="9" t="inlineStr">
        <is>
          <t>lb</t>
        </is>
      </c>
      <c r="K3419" s="9" t="n">
        <v>-0.08</v>
      </c>
    </row>
    <row r="3420" ht="15" customFormat="1" customHeight="1" s="5">
      <c r="A3420" s="81" t="n">
        <v>45758</v>
      </c>
      <c r="B3420" s="82" t="n">
        <v>0.5041666666666667</v>
      </c>
      <c r="C3420" s="5" t="inlineStr">
        <is>
          <t>Safeway</t>
        </is>
      </c>
      <c r="E3420" s="5" t="n">
        <v>1</v>
      </c>
      <c r="F3420" s="6" t="inlineStr">
        <is>
          <t>2612 95 48 8895</t>
        </is>
      </c>
      <c r="G3420" s="7" t="n"/>
      <c r="H3420" s="9" t="inlineStr">
        <is>
          <t>**DISCOUNT** rewards and cash off</t>
        </is>
      </c>
      <c r="I3420" s="9" t="n">
        <v>8.5</v>
      </c>
      <c r="J3420" s="9" t="inlineStr">
        <is>
          <t>oz</t>
        </is>
      </c>
      <c r="K3420" s="9" t="n">
        <v>-2.36</v>
      </c>
    </row>
    <row r="3421" ht="15" customFormat="1" customHeight="1" s="5">
      <c r="A3421" s="81" t="n">
        <v>45758</v>
      </c>
      <c r="B3421" s="82" t="n">
        <v>0.5041666666666667</v>
      </c>
      <c r="C3421" s="5" t="inlineStr">
        <is>
          <t>Safeway</t>
        </is>
      </c>
      <c r="E3421" s="5" t="n">
        <v>1</v>
      </c>
      <c r="F3421" s="6" t="inlineStr">
        <is>
          <t>2612 95 48 8895</t>
        </is>
      </c>
      <c r="G3421" s="7" t="n"/>
      <c r="H3421" s="9" t="inlineStr">
        <is>
          <t>Haagen Dazs Pear Passionfruit Sorbet</t>
        </is>
      </c>
      <c r="I3421" s="9" t="n">
        <v>14</v>
      </c>
      <c r="J3421" s="9" t="inlineStr">
        <is>
          <t>oz</t>
        </is>
      </c>
      <c r="K3421" s="9" t="n">
        <v>6.99</v>
      </c>
    </row>
    <row r="3422" ht="15" customFormat="1" customHeight="1" s="5">
      <c r="A3422" s="81" t="n">
        <v>45758</v>
      </c>
      <c r="B3422" s="82" t="n">
        <v>0.5041666666666667</v>
      </c>
      <c r="C3422" s="5" t="inlineStr">
        <is>
          <t>Safeway</t>
        </is>
      </c>
      <c r="E3422" s="5" t="n">
        <v>1</v>
      </c>
      <c r="F3422" s="6" t="inlineStr">
        <is>
          <t>2612 95 48 8895</t>
        </is>
      </c>
      <c r="G3422" s="7" t="n"/>
      <c r="H3422" s="9" t="inlineStr">
        <is>
          <t>Haagen Dazs Sweet lemon coconut sorbet</t>
        </is>
      </c>
      <c r="I3422" s="9" t="n">
        <v>14</v>
      </c>
      <c r="J3422" s="9" t="inlineStr">
        <is>
          <t>oz</t>
        </is>
      </c>
      <c r="K3422" s="9" t="n">
        <v>6.99</v>
      </c>
    </row>
    <row r="3423" ht="15" customFormat="1" customHeight="1" s="5">
      <c r="A3423" s="81" t="n">
        <v>45758</v>
      </c>
      <c r="B3423" s="82" t="n">
        <v>0.5041666666666667</v>
      </c>
      <c r="C3423" s="5" t="inlineStr">
        <is>
          <t>Safeway</t>
        </is>
      </c>
      <c r="E3423" s="5" t="n">
        <v>1</v>
      </c>
      <c r="F3423" s="6" t="inlineStr">
        <is>
          <t>2612 95 48 8895</t>
        </is>
      </c>
      <c r="G3423" s="7" t="n"/>
      <c r="H3423" s="9" t="inlineStr">
        <is>
          <t>BADIA Ground Cumin</t>
        </is>
      </c>
      <c r="I3423" s="9" t="n">
        <v>16</v>
      </c>
      <c r="J3423" s="9" t="inlineStr">
        <is>
          <t>oz</t>
        </is>
      </c>
      <c r="K3423" s="13" t="n">
        <v>5.99</v>
      </c>
    </row>
    <row r="3424" ht="15" customFormat="1" customHeight="1" s="5">
      <c r="A3424" s="81" t="n">
        <v>45758</v>
      </c>
      <c r="B3424" s="82" t="n">
        <v>0.5041666666666667</v>
      </c>
      <c r="C3424" s="5" t="inlineStr">
        <is>
          <t>Safeway</t>
        </is>
      </c>
      <c r="E3424" s="5" t="n">
        <v>1</v>
      </c>
      <c r="F3424" s="6" t="inlineStr">
        <is>
          <t>2612 95 48 8895</t>
        </is>
      </c>
      <c r="G3424" s="7" t="n"/>
      <c r="H3424" s="9" t="inlineStr">
        <is>
          <t>Zen Sushi salmon roll</t>
        </is>
      </c>
      <c r="I3424" s="9" t="n">
        <v>8</v>
      </c>
      <c r="J3424" s="9" t="inlineStr">
        <is>
          <t>cnt</t>
        </is>
      </c>
      <c r="K3424" s="9" t="n">
        <v>5</v>
      </c>
    </row>
    <row r="3425" ht="15" customFormat="1" customHeight="1" s="5">
      <c r="A3425" s="81" t="n">
        <v>45758</v>
      </c>
      <c r="B3425" s="82" t="n">
        <v>0.5041666666666667</v>
      </c>
      <c r="C3425" s="5" t="inlineStr">
        <is>
          <t>Safeway</t>
        </is>
      </c>
      <c r="E3425" s="5" t="n">
        <v>1</v>
      </c>
      <c r="F3425" s="6" t="inlineStr">
        <is>
          <t>2612 95 48 8895</t>
        </is>
      </c>
      <c r="G3425" s="7" t="n"/>
      <c r="H3425" s="9" t="inlineStr">
        <is>
          <t>Zen sushi tuna roll</t>
        </is>
      </c>
      <c r="I3425" s="9" t="n">
        <v>8</v>
      </c>
      <c r="J3425" s="9" t="inlineStr">
        <is>
          <t>cnt</t>
        </is>
      </c>
      <c r="K3425" s="9" t="n">
        <v>5</v>
      </c>
    </row>
    <row r="3426" ht="15" customFormat="1" customHeight="1" s="5">
      <c r="A3426" s="81" t="n">
        <v>45758</v>
      </c>
      <c r="B3426" s="82" t="n">
        <v>0.5041666666666667</v>
      </c>
      <c r="C3426" s="5" t="inlineStr">
        <is>
          <t>Safeway</t>
        </is>
      </c>
      <c r="E3426" s="5" t="n">
        <v>1</v>
      </c>
      <c r="F3426" s="6" t="inlineStr">
        <is>
          <t>2612 95 48 8895</t>
        </is>
      </c>
      <c r="G3426" s="7" t="n"/>
      <c r="H3426" s="9" t="inlineStr">
        <is>
          <t>Tax</t>
        </is>
      </c>
      <c r="I3426" s="9" t="n">
        <v>2</v>
      </c>
      <c r="J3426" s="9" t="inlineStr">
        <is>
          <t>cnt</t>
        </is>
      </c>
      <c r="K3426" s="9" t="n">
        <v>0.8</v>
      </c>
    </row>
    <row r="3427" ht="15" customFormat="1" customHeight="1" s="5">
      <c r="A3427" s="81" t="n">
        <v>45758</v>
      </c>
      <c r="B3427" s="82" t="n">
        <v>0.5041666666666667</v>
      </c>
      <c r="C3427" s="5" t="inlineStr">
        <is>
          <t>Safeway</t>
        </is>
      </c>
      <c r="E3427" s="5" t="n">
        <v>1</v>
      </c>
      <c r="F3427" s="6" t="inlineStr">
        <is>
          <t>2612 95 48 8895</t>
        </is>
      </c>
      <c r="G3427" s="7" t="n"/>
      <c r="H3427" s="9" t="inlineStr">
        <is>
          <t>**DISCOUNT** rewards and cash off</t>
        </is>
      </c>
      <c r="I3427" s="9" t="n">
        <v>16</v>
      </c>
      <c r="J3427" s="9" t="inlineStr">
        <is>
          <t>oz</t>
        </is>
      </c>
      <c r="K3427" s="9" t="n">
        <v>-0.31</v>
      </c>
    </row>
    <row r="3428" ht="15" customFormat="1" customHeight="1" s="5">
      <c r="A3428" s="81" t="n">
        <v>45758</v>
      </c>
      <c r="B3428" s="82" t="n">
        <v>0.5041666666666667</v>
      </c>
      <c r="C3428" s="5" t="inlineStr">
        <is>
          <t>Safeway</t>
        </is>
      </c>
      <c r="E3428" s="5" t="n">
        <v>1</v>
      </c>
      <c r="F3428" s="6" t="inlineStr">
        <is>
          <t>2612 95 48 8895</t>
        </is>
      </c>
      <c r="G3428" s="7" t="n"/>
      <c r="H3428" s="9" t="inlineStr">
        <is>
          <t>**DISCOUNT** rewards and cash off</t>
        </is>
      </c>
      <c r="I3428" s="9" t="n">
        <v>2</v>
      </c>
      <c r="J3428" s="9" t="inlineStr">
        <is>
          <t>cnt</t>
        </is>
      </c>
      <c r="K3428" s="9" t="n">
        <v>-1</v>
      </c>
    </row>
    <row r="3429" ht="15" customFormat="1" customHeight="1" s="5">
      <c r="A3429" s="81" t="n">
        <v>45758</v>
      </c>
      <c r="B3429" s="82" t="n">
        <v>0.5041666666666667</v>
      </c>
      <c r="C3429" s="5" t="inlineStr">
        <is>
          <t>Safeway</t>
        </is>
      </c>
      <c r="E3429" s="5" t="n">
        <v>1</v>
      </c>
      <c r="F3429" s="6" t="inlineStr">
        <is>
          <t>2612 95 48 8895</t>
        </is>
      </c>
      <c r="G3429" s="7" t="n"/>
      <c r="H3429" s="9" t="inlineStr">
        <is>
          <t>**DISCOUNT** rewards and cash off</t>
        </is>
      </c>
      <c r="I3429" s="9" t="n">
        <v>14</v>
      </c>
      <c r="J3429" s="9" t="inlineStr">
        <is>
          <t>oz</t>
        </is>
      </c>
      <c r="K3429" s="9" t="n">
        <v>-3.69</v>
      </c>
    </row>
    <row r="3430" ht="15" customFormat="1" customHeight="1" s="5">
      <c r="A3430" s="81" t="n">
        <v>45758</v>
      </c>
      <c r="B3430" s="82" t="n">
        <v>0.5041666666666667</v>
      </c>
      <c r="C3430" s="5" t="inlineStr">
        <is>
          <t>Safeway</t>
        </is>
      </c>
      <c r="E3430" s="5" t="n">
        <v>1</v>
      </c>
      <c r="F3430" s="6" t="inlineStr">
        <is>
          <t>2612 95 48 8895</t>
        </is>
      </c>
      <c r="G3430" s="7" t="n"/>
      <c r="H3430" s="9" t="inlineStr">
        <is>
          <t>**DISCOUNT** rewards and cash off</t>
        </is>
      </c>
      <c r="I3430" s="9" t="n">
        <v>14</v>
      </c>
      <c r="J3430" s="9" t="inlineStr">
        <is>
          <t>oz</t>
        </is>
      </c>
      <c r="K3430" s="9" t="n">
        <v>-5.11</v>
      </c>
    </row>
    <row r="3431" ht="15" customFormat="1" customHeight="1" s="5">
      <c r="A3431" s="81" t="n">
        <v>45758</v>
      </c>
      <c r="B3431" s="82" t="n">
        <v>0.5041666666666667</v>
      </c>
      <c r="C3431" s="5" t="inlineStr">
        <is>
          <t>Safeway</t>
        </is>
      </c>
      <c r="E3431" s="5" t="n">
        <v>1</v>
      </c>
      <c r="F3431" s="6" t="inlineStr">
        <is>
          <t>2612 95 48 8895</t>
        </is>
      </c>
      <c r="G3431" s="7" t="n"/>
      <c r="H3431" s="9" t="inlineStr">
        <is>
          <t>Safeway Gift card use from newspaper deal</t>
        </is>
      </c>
      <c r="I3431" s="9" t="n">
        <v>2</v>
      </c>
      <c r="J3431" s="9" t="inlineStr">
        <is>
          <t>cnt</t>
        </is>
      </c>
      <c r="K3431" s="9" t="n">
        <v>-6.67</v>
      </c>
    </row>
    <row r="3432" ht="15" customFormat="1" customHeight="1" s="5">
      <c r="A3432" s="81" t="n">
        <v>45758</v>
      </c>
      <c r="B3432" s="82" t="n">
        <v>0.4993055555555556</v>
      </c>
      <c r="C3432" s="5" t="inlineStr">
        <is>
          <t>Discover</t>
        </is>
      </c>
      <c r="D3432" s="5" t="n">
        <v>1</v>
      </c>
      <c r="F3432" s="6" t="inlineStr">
        <is>
          <t>881133253</t>
        </is>
      </c>
      <c r="G3432" s="7" t="n"/>
      <c r="H3432" s="9" t="inlineStr">
        <is>
          <t>Discover Cash Back Redeemed</t>
        </is>
      </c>
      <c r="I3432" s="9" t="n">
        <v>1</v>
      </c>
      <c r="J3432" s="9" t="inlineStr">
        <is>
          <t>cnt</t>
        </is>
      </c>
      <c r="K3432" s="9" t="n">
        <v>-1.5</v>
      </c>
    </row>
    <row r="3433" ht="15" customFormat="1" customHeight="1" s="5">
      <c r="A3433" s="81" t="n">
        <v>45758</v>
      </c>
      <c r="B3433" s="82" t="n">
        <v>0.2409722222222222</v>
      </c>
      <c r="C3433" s="5" t="inlineStr">
        <is>
          <t>Overland Missions</t>
        </is>
      </c>
      <c r="D3433" s="5" t="n">
        <v>1</v>
      </c>
      <c r="F3433" s="6" t="inlineStr">
        <is>
          <t>3538</t>
        </is>
      </c>
      <c r="G3433" s="10" t="n"/>
      <c r="H3433" s="9" t="inlineStr">
        <is>
          <t>Pelletier - Monthly missions donation</t>
        </is>
      </c>
      <c r="I3433" s="9" t="n">
        <v>1</v>
      </c>
      <c r="J3433" s="9" t="inlineStr">
        <is>
          <t>cnt</t>
        </is>
      </c>
      <c r="K3433" s="9" t="n">
        <v>250</v>
      </c>
    </row>
    <row r="3434" ht="15" customFormat="1" customHeight="1" s="5">
      <c r="A3434" s="81" t="n">
        <v>45757</v>
      </c>
      <c r="B3434" s="82" t="n">
        <v>0.9291666666666667</v>
      </c>
      <c r="C3434" s="5" t="inlineStr">
        <is>
          <t>Amazon</t>
        </is>
      </c>
      <c r="D3434" s="5" t="n">
        <v>1</v>
      </c>
      <c r="F3434" s="19" t="inlineStr">
        <is>
          <t>113-3778181-0040253</t>
        </is>
      </c>
      <c r="G3434" s="7" t="n"/>
      <c r="H3434" s="9" t="inlineStr">
        <is>
          <t>GenuisArt 24 Colors Acrylic Paint Pens, Acrylic Paint Markers Dual Tip, with Dot Tip and Fine Tip, Acrylic Markers for Rock Painting, Wood, Canvas, Fabric, Paper, DIY Crafts Making Art Supplies (24) Sold by: Chenjing Direct</t>
        </is>
      </c>
      <c r="I3434" s="9" t="n">
        <v>24</v>
      </c>
      <c r="J3434" s="9" t="inlineStr">
        <is>
          <t>cnt</t>
        </is>
      </c>
      <c r="K3434" s="9" t="n">
        <v>9.99</v>
      </c>
    </row>
    <row r="3435" ht="15" customFormat="1" customHeight="1" s="5">
      <c r="A3435" s="81" t="n">
        <v>45757</v>
      </c>
      <c r="B3435" s="82" t="n">
        <v>0.9291666666666667</v>
      </c>
      <c r="C3435" s="5" t="inlineStr">
        <is>
          <t>Amazon</t>
        </is>
      </c>
      <c r="D3435" s="5" t="n">
        <v>1</v>
      </c>
      <c r="F3435" s="19" t="inlineStr">
        <is>
          <t>113-3778181-0040253</t>
        </is>
      </c>
      <c r="G3435" s="7" t="n"/>
      <c r="H3435" s="9" t="inlineStr">
        <is>
          <t>Tax</t>
        </is>
      </c>
      <c r="I3435" s="9" t="n">
        <v>1</v>
      </c>
      <c r="J3435" s="9" t="inlineStr">
        <is>
          <t>cnt</t>
        </is>
      </c>
      <c r="K3435" s="9" t="n">
        <v>0.8</v>
      </c>
    </row>
    <row r="3436" ht="15" customFormat="1" customHeight="1" s="5">
      <c r="A3436" s="81" t="n">
        <v>45757</v>
      </c>
      <c r="B3436" s="82" t="n">
        <v>0.6104166666666667</v>
      </c>
      <c r="C3436" s="5" t="inlineStr">
        <is>
          <t>Costco</t>
        </is>
      </c>
      <c r="E3436" s="5" t="n">
        <v>1</v>
      </c>
      <c r="F3436" s="6" t="inlineStr">
        <is>
          <t>439 207 137 707</t>
        </is>
      </c>
      <c r="G3436" s="17" t="inlineStr">
        <is>
          <t>1040477</t>
        </is>
      </c>
      <c r="H3436" s="9" t="inlineStr">
        <is>
          <t>Coconut Chocolate Macaroons -- HADDAR</t>
        </is>
      </c>
      <c r="I3436" s="9" t="n">
        <v>32</v>
      </c>
      <c r="J3436" s="9" t="inlineStr">
        <is>
          <t>oz</t>
        </is>
      </c>
      <c r="K3436" s="9" t="n">
        <v>12.49</v>
      </c>
    </row>
    <row r="3437" ht="15" customFormat="1" customHeight="1" s="5">
      <c r="A3437" s="81" t="n">
        <v>45757</v>
      </c>
      <c r="B3437" s="82" t="n">
        <v>0.6104166666666667</v>
      </c>
      <c r="C3437" s="5" t="inlineStr">
        <is>
          <t>Costco</t>
        </is>
      </c>
      <c r="E3437" s="5" t="n">
        <v>1</v>
      </c>
      <c r="F3437" s="6" t="inlineStr">
        <is>
          <t>439 207 137 707</t>
        </is>
      </c>
      <c r="G3437" s="17" t="inlineStr">
        <is>
          <t>878663</t>
        </is>
      </c>
      <c r="H3437" s="9" t="inlineStr">
        <is>
          <t>Milton's Crackers Gluten Free Crispy Seat Salt</t>
        </is>
      </c>
      <c r="I3437" s="9" t="n">
        <v>20</v>
      </c>
      <c r="J3437" s="9" t="inlineStr">
        <is>
          <t>oz</t>
        </is>
      </c>
      <c r="K3437" s="9" t="n">
        <v>8.99</v>
      </c>
    </row>
    <row r="3438" ht="15" customFormat="1" customHeight="1" s="5">
      <c r="A3438" s="81" t="n">
        <v>45757</v>
      </c>
      <c r="B3438" s="82" t="n">
        <v>0.6104166666666667</v>
      </c>
      <c r="C3438" s="5" t="inlineStr">
        <is>
          <t>Costco</t>
        </is>
      </c>
      <c r="E3438" s="5" t="n">
        <v>1</v>
      </c>
      <c r="F3438" s="6" t="inlineStr">
        <is>
          <t>439 207 137 707</t>
        </is>
      </c>
      <c r="G3438" s="17" t="inlineStr">
        <is>
          <t>595006</t>
        </is>
      </c>
      <c r="H3438" s="9" t="inlineStr">
        <is>
          <t>Tzatziki Dip Hannah greek style yogurt dip</t>
        </is>
      </c>
      <c r="I3438" s="9" t="n">
        <v>2</v>
      </c>
      <c r="J3438" s="9" t="inlineStr">
        <is>
          <t>lb</t>
        </is>
      </c>
      <c r="K3438" s="9" t="n">
        <v>7.99</v>
      </c>
    </row>
    <row r="3439" ht="15" customFormat="1" customHeight="1" s="5">
      <c r="A3439" s="81" t="n">
        <v>45757</v>
      </c>
      <c r="B3439" s="82" t="n">
        <v>0.6104166666666667</v>
      </c>
      <c r="C3439" s="5" t="inlineStr">
        <is>
          <t>Costco</t>
        </is>
      </c>
      <c r="E3439" s="5" t="n">
        <v>1</v>
      </c>
      <c r="F3439" s="6" t="inlineStr">
        <is>
          <t>439 207 137 707</t>
        </is>
      </c>
      <c r="G3439" s="17" t="inlineStr">
        <is>
          <t>568915</t>
        </is>
      </c>
      <c r="H3439" s="9" t="inlineStr">
        <is>
          <t>Organic Cucumber, 3 pack, product of Mexico</t>
        </is>
      </c>
      <c r="I3439" s="9" t="n">
        <v>3</v>
      </c>
      <c r="J3439" s="9" t="inlineStr">
        <is>
          <t>cnt</t>
        </is>
      </c>
      <c r="K3439" s="9" t="n">
        <v>5.99</v>
      </c>
    </row>
    <row r="3440" ht="15" customFormat="1" customHeight="1" s="5">
      <c r="A3440" s="81" t="n">
        <v>45757</v>
      </c>
      <c r="B3440" s="82" t="n">
        <v>0.6104166666666667</v>
      </c>
      <c r="C3440" s="5" t="inlineStr">
        <is>
          <t>Costco</t>
        </is>
      </c>
      <c r="E3440" s="5" t="n">
        <v>1</v>
      </c>
      <c r="F3440" s="6" t="inlineStr">
        <is>
          <t>439 207 137 707</t>
        </is>
      </c>
      <c r="G3440" s="17" t="inlineStr">
        <is>
          <t>27003</t>
        </is>
      </c>
      <c r="H3440" s="9" t="inlineStr">
        <is>
          <t>Strawberries</t>
        </is>
      </c>
      <c r="I3440" s="9" t="n">
        <v>32</v>
      </c>
      <c r="J3440" s="9" t="inlineStr">
        <is>
          <t>oz</t>
        </is>
      </c>
      <c r="K3440" s="9" t="n">
        <v>4.99</v>
      </c>
    </row>
    <row r="3441" ht="15" customFormat="1" customHeight="1" s="5">
      <c r="A3441" s="81" t="n">
        <v>45757</v>
      </c>
      <c r="B3441" s="82" t="n">
        <v>0.6104166666666667</v>
      </c>
      <c r="C3441" s="5" t="inlineStr">
        <is>
          <t>Costco</t>
        </is>
      </c>
      <c r="E3441" s="5" t="n">
        <v>1</v>
      </c>
      <c r="F3441" s="6" t="inlineStr">
        <is>
          <t>439 207 137 707</t>
        </is>
      </c>
      <c r="G3441" s="17" t="inlineStr">
        <is>
          <t>8789</t>
        </is>
      </c>
      <c r="H3441" s="9" t="inlineStr">
        <is>
          <t>Pineapple</t>
        </is>
      </c>
      <c r="I3441" s="9" t="n">
        <v>1</v>
      </c>
      <c r="J3441" s="9" t="inlineStr">
        <is>
          <t>cnt</t>
        </is>
      </c>
      <c r="K3441" s="9" t="n">
        <v>3.39</v>
      </c>
    </row>
    <row r="3442" ht="15" customFormat="1" customHeight="1" s="5">
      <c r="A3442" s="81" t="n">
        <v>45757</v>
      </c>
      <c r="B3442" s="82" t="n">
        <v>0.6104166666666667</v>
      </c>
      <c r="C3442" s="5" t="inlineStr">
        <is>
          <t>Costco</t>
        </is>
      </c>
      <c r="E3442" s="5" t="n">
        <v>1</v>
      </c>
      <c r="F3442" s="6" t="inlineStr">
        <is>
          <t>439 207 137 707</t>
        </is>
      </c>
      <c r="G3442" s="7" t="n"/>
      <c r="H3442" s="9" t="inlineStr">
        <is>
          <t>Tax</t>
        </is>
      </c>
      <c r="I3442" s="9" t="n">
        <v>6</v>
      </c>
      <c r="J3442" s="9" t="inlineStr">
        <is>
          <t>cnt</t>
        </is>
      </c>
      <c r="K3442" s="9" t="n">
        <v>0</v>
      </c>
    </row>
    <row r="3443" ht="15" customFormat="1" customHeight="1" s="5">
      <c r="A3443" s="81" t="n">
        <v>45756</v>
      </c>
      <c r="B3443" s="82" t="n">
        <v>0.8743055555555556</v>
      </c>
      <c r="C3443" s="5" t="inlineStr">
        <is>
          <t>Safeway</t>
        </is>
      </c>
      <c r="E3443" s="5" t="n">
        <v>1</v>
      </c>
      <c r="F3443" s="6" t="inlineStr">
        <is>
          <t>2612 52 186 8852</t>
        </is>
      </c>
      <c r="G3443" s="95" t="n">
        <v>2</v>
      </c>
      <c r="H3443" s="9" t="inlineStr">
        <is>
          <t>Violife JL cream (cream cheese alternative )</t>
        </is>
      </c>
      <c r="I3443" s="9" t="n">
        <v>8</v>
      </c>
      <c r="J3443" s="9" t="inlineStr">
        <is>
          <t>oz</t>
        </is>
      </c>
      <c r="K3443" s="9" t="n">
        <v>6.99</v>
      </c>
    </row>
    <row r="3444" ht="15" customFormat="1" customHeight="1" s="5">
      <c r="A3444" s="81" t="n">
        <v>45756</v>
      </c>
      <c r="B3444" s="82" t="n">
        <v>0.8743055555555556</v>
      </c>
      <c r="C3444" s="5" t="inlineStr">
        <is>
          <t>Safeway</t>
        </is>
      </c>
      <c r="E3444" s="5" t="n">
        <v>1</v>
      </c>
      <c r="F3444" s="6" t="inlineStr">
        <is>
          <t>2612 52 186 8852</t>
        </is>
      </c>
      <c r="G3444" s="95" t="n">
        <v>4</v>
      </c>
      <c r="H3444" s="9" t="inlineStr">
        <is>
          <t xml:space="preserve">Signature select naan flat, original buttermilk(4) </t>
        </is>
      </c>
      <c r="I3444" s="9" t="n">
        <v>17.6</v>
      </c>
      <c r="J3444" s="9" t="inlineStr">
        <is>
          <t>oz</t>
        </is>
      </c>
      <c r="K3444" s="9" t="n">
        <v>4.99</v>
      </c>
    </row>
    <row r="3445" ht="15" customFormat="1" customHeight="1" s="5">
      <c r="A3445" s="81" t="n">
        <v>45756</v>
      </c>
      <c r="B3445" s="82" t="n">
        <v>0.8743055555555556</v>
      </c>
      <c r="C3445" s="5" t="inlineStr">
        <is>
          <t>Safeway</t>
        </is>
      </c>
      <c r="E3445" s="5" t="n">
        <v>1</v>
      </c>
      <c r="F3445" s="6" t="inlineStr">
        <is>
          <t>2612 52 186 8852</t>
        </is>
      </c>
      <c r="G3445" s="95" t="n">
        <v>1</v>
      </c>
      <c r="H3445" s="9" t="inlineStr">
        <is>
          <t>Signature select pizza dough</t>
        </is>
      </c>
      <c r="I3445" s="9" t="n">
        <v>15</v>
      </c>
      <c r="J3445" s="9" t="inlineStr">
        <is>
          <t>oz</t>
        </is>
      </c>
      <c r="K3445" s="9" t="n">
        <v>3.49</v>
      </c>
    </row>
    <row r="3446" ht="15" customFormat="1" customHeight="1" s="5">
      <c r="A3446" s="81" t="n">
        <v>45756</v>
      </c>
      <c r="B3446" s="82" t="n">
        <v>0.8743055555555556</v>
      </c>
      <c r="C3446" s="5" t="inlineStr">
        <is>
          <t>Safeway</t>
        </is>
      </c>
      <c r="E3446" s="5" t="n">
        <v>1</v>
      </c>
      <c r="F3446" s="6" t="inlineStr">
        <is>
          <t>2612 52 186 8852</t>
        </is>
      </c>
      <c r="G3446" s="95" t="n">
        <v>5</v>
      </c>
      <c r="H3446" s="9" t="inlineStr">
        <is>
          <t>Signature select pork sausage</t>
        </is>
      </c>
      <c r="I3446" s="9" t="n">
        <v>16</v>
      </c>
      <c r="J3446" s="9" t="inlineStr">
        <is>
          <t>oz</t>
        </is>
      </c>
      <c r="K3446" s="9" t="n">
        <v>3.49</v>
      </c>
    </row>
    <row r="3447" ht="15" customFormat="1" customHeight="1" s="5">
      <c r="A3447" s="81" t="n">
        <v>45756</v>
      </c>
      <c r="B3447" s="82" t="n">
        <v>0.8743055555555556</v>
      </c>
      <c r="C3447" s="5" t="inlineStr">
        <is>
          <t>Safeway</t>
        </is>
      </c>
      <c r="E3447" s="5" t="n">
        <v>1</v>
      </c>
      <c r="F3447" s="6" t="inlineStr">
        <is>
          <t>2612 52 186 8852</t>
        </is>
      </c>
      <c r="G3447" s="95" t="n">
        <v>6</v>
      </c>
      <c r="H3447" s="9" t="inlineStr">
        <is>
          <t>Signature select pork sausage</t>
        </is>
      </c>
      <c r="I3447" s="9" t="n">
        <v>16</v>
      </c>
      <c r="J3447" s="9" t="inlineStr">
        <is>
          <t>oz</t>
        </is>
      </c>
      <c r="K3447" s="9" t="n">
        <v>3.49</v>
      </c>
    </row>
    <row r="3448" ht="15" customFormat="1" customHeight="1" s="5">
      <c r="A3448" s="81" t="n">
        <v>45756</v>
      </c>
      <c r="B3448" s="82" t="n">
        <v>0.8743055555555556</v>
      </c>
      <c r="C3448" s="5" t="inlineStr">
        <is>
          <t>Safeway</t>
        </is>
      </c>
      <c r="E3448" s="5" t="n">
        <v>1</v>
      </c>
      <c r="F3448" s="6" t="inlineStr">
        <is>
          <t>2612 52 186 8852</t>
        </is>
      </c>
      <c r="G3448" s="95" t="n">
        <v>3</v>
      </c>
      <c r="H3448" s="9" t="inlineStr">
        <is>
          <t>Chobani Greek yogurt single serve</t>
        </is>
      </c>
      <c r="I3448" s="9" t="n">
        <v>5.3</v>
      </c>
      <c r="J3448" s="9" t="inlineStr">
        <is>
          <t>oz</t>
        </is>
      </c>
      <c r="K3448" s="9" t="n">
        <v>1.49</v>
      </c>
    </row>
    <row r="3449" ht="15" customFormat="1" customHeight="1" s="5">
      <c r="A3449" s="81" t="n">
        <v>45756</v>
      </c>
      <c r="B3449" s="82" t="n">
        <v>0.8743055555555556</v>
      </c>
      <c r="C3449" s="5" t="inlineStr">
        <is>
          <t>Safeway</t>
        </is>
      </c>
      <c r="E3449" s="5" t="n">
        <v>1</v>
      </c>
      <c r="F3449" s="6" t="inlineStr">
        <is>
          <t>2612 52 186 8852</t>
        </is>
      </c>
      <c r="G3449" s="7" t="n"/>
      <c r="H3449" s="9" t="inlineStr">
        <is>
          <t>Tax</t>
        </is>
      </c>
      <c r="I3449" s="9" t="n">
        <v>6</v>
      </c>
      <c r="J3449" s="9" t="inlineStr">
        <is>
          <t>cnt</t>
        </is>
      </c>
      <c r="K3449" s="9" t="n">
        <v>0</v>
      </c>
    </row>
    <row r="3450" ht="15" customFormat="1" customHeight="1" s="5">
      <c r="A3450" s="81" t="n">
        <v>45756</v>
      </c>
      <c r="B3450" s="82" t="n">
        <v>0.8743055555555556</v>
      </c>
      <c r="C3450" s="5" t="inlineStr">
        <is>
          <t>Safeway</t>
        </is>
      </c>
      <c r="E3450" s="5" t="n">
        <v>1</v>
      </c>
      <c r="F3450" s="6" t="inlineStr">
        <is>
          <t>2612 52 186 8852</t>
        </is>
      </c>
      <c r="G3450" s="95" t="n">
        <v>4</v>
      </c>
      <c r="H3450" s="9" t="inlineStr">
        <is>
          <t>**DISCOUNT** member savings</t>
        </is>
      </c>
      <c r="I3450" s="9" t="n">
        <v>17.6</v>
      </c>
      <c r="J3450" s="9" t="inlineStr">
        <is>
          <t>oz</t>
        </is>
      </c>
      <c r="K3450" s="9" t="n">
        <v>-0.26</v>
      </c>
    </row>
    <row r="3451" ht="15" customFormat="1" customHeight="1" s="5">
      <c r="A3451" s="81" t="n">
        <v>45756</v>
      </c>
      <c r="B3451" s="82" t="n">
        <v>0.8743055555555556</v>
      </c>
      <c r="C3451" s="5" t="inlineStr">
        <is>
          <t>Safeway</t>
        </is>
      </c>
      <c r="E3451" s="5" t="n">
        <v>1</v>
      </c>
      <c r="F3451" s="6" t="inlineStr">
        <is>
          <t>2612 52 186 8852</t>
        </is>
      </c>
      <c r="G3451" s="95" t="n">
        <v>3</v>
      </c>
      <c r="H3451" s="9" t="inlineStr">
        <is>
          <t>**DISCOUNT** member savings</t>
        </is>
      </c>
      <c r="I3451" s="9" t="n">
        <v>5.3</v>
      </c>
      <c r="J3451" s="9" t="inlineStr">
        <is>
          <t>oz</t>
        </is>
      </c>
      <c r="K3451" s="9" t="n">
        <v>-0.54</v>
      </c>
    </row>
    <row r="3452" ht="15" customFormat="1" customHeight="1" s="5">
      <c r="A3452" s="81" t="n">
        <v>45756</v>
      </c>
      <c r="B3452" s="82" t="n">
        <v>0.8743055555555556</v>
      </c>
      <c r="C3452" s="5" t="inlineStr">
        <is>
          <t>Safeway</t>
        </is>
      </c>
      <c r="E3452" s="5" t="n">
        <v>1</v>
      </c>
      <c r="F3452" s="6" t="inlineStr">
        <is>
          <t>2612 52 186 8852</t>
        </is>
      </c>
      <c r="G3452" s="95" t="n">
        <v>1</v>
      </c>
      <c r="H3452" s="9" t="inlineStr">
        <is>
          <t>**DISCOUNT** member savings</t>
        </is>
      </c>
      <c r="I3452" s="9" t="n">
        <v>15</v>
      </c>
      <c r="J3452" s="9" t="inlineStr">
        <is>
          <t>oz</t>
        </is>
      </c>
      <c r="K3452" s="9" t="n">
        <v>-0.65</v>
      </c>
    </row>
    <row r="3453" ht="15" customFormat="1" customHeight="1" s="5">
      <c r="A3453" s="81" t="n">
        <v>45756</v>
      </c>
      <c r="B3453" s="82" t="n">
        <v>0.8743055555555556</v>
      </c>
      <c r="C3453" s="5" t="inlineStr">
        <is>
          <t>Safeway</t>
        </is>
      </c>
      <c r="E3453" s="5" t="n">
        <v>1</v>
      </c>
      <c r="F3453" s="6" t="inlineStr">
        <is>
          <t>2612 52 186 8852</t>
        </is>
      </c>
      <c r="G3453" s="95" t="n">
        <v>5</v>
      </c>
      <c r="H3453" s="9" t="inlineStr">
        <is>
          <t>**DISCOUNT** member savings</t>
        </is>
      </c>
      <c r="I3453" s="9" t="n">
        <v>16</v>
      </c>
      <c r="J3453" s="9" t="inlineStr">
        <is>
          <t>oz</t>
        </is>
      </c>
      <c r="K3453" s="9" t="n">
        <v>-0.93</v>
      </c>
    </row>
    <row r="3454" ht="15" customFormat="1" customHeight="1" s="5">
      <c r="A3454" s="81" t="n">
        <v>45756</v>
      </c>
      <c r="B3454" s="82" t="n">
        <v>0.8743055555555556</v>
      </c>
      <c r="C3454" s="5" t="inlineStr">
        <is>
          <t>Safeway</t>
        </is>
      </c>
      <c r="E3454" s="5" t="n">
        <v>1</v>
      </c>
      <c r="F3454" s="6" t="inlineStr">
        <is>
          <t>2612 52 186 8852</t>
        </is>
      </c>
      <c r="G3454" s="95" t="n">
        <v>6</v>
      </c>
      <c r="H3454" s="9" t="inlineStr">
        <is>
          <t>**DISCOUNT** member savings</t>
        </is>
      </c>
      <c r="I3454" s="9" t="n">
        <v>16</v>
      </c>
      <c r="J3454" s="9" t="inlineStr">
        <is>
          <t>oz</t>
        </is>
      </c>
      <c r="K3454" s="9" t="n">
        <v>-0.93</v>
      </c>
    </row>
    <row r="3455" ht="15" customFormat="1" customHeight="1" s="5">
      <c r="A3455" s="81" t="n">
        <v>45756</v>
      </c>
      <c r="B3455" s="82" t="n">
        <v>0.8743055555555556</v>
      </c>
      <c r="C3455" s="5" t="inlineStr">
        <is>
          <t>Safeway</t>
        </is>
      </c>
      <c r="E3455" s="5" t="n">
        <v>1</v>
      </c>
      <c r="F3455" s="6" t="inlineStr">
        <is>
          <t>2612 52 186 8852</t>
        </is>
      </c>
      <c r="G3455" s="95" t="n"/>
      <c r="H3455" s="9" t="inlineStr">
        <is>
          <t>**DISCOUNT** rewards and cash off</t>
        </is>
      </c>
      <c r="I3455" s="9" t="n">
        <v>6</v>
      </c>
      <c r="J3455" s="9" t="inlineStr">
        <is>
          <t>cnt</t>
        </is>
      </c>
      <c r="K3455" s="9" t="n">
        <v>-1</v>
      </c>
    </row>
    <row r="3456" ht="15" customFormat="1" customHeight="1" s="5">
      <c r="A3456" s="81" t="n">
        <v>45756</v>
      </c>
      <c r="B3456" s="82" t="n">
        <v>0.8743055555555556</v>
      </c>
      <c r="C3456" s="5" t="inlineStr">
        <is>
          <t>Safeway</t>
        </is>
      </c>
      <c r="E3456" s="5" t="n">
        <v>1</v>
      </c>
      <c r="F3456" s="6" t="inlineStr">
        <is>
          <t>2612 52 186 8852</t>
        </is>
      </c>
      <c r="G3456" s="95" t="n">
        <v>2</v>
      </c>
      <c r="H3456" s="9" t="inlineStr">
        <is>
          <t>**DISCOUNT** member savings</t>
        </is>
      </c>
      <c r="I3456" s="9" t="n">
        <v>8</v>
      </c>
      <c r="J3456" s="9" t="inlineStr">
        <is>
          <t>oz</t>
        </is>
      </c>
      <c r="K3456" s="9" t="n">
        <v>-4.63</v>
      </c>
    </row>
    <row r="3457" ht="15" customFormat="1" customHeight="1" s="5">
      <c r="A3457" s="81" t="n">
        <v>45756</v>
      </c>
      <c r="B3457" s="82" t="n">
        <v>0.5354166666666667</v>
      </c>
      <c r="C3457" s="5" t="inlineStr">
        <is>
          <t>Mt. Fuji Hibachi and Sushi</t>
        </is>
      </c>
      <c r="E3457" s="5" t="n">
        <v>1</v>
      </c>
      <c r="F3457" s="6" t="inlineStr">
        <is>
          <t>6 A4</t>
        </is>
      </c>
      <c r="G3457" s="7" t="n"/>
      <c r="H3457" s="9" t="inlineStr">
        <is>
          <t>Lunch sushi bento B</t>
        </is>
      </c>
      <c r="I3457" s="9" t="n"/>
      <c r="J3457" s="9" t="n"/>
      <c r="K3457" s="9" t="n">
        <v>14.95</v>
      </c>
    </row>
    <row r="3458" ht="15" customFormat="1" customHeight="1" s="5">
      <c r="A3458" s="81" t="n">
        <v>45756</v>
      </c>
      <c r="B3458" s="82" t="n">
        <v>0.5354166666666667</v>
      </c>
      <c r="C3458" s="5" t="inlineStr">
        <is>
          <t>Mt. Fuji Hibachi and Sushi</t>
        </is>
      </c>
      <c r="E3458" s="5" t="n">
        <v>1</v>
      </c>
      <c r="F3458" s="6" t="inlineStr">
        <is>
          <t>6 A4</t>
        </is>
      </c>
      <c r="G3458" s="7" t="n"/>
      <c r="H3458" s="9" t="inlineStr">
        <is>
          <t xml:space="preserve">Chicken katsu box </t>
        </is>
      </c>
      <c r="I3458" s="9" t="n"/>
      <c r="J3458" s="9" t="n"/>
      <c r="K3458" s="9" t="n">
        <v>13.95</v>
      </c>
    </row>
    <row r="3459" ht="15" customFormat="1" customHeight="1" s="5">
      <c r="A3459" s="81" t="n">
        <v>45756</v>
      </c>
      <c r="B3459" s="82" t="n">
        <v>0.5354166666666667</v>
      </c>
      <c r="C3459" s="5" t="inlineStr">
        <is>
          <t>Mt. Fuji Hibachi and Sushi</t>
        </is>
      </c>
      <c r="E3459" s="5" t="n">
        <v>1</v>
      </c>
      <c r="F3459" s="6" t="inlineStr">
        <is>
          <t>6 A4</t>
        </is>
      </c>
      <c r="G3459" s="7" t="n"/>
      <c r="H3459" s="9" t="inlineStr">
        <is>
          <t>2 roll lunch special: white tuna, salmon</t>
        </is>
      </c>
      <c r="I3459" s="9" t="n"/>
      <c r="J3459" s="9" t="n"/>
      <c r="K3459" s="9" t="n">
        <v>13.75</v>
      </c>
    </row>
    <row r="3460" ht="15" customFormat="1" customHeight="1" s="5">
      <c r="A3460" s="81" t="n">
        <v>45756</v>
      </c>
      <c r="B3460" s="82" t="n">
        <v>0.5354166666666667</v>
      </c>
      <c r="C3460" s="5" t="inlineStr">
        <is>
          <t>Mt. Fuji Hibachi and Sushi</t>
        </is>
      </c>
      <c r="E3460" s="5" t="n">
        <v>1</v>
      </c>
      <c r="F3460" s="6" t="inlineStr">
        <is>
          <t>6 A4</t>
        </is>
      </c>
      <c r="G3460" s="7" t="n"/>
      <c r="H3460" s="9" t="inlineStr">
        <is>
          <t>Tax (8.00%)</t>
        </is>
      </c>
      <c r="I3460" s="9" t="n">
        <v>3</v>
      </c>
      <c r="J3460" s="9" t="inlineStr">
        <is>
          <t>cnt</t>
        </is>
      </c>
      <c r="K3460" s="9" t="n">
        <v>8.1</v>
      </c>
    </row>
    <row r="3461" ht="15" customFormat="1" customHeight="1" s="5">
      <c r="A3461" s="81" t="n">
        <v>45756</v>
      </c>
      <c r="B3461" s="82" t="n">
        <v>0.5354166666666667</v>
      </c>
      <c r="C3461" s="5" t="inlineStr">
        <is>
          <t>Mt. Fuji Hibachi and Sushi</t>
        </is>
      </c>
      <c r="E3461" s="5" t="n">
        <v>1</v>
      </c>
      <c r="F3461" s="6" t="inlineStr">
        <is>
          <t>6 A4</t>
        </is>
      </c>
      <c r="G3461" s="7" t="n"/>
      <c r="H3461" s="9" t="inlineStr">
        <is>
          <t xml:space="preserve">Gratuity 19% - required charge </t>
        </is>
      </c>
      <c r="I3461" s="9" t="n">
        <v>3</v>
      </c>
      <c r="J3461" s="9" t="inlineStr">
        <is>
          <t>cnt</t>
        </is>
      </c>
      <c r="K3461" s="9" t="n">
        <v>3.31</v>
      </c>
    </row>
    <row r="3462" ht="15" customFormat="1" customHeight="1" s="5">
      <c r="A3462" s="81" t="n">
        <v>45756</v>
      </c>
      <c r="B3462" s="82" t="n">
        <v>0.5354166666666667</v>
      </c>
      <c r="C3462" s="5" t="inlineStr">
        <is>
          <t>Mt. Fuji Hibachi and Sushi</t>
        </is>
      </c>
      <c r="E3462" s="5" t="n">
        <v>1</v>
      </c>
      <c r="F3462" s="6" t="inlineStr">
        <is>
          <t>6 A4</t>
        </is>
      </c>
      <c r="G3462" s="7" t="n"/>
      <c r="H3462" s="9" t="inlineStr">
        <is>
          <t>Extra charge that showed up to make total $54.16 (why??)</t>
        </is>
      </c>
      <c r="I3462" s="9" t="n">
        <v>1</v>
      </c>
      <c r="J3462" s="9" t="inlineStr">
        <is>
          <t>cnt</t>
        </is>
      </c>
      <c r="K3462" s="9" t="n">
        <v>0.1</v>
      </c>
    </row>
    <row r="3463" ht="15" customFormat="1" customHeight="1" s="5">
      <c r="A3463" s="81" t="n">
        <v>45755</v>
      </c>
      <c r="B3463" s="82" t="n">
        <v>0.6951388888888889</v>
      </c>
      <c r="C3463" s="5" t="inlineStr">
        <is>
          <t>McDonald's</t>
        </is>
      </c>
      <c r="D3463" s="5" t="n">
        <v>1</v>
      </c>
      <c r="F3463" s="6" t="n"/>
      <c r="G3463" s="7" t="n"/>
      <c r="H3463" s="9" t="inlineStr">
        <is>
          <t>Deluxe McCrispy Chicken sandwich</t>
        </is>
      </c>
      <c r="I3463" s="9" t="n"/>
      <c r="J3463" s="9" t="n"/>
      <c r="K3463" s="9" t="n">
        <v>5.49</v>
      </c>
    </row>
    <row r="3464" ht="15" customFormat="1" customHeight="1" s="5">
      <c r="A3464" s="81" t="n">
        <v>45755</v>
      </c>
      <c r="B3464" s="82" t="n">
        <v>0.6951388888888889</v>
      </c>
      <c r="C3464" s="5" t="inlineStr">
        <is>
          <t>McDonald's</t>
        </is>
      </c>
      <c r="D3464" s="5" t="n">
        <v>1</v>
      </c>
      <c r="F3464" s="6" t="n"/>
      <c r="G3464" s="7" t="n"/>
      <c r="H3464" s="9" t="inlineStr">
        <is>
          <t>Medium fries</t>
        </is>
      </c>
      <c r="I3464" s="9" t="n"/>
      <c r="J3464" s="9" t="n"/>
      <c r="K3464" s="9" t="n">
        <v>3.29</v>
      </c>
    </row>
    <row r="3465" ht="15" customFormat="1" customHeight="1" s="5">
      <c r="A3465" s="81" t="n">
        <v>45755</v>
      </c>
      <c r="B3465" s="82" t="n">
        <v>0.6951388888888889</v>
      </c>
      <c r="C3465" s="5" t="inlineStr">
        <is>
          <t>McDonald's</t>
        </is>
      </c>
      <c r="D3465" s="5" t="n">
        <v>1</v>
      </c>
      <c r="F3465" s="6" t="n"/>
      <c r="G3465" s="7" t="n"/>
      <c r="H3465" s="9" t="inlineStr">
        <is>
          <t>Tax</t>
        </is>
      </c>
      <c r="I3465" s="9" t="n">
        <v>3</v>
      </c>
      <c r="J3465" s="9" t="inlineStr">
        <is>
          <t>cnt</t>
        </is>
      </c>
      <c r="K3465" s="9" t="n">
        <v>1.9</v>
      </c>
    </row>
    <row r="3466" ht="15" customFormat="1" customHeight="1" s="5">
      <c r="A3466" s="81" t="n">
        <v>45755</v>
      </c>
      <c r="B3466" s="82" t="n">
        <v>0.6951388888888889</v>
      </c>
      <c r="C3466" s="5" t="inlineStr">
        <is>
          <t>McDonald's</t>
        </is>
      </c>
      <c r="D3466" s="5" t="n">
        <v>1</v>
      </c>
      <c r="F3466" s="6" t="n"/>
      <c r="G3466" s="7" t="n"/>
      <c r="H3466" s="9" t="inlineStr">
        <is>
          <t>Apple pie</t>
        </is>
      </c>
      <c r="I3466" s="9" t="n"/>
      <c r="J3466" s="9" t="n"/>
      <c r="K3466" s="9" t="n">
        <v>1.69</v>
      </c>
    </row>
    <row r="3467" ht="15" customFormat="1" customHeight="1" s="5">
      <c r="A3467" s="81" t="n">
        <v>45755</v>
      </c>
      <c r="B3467" s="82" t="n">
        <v>0.6951388888888889</v>
      </c>
      <c r="C3467" s="5" t="inlineStr">
        <is>
          <t>McDonald's</t>
        </is>
      </c>
      <c r="D3467" s="5" t="n">
        <v>1</v>
      </c>
      <c r="F3467" s="6" t="n"/>
      <c r="G3467" s="7" t="n"/>
      <c r="H3467" s="9" t="inlineStr">
        <is>
          <t>**DISCOUNT** free medium fries</t>
        </is>
      </c>
      <c r="I3467" s="9" t="n"/>
      <c r="J3467" s="9" t="n"/>
      <c r="K3467" s="9" t="n">
        <v>-3.29</v>
      </c>
    </row>
    <row r="3468" ht="15" customFormat="1" customHeight="1" s="5">
      <c r="A3468" s="81" t="n">
        <v>45755</v>
      </c>
      <c r="B3468" s="82" t="n">
        <v>0.2916666666666667</v>
      </c>
      <c r="C3468" s="5" t="inlineStr">
        <is>
          <t>CDLE FAMLI</t>
        </is>
      </c>
      <c r="D3468" s="5" t="n">
        <v>1</v>
      </c>
      <c r="F3468" s="6" t="inlineStr">
        <is>
          <t>NA_Fam8</t>
        </is>
      </c>
      <c r="G3468" s="7" t="n"/>
      <c r="H3468" s="9" t="inlineStr">
        <is>
          <t>RTX ELI Deposit CDLE FAMLI_2 Benefits</t>
        </is>
      </c>
      <c r="I3468" s="9" t="n"/>
      <c r="J3468" s="9" t="n"/>
      <c r="K3468" s="9" t="n">
        <v>-1324.21</v>
      </c>
    </row>
    <row r="3469" ht="15" customFormat="1" customHeight="1" s="5">
      <c r="A3469" s="81" t="n">
        <v>45754</v>
      </c>
      <c r="B3469" s="82" t="n">
        <v>0.5979166666666667</v>
      </c>
      <c r="C3469" s="5" t="inlineStr">
        <is>
          <t>Costco</t>
        </is>
      </c>
      <c r="E3469" s="5" t="n">
        <v>1</v>
      </c>
      <c r="F3469" s="6" t="inlineStr">
        <is>
          <t>439 204 112 704</t>
        </is>
      </c>
      <c r="G3469" s="7" t="n"/>
      <c r="H3469" s="9" t="inlineStr">
        <is>
          <t xml:space="preserve">Women's medium bore long sleeve button up pajama set - Flora nikrooz shirt and pants </t>
        </is>
      </c>
      <c r="I3469" s="9" t="n">
        <v>2</v>
      </c>
      <c r="J3469" s="9" t="inlineStr">
        <is>
          <t>cnt</t>
        </is>
      </c>
      <c r="K3469" s="9" t="inlineStr">
        <is>
          <t>12.97 A</t>
        </is>
      </c>
    </row>
    <row r="3470" ht="15" customFormat="1" customHeight="1" s="5">
      <c r="A3470" s="81" t="n">
        <v>45754</v>
      </c>
      <c r="B3470" s="82" t="n">
        <v>0.5979166666666667</v>
      </c>
      <c r="C3470" s="5" t="inlineStr">
        <is>
          <t>Costco</t>
        </is>
      </c>
      <c r="E3470" s="5" t="n">
        <v>1</v>
      </c>
      <c r="F3470" s="6" t="inlineStr">
        <is>
          <t>439 204 112 704</t>
        </is>
      </c>
      <c r="G3470" s="7" t="n"/>
      <c r="H3470" s="9" t="inlineStr">
        <is>
          <t>Tax A 8.00%</t>
        </is>
      </c>
      <c r="I3470" s="9" t="n">
        <v>1</v>
      </c>
      <c r="J3470" s="9" t="inlineStr">
        <is>
          <t>cnt</t>
        </is>
      </c>
      <c r="K3470" s="9" t="n">
        <v>1.04</v>
      </c>
    </row>
    <row r="3471" ht="15" customFormat="1" customHeight="1" s="5">
      <c r="A3471" s="81" t="n">
        <v>45754</v>
      </c>
      <c r="B3471" s="82" t="n">
        <v>0.5979166666666667</v>
      </c>
      <c r="C3471" s="5" t="inlineStr">
        <is>
          <t>Costco</t>
        </is>
      </c>
      <c r="E3471" s="5" t="n">
        <v>1</v>
      </c>
      <c r="F3471" s="6" t="inlineStr">
        <is>
          <t>439 204 112 704</t>
        </is>
      </c>
      <c r="G3471" s="7" t="n"/>
      <c r="H3471" s="9" t="inlineStr">
        <is>
          <t>KS coastal cheddar @$6.89/lb</t>
        </is>
      </c>
      <c r="I3471" s="9" t="n">
        <v>1.85</v>
      </c>
      <c r="J3471" s="9" t="inlineStr">
        <is>
          <t>lb</t>
        </is>
      </c>
      <c r="K3471" s="9" t="n">
        <v>12.75</v>
      </c>
    </row>
    <row r="3472" ht="15" customFormat="1" customHeight="1" s="5">
      <c r="A3472" s="81" t="n">
        <v>45754</v>
      </c>
      <c r="B3472" s="82" t="n">
        <v>0.5979166666666667</v>
      </c>
      <c r="C3472" s="5" t="inlineStr">
        <is>
          <t>Costco</t>
        </is>
      </c>
      <c r="E3472" s="5" t="n">
        <v>1</v>
      </c>
      <c r="F3472" s="6" t="inlineStr">
        <is>
          <t>439 204 112 704</t>
        </is>
      </c>
      <c r="G3472" s="7" t="n"/>
      <c r="H3472" s="9" t="inlineStr">
        <is>
          <t>KS organic dried cherries (sugared and in canola oil)</t>
        </is>
      </c>
      <c r="I3472" s="9" t="n">
        <v>20</v>
      </c>
      <c r="J3472" s="9" t="inlineStr">
        <is>
          <t>oz</t>
        </is>
      </c>
      <c r="K3472" s="9" t="n">
        <v>10.99</v>
      </c>
    </row>
    <row r="3473" ht="15" customFormat="1" customHeight="1" s="5">
      <c r="A3473" s="81" t="n">
        <v>45754</v>
      </c>
      <c r="B3473" s="82" t="n">
        <v>0.5979166666666667</v>
      </c>
      <c r="C3473" s="5" t="inlineStr">
        <is>
          <t>Costco</t>
        </is>
      </c>
      <c r="E3473" s="5" t="n">
        <v>1</v>
      </c>
      <c r="F3473" s="6" t="inlineStr">
        <is>
          <t>439 204 112 704</t>
        </is>
      </c>
      <c r="G3473" s="7" t="n"/>
      <c r="H3473" s="9" t="inlineStr">
        <is>
          <t>Shrimp frozen 31/40, de shelled and de veined, raw</t>
        </is>
      </c>
      <c r="I3473" s="9" t="n">
        <v>2</v>
      </c>
      <c r="J3473" s="9" t="inlineStr">
        <is>
          <t>lb</t>
        </is>
      </c>
      <c r="K3473" s="9" t="n">
        <v>10.89</v>
      </c>
    </row>
    <row r="3474" ht="15" customFormat="1" customHeight="1" s="5">
      <c r="A3474" s="81" t="n">
        <v>45754</v>
      </c>
      <c r="B3474" s="82" t="n">
        <v>0.5979166666666667</v>
      </c>
      <c r="C3474" s="5" t="inlineStr">
        <is>
          <t>Costco</t>
        </is>
      </c>
      <c r="E3474" s="5" t="n">
        <v>1</v>
      </c>
      <c r="F3474" s="6" t="inlineStr">
        <is>
          <t>439 204 112 704</t>
        </is>
      </c>
      <c r="G3474" s="7" t="n"/>
      <c r="H3474" s="9" t="inlineStr">
        <is>
          <t>Organic dates (deglet)</t>
        </is>
      </c>
      <c r="I3474" s="9" t="n">
        <v>2.5</v>
      </c>
      <c r="J3474" s="9" t="inlineStr">
        <is>
          <t>lb</t>
        </is>
      </c>
      <c r="K3474" s="9" t="n">
        <v>7.99</v>
      </c>
    </row>
    <row r="3475" ht="15" customFormat="1" customHeight="1" s="5">
      <c r="A3475" s="81" t="n">
        <v>45754</v>
      </c>
      <c r="B3475" s="82" t="n">
        <v>0.5979166666666667</v>
      </c>
      <c r="C3475" s="5" t="inlineStr">
        <is>
          <t>Costco</t>
        </is>
      </c>
      <c r="E3475" s="5" t="n">
        <v>1</v>
      </c>
      <c r="F3475" s="6" t="inlineStr">
        <is>
          <t>439 204 112 704</t>
        </is>
      </c>
      <c r="G3475" s="7" t="n"/>
      <c r="H3475" s="9" t="inlineStr">
        <is>
          <t>1 dozen plain bagels</t>
        </is>
      </c>
      <c r="I3475" s="9" t="n">
        <v>1.5</v>
      </c>
      <c r="J3475" s="9" t="inlineStr">
        <is>
          <t>lb</t>
        </is>
      </c>
      <c r="K3475" s="9" t="n">
        <v>7.99</v>
      </c>
    </row>
    <row r="3476" ht="15" customFormat="1" customHeight="1" s="5">
      <c r="A3476" s="81" t="n">
        <v>45754</v>
      </c>
      <c r="B3476" s="82" t="n">
        <v>0.5979166666666667</v>
      </c>
      <c r="C3476" s="5" t="inlineStr">
        <is>
          <t>Costco</t>
        </is>
      </c>
      <c r="E3476" s="5" t="n">
        <v>1</v>
      </c>
      <c r="F3476" s="6" t="inlineStr">
        <is>
          <t>439 204 112 704</t>
        </is>
      </c>
      <c r="G3476" s="7" t="n"/>
      <c r="H3476" s="9" t="inlineStr">
        <is>
          <t xml:space="preserve">6 cheese, 6 cinnamon bagels </t>
        </is>
      </c>
      <c r="I3476" s="9" t="n">
        <v>1.5</v>
      </c>
      <c r="J3476" s="9" t="inlineStr">
        <is>
          <t>lb</t>
        </is>
      </c>
      <c r="K3476" s="9" t="n">
        <v>7.99</v>
      </c>
    </row>
    <row r="3477" ht="15" customFormat="1" customHeight="1" s="5">
      <c r="A3477" s="81" t="n">
        <v>45754</v>
      </c>
      <c r="B3477" s="82" t="n">
        <v>0.5979166666666667</v>
      </c>
      <c r="C3477" s="5" t="inlineStr">
        <is>
          <t>Costco</t>
        </is>
      </c>
      <c r="E3477" s="5" t="n">
        <v>1</v>
      </c>
      <c r="F3477" s="6" t="inlineStr">
        <is>
          <t>439 204 112 704</t>
        </is>
      </c>
      <c r="G3477" s="7" t="n"/>
      <c r="H3477" s="9" t="inlineStr">
        <is>
          <t xml:space="preserve">Organic squash (6 count) </t>
        </is>
      </c>
      <c r="I3477" s="9" t="n">
        <v>3.5</v>
      </c>
      <c r="J3477" s="9" t="inlineStr">
        <is>
          <t>lb</t>
        </is>
      </c>
      <c r="K3477" s="9" t="n">
        <v>7.99</v>
      </c>
    </row>
    <row r="3478" ht="15" customFormat="1" customHeight="1" s="5">
      <c r="A3478" s="81" t="n">
        <v>45754</v>
      </c>
      <c r="B3478" s="82" t="n">
        <v>0.5979166666666667</v>
      </c>
      <c r="C3478" s="5" t="inlineStr">
        <is>
          <t>Costco</t>
        </is>
      </c>
      <c r="E3478" s="5" t="n">
        <v>1</v>
      </c>
      <c r="F3478" s="6" t="inlineStr">
        <is>
          <t>439 204 112 704</t>
        </is>
      </c>
      <c r="G3478" s="7" t="n"/>
      <c r="H3478" s="9" t="inlineStr">
        <is>
          <t>Whole milk, 2 pack</t>
        </is>
      </c>
      <c r="I3478" s="9" t="n">
        <v>2</v>
      </c>
      <c r="J3478" s="9" t="inlineStr">
        <is>
          <t>gal</t>
        </is>
      </c>
      <c r="K3478" s="9" t="n">
        <v>6.99</v>
      </c>
    </row>
    <row r="3479" ht="15" customFormat="1" customHeight="1" s="5">
      <c r="A3479" s="81" t="n">
        <v>45754</v>
      </c>
      <c r="B3479" s="82" t="n">
        <v>0.5979166666666667</v>
      </c>
      <c r="C3479" s="5" t="inlineStr">
        <is>
          <t>Costco</t>
        </is>
      </c>
      <c r="E3479" s="5" t="n">
        <v>1</v>
      </c>
      <c r="F3479" s="6" t="inlineStr">
        <is>
          <t>439 204 112 704</t>
        </is>
      </c>
      <c r="G3479" s="7" t="n"/>
      <c r="H3479" s="9" t="inlineStr">
        <is>
          <t>Grillo's pickle chips</t>
        </is>
      </c>
      <c r="I3479" s="9" t="n">
        <v>32</v>
      </c>
      <c r="J3479" s="9" t="inlineStr">
        <is>
          <t>fl oz</t>
        </is>
      </c>
      <c r="K3479" s="9" t="n">
        <v>5.99</v>
      </c>
    </row>
    <row r="3480" ht="15" customFormat="1" customHeight="1" s="5">
      <c r="A3480" s="81" t="n">
        <v>45754</v>
      </c>
      <c r="B3480" s="82" t="n">
        <v>0.5979166666666667</v>
      </c>
      <c r="C3480" s="5" t="inlineStr">
        <is>
          <t>Costco</t>
        </is>
      </c>
      <c r="E3480" s="5" t="n">
        <v>1</v>
      </c>
      <c r="F3480" s="6" t="inlineStr">
        <is>
          <t>439 204 112 704</t>
        </is>
      </c>
      <c r="G3480" s="7" t="n"/>
      <c r="H3480" s="9" t="inlineStr">
        <is>
          <t>Cara cara oranges</t>
        </is>
      </c>
      <c r="I3480" s="9" t="n">
        <v>5</v>
      </c>
      <c r="J3480" s="9" t="inlineStr">
        <is>
          <t>lb</t>
        </is>
      </c>
      <c r="K3480" s="9" t="n">
        <v>4.49</v>
      </c>
    </row>
    <row r="3481" ht="15" customFormat="1" customHeight="1" s="5">
      <c r="A3481" s="81" t="n">
        <v>45754</v>
      </c>
      <c r="B3481" s="82" t="n">
        <v>0.5979166666666667</v>
      </c>
      <c r="C3481" s="5" t="inlineStr">
        <is>
          <t>Costco</t>
        </is>
      </c>
      <c r="E3481" s="5" t="n">
        <v>1</v>
      </c>
      <c r="F3481" s="6" t="inlineStr">
        <is>
          <t>439 204 112 704</t>
        </is>
      </c>
      <c r="G3481" s="7" t="n"/>
      <c r="H3481" s="9" t="inlineStr">
        <is>
          <t xml:space="preserve">Organic spinach box </t>
        </is>
      </c>
      <c r="I3481" s="9" t="n">
        <v>16</v>
      </c>
      <c r="J3481" s="9" t="inlineStr">
        <is>
          <t>oz</t>
        </is>
      </c>
      <c r="K3481" s="9" t="n">
        <v>3.89</v>
      </c>
    </row>
    <row r="3482" ht="15" customFormat="1" customHeight="1" s="5">
      <c r="A3482" s="81" t="n">
        <v>45754</v>
      </c>
      <c r="B3482" s="82" t="n">
        <v>0.5979166666666667</v>
      </c>
      <c r="C3482" s="5" t="inlineStr">
        <is>
          <t>Costco</t>
        </is>
      </c>
      <c r="E3482" s="5" t="n">
        <v>1</v>
      </c>
      <c r="F3482" s="6" t="inlineStr">
        <is>
          <t>439 204 112 704</t>
        </is>
      </c>
      <c r="G3482" s="7" t="n"/>
      <c r="H3482" s="9" t="inlineStr">
        <is>
          <t>Tax for food</t>
        </is>
      </c>
      <c r="I3482" s="9" t="n">
        <v>12</v>
      </c>
      <c r="J3482" s="9" t="inlineStr">
        <is>
          <t>cnt</t>
        </is>
      </c>
      <c r="K3482" s="9" t="n">
        <v>0</v>
      </c>
    </row>
    <row r="3483" ht="15" customFormat="1" customHeight="1" s="5">
      <c r="A3483" s="81" t="n">
        <v>45754</v>
      </c>
      <c r="B3483" s="82" t="n">
        <v>0.5979166666666667</v>
      </c>
      <c r="C3483" s="5" t="inlineStr">
        <is>
          <t>Costco</t>
        </is>
      </c>
      <c r="E3483" s="5" t="n">
        <v>1</v>
      </c>
      <c r="F3483" s="6" t="inlineStr">
        <is>
          <t>439 204 112 704</t>
        </is>
      </c>
      <c r="G3483" s="7" t="n"/>
      <c r="H3483" s="9" t="inlineStr">
        <is>
          <t>IQ BAR variety pack 18 x 1.6 oz</t>
        </is>
      </c>
      <c r="I3483" s="9" t="n">
        <v>28.8</v>
      </c>
      <c r="J3483" s="9" t="inlineStr">
        <is>
          <t>oz</t>
        </is>
      </c>
      <c r="K3483" s="9" t="n">
        <v>18.69</v>
      </c>
    </row>
    <row r="3484" ht="15" customFormat="1" customHeight="1" s="5">
      <c r="A3484" s="81" t="n">
        <v>45753</v>
      </c>
      <c r="B3484" s="82" t="n">
        <v>0.7138888888888889</v>
      </c>
      <c r="C3484" s="5" t="inlineStr">
        <is>
          <t>CIT</t>
        </is>
      </c>
      <c r="D3484" s="5" t="n">
        <v>1</v>
      </c>
      <c r="F3484" s="6" t="n"/>
      <c r="G3484" s="10" t="n"/>
      <c r="H3484" s="9" t="inlineStr">
        <is>
          <t>Earmark for Jan Emergency savings</t>
        </is>
      </c>
      <c r="I3484" s="9" t="n"/>
      <c r="J3484" s="9" t="n"/>
      <c r="K3484" s="9" t="n">
        <v>0</v>
      </c>
    </row>
    <row r="3485" ht="15" customFormat="1" customHeight="1" s="5">
      <c r="A3485" s="81" t="n">
        <v>45753</v>
      </c>
      <c r="B3485" s="82" t="n">
        <v>0.7138888888888889</v>
      </c>
      <c r="C3485" s="5" t="inlineStr">
        <is>
          <t>CIT</t>
        </is>
      </c>
      <c r="D3485" s="5" t="n">
        <v>1</v>
      </c>
      <c r="F3485" s="6" t="n"/>
      <c r="G3485" s="10" t="n"/>
      <c r="H3485" s="9" t="inlineStr">
        <is>
          <t>Earmark for Feb Emergency savings</t>
        </is>
      </c>
      <c r="I3485" s="9" t="n"/>
      <c r="J3485" s="9" t="n"/>
      <c r="K3485" s="9" t="n">
        <v>0</v>
      </c>
    </row>
    <row r="3486" ht="15" customFormat="1" customHeight="1" s="5">
      <c r="A3486" s="81" t="n">
        <v>45753</v>
      </c>
      <c r="B3486" s="82" t="n">
        <v>0.7138888888888889</v>
      </c>
      <c r="C3486" s="5" t="inlineStr">
        <is>
          <t>CIT</t>
        </is>
      </c>
      <c r="D3486" s="5" t="n">
        <v>1</v>
      </c>
      <c r="F3486" s="6" t="n"/>
      <c r="G3486" s="10" t="n"/>
      <c r="H3486" s="9" t="inlineStr">
        <is>
          <t>Earmark for Mar Emergency savings</t>
        </is>
      </c>
      <c r="I3486" s="9" t="n"/>
      <c r="J3486" s="9" t="n"/>
      <c r="K3486" s="9" t="n">
        <v>0</v>
      </c>
    </row>
    <row r="3487" ht="15" customFormat="1" customHeight="1" s="5">
      <c r="A3487" s="81" t="n">
        <v>45753</v>
      </c>
      <c r="B3487" s="82" t="n">
        <v>0.5284722222222222</v>
      </c>
      <c r="C3487" s="5" t="inlineStr">
        <is>
          <t>MoMo Tea</t>
        </is>
      </c>
      <c r="E3487" s="5" t="n">
        <v>1</v>
      </c>
      <c r="F3487" s="6" t="inlineStr">
        <is>
          <t>NA_emailedReceiptNeverArrived</t>
        </is>
      </c>
      <c r="G3487" s="10" t="n"/>
      <c r="H3487" s="9" t="inlineStr">
        <is>
          <t>Durian Smoothie, Whipped Cream, Milk, 30% sugar, +$1.00 boba</t>
        </is>
      </c>
      <c r="I3487" s="9" t="n">
        <v>1</v>
      </c>
      <c r="J3487" s="9" t="inlineStr">
        <is>
          <t>cnt</t>
        </is>
      </c>
      <c r="K3487" s="9" t="n">
        <v>6.25</v>
      </c>
    </row>
    <row r="3488" ht="15" customFormat="1" customHeight="1" s="5">
      <c r="A3488" s="81" t="n">
        <v>45753</v>
      </c>
      <c r="B3488" s="82" t="n">
        <v>0.5284722222222222</v>
      </c>
      <c r="C3488" s="5" t="inlineStr">
        <is>
          <t>MoMo Tea</t>
        </is>
      </c>
      <c r="E3488" s="5" t="n">
        <v>1</v>
      </c>
      <c r="F3488" s="6" t="inlineStr">
        <is>
          <t>NA_emailedReceiptNeverArrived</t>
        </is>
      </c>
      <c r="G3488" s="10" t="n"/>
      <c r="H3488" s="9" t="inlineStr">
        <is>
          <t>Thai Tea Smoothie, Coconut Milk, 30% sugar, +$1.00 boba</t>
        </is>
      </c>
      <c r="I3488" s="9" t="n">
        <v>1</v>
      </c>
      <c r="J3488" s="9" t="inlineStr">
        <is>
          <t>cnt</t>
        </is>
      </c>
      <c r="K3488" s="9" t="n">
        <v>6.25</v>
      </c>
    </row>
    <row r="3489" ht="15" customFormat="1" customHeight="1" s="5">
      <c r="A3489" s="81" t="n">
        <v>45753</v>
      </c>
      <c r="B3489" s="82" t="n">
        <v>0.5284722222222222</v>
      </c>
      <c r="C3489" s="5" t="inlineStr">
        <is>
          <t>MoMo Tea</t>
        </is>
      </c>
      <c r="E3489" s="5" t="n">
        <v>1</v>
      </c>
      <c r="F3489" s="6" t="inlineStr">
        <is>
          <t>NA_emailedReceiptNeverArrived</t>
        </is>
      </c>
      <c r="G3489" s="10" t="n"/>
      <c r="H3489" s="9" t="inlineStr">
        <is>
          <t>Tax and Fees</t>
        </is>
      </c>
      <c r="I3489" s="9" t="n">
        <v>2</v>
      </c>
      <c r="J3489" s="9" t="inlineStr">
        <is>
          <t>cnt</t>
        </is>
      </c>
      <c r="K3489" s="9" t="n">
        <v>1.73</v>
      </c>
    </row>
    <row r="3490" ht="15" customFormat="1" customHeight="1" s="5">
      <c r="A3490" s="81" t="n">
        <v>45753</v>
      </c>
      <c r="B3490" s="82" t="n">
        <v>0.525</v>
      </c>
      <c r="C3490" s="5" t="inlineStr">
        <is>
          <t>Costco</t>
        </is>
      </c>
      <c r="E3490" s="5" t="n">
        <v>1</v>
      </c>
      <c r="F3490" s="6" t="inlineStr">
        <is>
          <t>11516</t>
        </is>
      </c>
      <c r="G3490" s="15" t="inlineStr">
        <is>
          <t>4</t>
        </is>
      </c>
      <c r="H3490" s="9" t="inlineStr">
        <is>
          <t>Subaru Gas 14.683 Gallons @ $2.879/gal</t>
        </is>
      </c>
      <c r="I3490" s="9" t="n">
        <v>14.683</v>
      </c>
      <c r="J3490" s="9" t="inlineStr">
        <is>
          <t>gal</t>
        </is>
      </c>
      <c r="K3490" s="9" t="n">
        <v>42.27</v>
      </c>
    </row>
    <row r="3491" ht="15" customFormat="1" customHeight="1" s="5">
      <c r="A3491" s="81" t="n">
        <v>45752</v>
      </c>
      <c r="B3491" s="82" t="n">
        <v>0.8032638888888889</v>
      </c>
      <c r="C3491" s="5" t="inlineStr">
        <is>
          <t>The Bird's Nest</t>
        </is>
      </c>
      <c r="E3491" s="5" t="n">
        <v>1</v>
      </c>
      <c r="F3491" s="6" t="inlineStr">
        <is>
          <t>85</t>
        </is>
      </c>
      <c r="G3491" s="10" t="n"/>
      <c r="H3491" s="9" t="inlineStr">
        <is>
          <t>Combo C: Chicken Chow Mein, 8 S&amp;P shrimp, honey chicken, 2 chinese donuts</t>
        </is>
      </c>
      <c r="I3491" s="9" t="n">
        <v>1</v>
      </c>
      <c r="J3491" s="9" t="inlineStr">
        <is>
          <t>cnt</t>
        </is>
      </c>
      <c r="K3491" s="9" t="n">
        <v>11.99</v>
      </c>
    </row>
    <row r="3492" ht="15" customFormat="1" customHeight="1" s="5">
      <c r="A3492" s="81" t="n">
        <v>45752</v>
      </c>
      <c r="B3492" s="82" t="n">
        <v>0.8032638888888889</v>
      </c>
      <c r="C3492" s="5" t="inlineStr">
        <is>
          <t>The Bird's Nest</t>
        </is>
      </c>
      <c r="E3492" s="5" t="n">
        <v>1</v>
      </c>
      <c r="F3492" s="6" t="inlineStr">
        <is>
          <t>85</t>
        </is>
      </c>
      <c r="G3492" s="10" t="n"/>
      <c r="H3492" s="9" t="inlineStr">
        <is>
          <t>Combo C: Chicken Chow Mein, jalepeno chicken, honey chicken, beef broccoli, 2 chinese donutes</t>
        </is>
      </c>
      <c r="I3492" s="9" t="n">
        <v>1</v>
      </c>
      <c r="J3492" s="9" t="inlineStr">
        <is>
          <t>cnt</t>
        </is>
      </c>
      <c r="K3492" s="9" t="n">
        <v>11.99</v>
      </c>
    </row>
    <row r="3493" ht="15" customFormat="1" customHeight="1" s="5">
      <c r="A3493" s="81" t="n">
        <v>45752</v>
      </c>
      <c r="B3493" s="82" t="n">
        <v>0.8032638888888889</v>
      </c>
      <c r="C3493" s="5" t="inlineStr">
        <is>
          <t>The Bird's Nest</t>
        </is>
      </c>
      <c r="E3493" s="5" t="n">
        <v>1</v>
      </c>
      <c r="F3493" s="6" t="inlineStr">
        <is>
          <t>85</t>
        </is>
      </c>
      <c r="G3493" s="10" t="n"/>
      <c r="H3493" s="9" t="inlineStr">
        <is>
          <t>Tax</t>
        </is>
      </c>
      <c r="I3493" s="9" t="n">
        <v>2</v>
      </c>
      <c r="J3493" s="9" t="inlineStr">
        <is>
          <t>cnt</t>
        </is>
      </c>
      <c r="K3493" s="9" t="n">
        <v>1.92</v>
      </c>
    </row>
    <row r="3494" ht="15" customFormat="1" customHeight="1" s="5">
      <c r="A3494" s="81" t="n">
        <v>45752</v>
      </c>
      <c r="B3494" s="82" t="n">
        <v>0.7513888888888889</v>
      </c>
      <c r="C3494" s="5" t="inlineStr">
        <is>
          <t>S&amp;S Gas Station Sinclair</t>
        </is>
      </c>
      <c r="E3494" s="5" t="n">
        <v>1</v>
      </c>
      <c r="F3494" s="6" t="inlineStr">
        <is>
          <t>NA_noPrintedReceipt</t>
        </is>
      </c>
      <c r="G3494" s="10" t="n"/>
      <c r="H3494" s="9" t="inlineStr">
        <is>
          <t>Subaru Gas 2.014 Gallons @ $3.198/gal</t>
        </is>
      </c>
      <c r="I3494" s="9" t="n">
        <v>2.014</v>
      </c>
      <c r="J3494" s="9" t="inlineStr">
        <is>
          <t>gal</t>
        </is>
      </c>
      <c r="K3494" s="9" t="n">
        <v>6.44</v>
      </c>
    </row>
    <row r="3495" ht="15" customFormat="1" customHeight="1" s="5">
      <c r="A3495" s="81" t="n">
        <v>45752</v>
      </c>
      <c r="B3495" s="82" t="n">
        <v>0.1784722222222222</v>
      </c>
      <c r="C3495" s="5" t="inlineStr">
        <is>
          <t>Xfinity</t>
        </is>
      </c>
      <c r="D3495" s="5" t="n">
        <v>1</v>
      </c>
      <c r="F3495" s="6" t="n"/>
      <c r="G3495" s="10" t="n"/>
      <c r="H3495" s="9" t="inlineStr">
        <is>
          <t>April internet bill</t>
        </is>
      </c>
      <c r="I3495" s="9" t="n"/>
      <c r="J3495" s="9" t="n"/>
      <c r="K3495" s="9" t="n">
        <v>60</v>
      </c>
    </row>
    <row r="3496" ht="15" customFormat="1" customHeight="1" s="5">
      <c r="A3496" s="81" t="n">
        <v>45751</v>
      </c>
      <c r="B3496" s="82" t="n">
        <v>0.3826388888888889</v>
      </c>
      <c r="C3496" s="5" t="inlineStr">
        <is>
          <t>Safeway</t>
        </is>
      </c>
      <c r="E3496" s="5" t="n">
        <v>1</v>
      </c>
      <c r="F3496" s="6" t="inlineStr">
        <is>
          <t>2612 51 22 8851</t>
        </is>
      </c>
      <c r="G3496" s="15" t="inlineStr">
        <is>
          <t>85003199026</t>
        </is>
      </c>
      <c r="H3496" s="9" t="inlineStr">
        <is>
          <t>Goodles Vegan Be Heroes Plant Based Gluten Free Mac And Cheese, 6 Oz.</t>
        </is>
      </c>
      <c r="I3496" s="9" t="n">
        <v>6</v>
      </c>
      <c r="J3496" s="9" t="inlineStr">
        <is>
          <t>oz</t>
        </is>
      </c>
      <c r="K3496" s="9" t="n">
        <v>4.99</v>
      </c>
    </row>
    <row r="3497" ht="15" customFormat="1" customHeight="1" s="5">
      <c r="A3497" s="81" t="n">
        <v>45751</v>
      </c>
      <c r="B3497" s="82" t="n">
        <v>0.3826388888888889</v>
      </c>
      <c r="C3497" s="5" t="inlineStr">
        <is>
          <t>Safeway</t>
        </is>
      </c>
      <c r="E3497" s="5" t="n">
        <v>1</v>
      </c>
      <c r="F3497" s="6" t="inlineStr">
        <is>
          <t>2612 51 22 8851</t>
        </is>
      </c>
      <c r="G3497" s="15" t="inlineStr">
        <is>
          <t>9901670011</t>
        </is>
      </c>
      <c r="H3497" s="9" t="inlineStr">
        <is>
          <t>Kraft Heinz Notco Plant Based Original Mac &amp; Cheese 6 Oz</t>
        </is>
      </c>
      <c r="I3497" s="9" t="n">
        <v>6</v>
      </c>
      <c r="J3497" s="9" t="inlineStr">
        <is>
          <t>oz</t>
        </is>
      </c>
      <c r="K3497" s="9" t="n">
        <v>3.99</v>
      </c>
    </row>
    <row r="3498" ht="15" customFormat="1" customHeight="1" s="5">
      <c r="A3498" s="81" t="n">
        <v>45751</v>
      </c>
      <c r="B3498" s="82" t="n">
        <v>0.3826388888888889</v>
      </c>
      <c r="C3498" s="5" t="inlineStr">
        <is>
          <t>Safeway</t>
        </is>
      </c>
      <c r="E3498" s="5" t="n">
        <v>1</v>
      </c>
      <c r="F3498" s="6" t="inlineStr">
        <is>
          <t>2612 51 22 8851</t>
        </is>
      </c>
      <c r="G3498" s="15" t="inlineStr">
        <is>
          <t>99001670012</t>
        </is>
      </c>
      <c r="H3498" s="9" t="inlineStr">
        <is>
          <t>Kraft Heinz Notco Plant Based White Cheddar Mac &amp; Cheese 6 Oz</t>
        </is>
      </c>
      <c r="I3498" s="9" t="n">
        <v>6</v>
      </c>
      <c r="J3498" s="9" t="inlineStr">
        <is>
          <t>oz</t>
        </is>
      </c>
      <c r="K3498" s="9" t="n">
        <v>3.99</v>
      </c>
    </row>
    <row r="3499" ht="15" customFormat="1" customHeight="1" s="5">
      <c r="A3499" s="81" t="n">
        <v>45751</v>
      </c>
      <c r="B3499" s="82" t="n">
        <v>0.3826388888888889</v>
      </c>
      <c r="C3499" s="5" t="inlineStr">
        <is>
          <t>Safeway</t>
        </is>
      </c>
      <c r="E3499" s="5" t="n">
        <v>1</v>
      </c>
      <c r="F3499" s="6" t="inlineStr">
        <is>
          <t>2612 51 22 8851</t>
        </is>
      </c>
      <c r="G3499" s="15" t="inlineStr">
        <is>
          <t>7033200158</t>
        </is>
      </c>
      <c r="H3499" s="9" t="inlineStr">
        <is>
          <t>C&amp;W Petite Frozen Peas</t>
        </is>
      </c>
      <c r="I3499" s="9" t="n">
        <v>16</v>
      </c>
      <c r="J3499" s="9" t="inlineStr">
        <is>
          <t>oz</t>
        </is>
      </c>
      <c r="K3499" s="9" t="n">
        <v>3.79</v>
      </c>
    </row>
    <row r="3500" ht="15" customFormat="1" customHeight="1" s="5">
      <c r="A3500" s="81" t="n">
        <v>45751</v>
      </c>
      <c r="B3500" s="82" t="n">
        <v>0.3826388888888889</v>
      </c>
      <c r="C3500" s="5" t="inlineStr">
        <is>
          <t>Safeway</t>
        </is>
      </c>
      <c r="E3500" s="5" t="n">
        <v>1</v>
      </c>
      <c r="F3500" s="6" t="inlineStr">
        <is>
          <t>2612 51 22 8851</t>
        </is>
      </c>
      <c r="G3500" s="15" t="inlineStr">
        <is>
          <t>7033200158</t>
        </is>
      </c>
      <c r="H3500" s="9" t="inlineStr">
        <is>
          <t>C&amp;W Petite Frozen Peas</t>
        </is>
      </c>
      <c r="I3500" s="9" t="n">
        <v>16</v>
      </c>
      <c r="J3500" s="9" t="inlineStr">
        <is>
          <t>oz</t>
        </is>
      </c>
      <c r="K3500" s="9" t="n">
        <v>3.79</v>
      </c>
    </row>
    <row r="3501" ht="15" customFormat="1" customHeight="1" s="5">
      <c r="A3501" s="81" t="n">
        <v>45751</v>
      </c>
      <c r="B3501" s="82" t="n">
        <v>0.3826388888888889</v>
      </c>
      <c r="C3501" s="5" t="inlineStr">
        <is>
          <t>Safeway</t>
        </is>
      </c>
      <c r="E3501" s="5" t="n">
        <v>1</v>
      </c>
      <c r="F3501" s="6" t="inlineStr">
        <is>
          <t>2612 51 22 8851</t>
        </is>
      </c>
      <c r="G3501" s="15" t="inlineStr">
        <is>
          <t>7989312414</t>
        </is>
      </c>
      <c r="H3501" s="9" t="inlineStr">
        <is>
          <t>O Organics Vegan Mac Cheddar Style Gluten Free 6 Oz</t>
        </is>
      </c>
      <c r="I3501" s="9" t="n">
        <v>6</v>
      </c>
      <c r="J3501" s="9" t="inlineStr">
        <is>
          <t>oz</t>
        </is>
      </c>
      <c r="K3501" s="9" t="n">
        <v>2.49</v>
      </c>
    </row>
    <row r="3502" ht="15" customFormat="1" customHeight="1" s="5">
      <c r="A3502" s="81" t="n">
        <v>45751</v>
      </c>
      <c r="B3502" s="82" t="n">
        <v>0.3826388888888889</v>
      </c>
      <c r="C3502" s="5" t="inlineStr">
        <is>
          <t>Safeway</t>
        </is>
      </c>
      <c r="E3502" s="5" t="n">
        <v>1</v>
      </c>
      <c r="F3502" s="6" t="inlineStr">
        <is>
          <t>2612 51 22 8851</t>
        </is>
      </c>
      <c r="G3502" s="15" t="inlineStr">
        <is>
          <t>2113031766</t>
        </is>
      </c>
      <c r="H3502" s="9" t="inlineStr">
        <is>
          <t>Signature Select Pasta Shells Medium 16 Oz</t>
        </is>
      </c>
      <c r="I3502" s="9" t="n">
        <v>16</v>
      </c>
      <c r="J3502" s="9" t="inlineStr">
        <is>
          <t>oz</t>
        </is>
      </c>
      <c r="K3502" s="9" t="n">
        <v>1.29</v>
      </c>
    </row>
    <row r="3503" ht="15" customFormat="1" customHeight="1" s="5">
      <c r="A3503" s="81" t="n">
        <v>45751</v>
      </c>
      <c r="B3503" s="82" t="n">
        <v>0.3826388888888889</v>
      </c>
      <c r="C3503" s="5" t="inlineStr">
        <is>
          <t>Safeway</t>
        </is>
      </c>
      <c r="E3503" s="5" t="n">
        <v>1</v>
      </c>
      <c r="F3503" s="6" t="inlineStr">
        <is>
          <t>2612 51 22 8851</t>
        </is>
      </c>
      <c r="G3503" s="10" t="n"/>
      <c r="H3503" s="9" t="inlineStr">
        <is>
          <t>Tax</t>
        </is>
      </c>
      <c r="I3503" s="9" t="n">
        <v>7</v>
      </c>
      <c r="J3503" s="9" t="inlineStr">
        <is>
          <t>cnt</t>
        </is>
      </c>
      <c r="K3503" s="9" t="n">
        <v>0</v>
      </c>
    </row>
    <row r="3504" ht="15" customFormat="1" customHeight="1" s="5">
      <c r="A3504" s="81" t="n">
        <v>45751</v>
      </c>
      <c r="B3504" s="82" t="n">
        <v>0.3826388888888889</v>
      </c>
      <c r="C3504" s="5" t="inlineStr">
        <is>
          <t>Safeway</t>
        </is>
      </c>
      <c r="E3504" s="5" t="n">
        <v>1</v>
      </c>
      <c r="F3504" s="6" t="inlineStr">
        <is>
          <t>2612 51 22 8851</t>
        </is>
      </c>
      <c r="G3504" s="15" t="inlineStr">
        <is>
          <t>7033200158</t>
        </is>
      </c>
      <c r="H3504" s="9" t="inlineStr">
        <is>
          <t>**DISCOUNT** Member Savings</t>
        </is>
      </c>
      <c r="I3504" s="9" t="n">
        <v>16</v>
      </c>
      <c r="J3504" s="9" t="inlineStr">
        <is>
          <t>oz</t>
        </is>
      </c>
      <c r="K3504" s="9" t="n">
        <v>-0.5</v>
      </c>
    </row>
    <row r="3505" ht="15" customFormat="1" customHeight="1" s="5">
      <c r="A3505" s="81" t="n">
        <v>45751</v>
      </c>
      <c r="B3505" s="82" t="n">
        <v>0.3826388888888889</v>
      </c>
      <c r="C3505" s="5" t="inlineStr">
        <is>
          <t>Safeway</t>
        </is>
      </c>
      <c r="E3505" s="5" t="n">
        <v>1</v>
      </c>
      <c r="F3505" s="6" t="inlineStr">
        <is>
          <t>2612 51 22 8851</t>
        </is>
      </c>
      <c r="G3505" s="15" t="inlineStr">
        <is>
          <t>7033200158</t>
        </is>
      </c>
      <c r="H3505" s="9" t="inlineStr">
        <is>
          <t>**DISCOUNT** Member Savings</t>
        </is>
      </c>
      <c r="I3505" s="9" t="n">
        <v>16</v>
      </c>
      <c r="J3505" s="9" t="inlineStr">
        <is>
          <t>oz</t>
        </is>
      </c>
      <c r="K3505" s="9" t="n">
        <v>-0.5</v>
      </c>
    </row>
    <row r="3506" ht="15" customFormat="1" customHeight="1" s="5">
      <c r="A3506" s="81" t="n">
        <v>45751</v>
      </c>
      <c r="B3506" s="82" t="n">
        <v>0.3826388888888889</v>
      </c>
      <c r="C3506" s="5" t="inlineStr">
        <is>
          <t>Safeway</t>
        </is>
      </c>
      <c r="E3506" s="5" t="n">
        <v>1</v>
      </c>
      <c r="F3506" s="6" t="inlineStr">
        <is>
          <t>2612 51 22 8851</t>
        </is>
      </c>
      <c r="G3506" s="10" t="n"/>
      <c r="H3506" s="9" t="inlineStr">
        <is>
          <t>**DISCOUNT** Rewards and CashOff</t>
        </is>
      </c>
      <c r="I3506" s="9" t="n">
        <v>7</v>
      </c>
      <c r="J3506" s="9" t="inlineStr">
        <is>
          <t>cnt</t>
        </is>
      </c>
      <c r="K3506" s="9" t="n">
        <v>-1</v>
      </c>
    </row>
    <row r="3507" ht="15" customFormat="1" customHeight="1" s="5">
      <c r="A3507" s="81" t="n">
        <v>45751</v>
      </c>
      <c r="B3507" s="82" t="n">
        <v>0.3826388888888889</v>
      </c>
      <c r="C3507" s="5" t="inlineStr">
        <is>
          <t>Safeway</t>
        </is>
      </c>
      <c r="E3507" s="5" t="n">
        <v>1</v>
      </c>
      <c r="F3507" s="6" t="inlineStr">
        <is>
          <t>2612 51 22 8851</t>
        </is>
      </c>
      <c r="G3507" s="15" t="inlineStr">
        <is>
          <t>9901670011</t>
        </is>
      </c>
      <c r="H3507" s="9" t="inlineStr">
        <is>
          <t>**DISCOUNT** Member Savings</t>
        </is>
      </c>
      <c r="I3507" s="9" t="n">
        <v>6</v>
      </c>
      <c r="J3507" s="9" t="inlineStr">
        <is>
          <t>oz</t>
        </is>
      </c>
      <c r="K3507" s="9" t="n">
        <v>-2</v>
      </c>
    </row>
    <row r="3508" ht="15" customFormat="1" customHeight="1" s="5">
      <c r="A3508" s="81" t="n">
        <v>45751</v>
      </c>
      <c r="B3508" s="82" t="n">
        <v>0.3826388888888889</v>
      </c>
      <c r="C3508" s="5" t="inlineStr">
        <is>
          <t>Safeway</t>
        </is>
      </c>
      <c r="E3508" s="5" t="n">
        <v>1</v>
      </c>
      <c r="F3508" s="6" t="inlineStr">
        <is>
          <t>2612 51 22 8851</t>
        </is>
      </c>
      <c r="G3508" s="15" t="inlineStr">
        <is>
          <t>85003199026</t>
        </is>
      </c>
      <c r="H3508" s="9" t="inlineStr">
        <is>
          <t>**DISCOUNT** Member Savings</t>
        </is>
      </c>
      <c r="I3508" s="9" t="n">
        <v>6</v>
      </c>
      <c r="J3508" s="9" t="inlineStr">
        <is>
          <t>oz</t>
        </is>
      </c>
      <c r="K3508" s="9" t="n">
        <v>-2.5</v>
      </c>
    </row>
    <row r="3509" ht="15" customFormat="1" customHeight="1" s="5">
      <c r="A3509" s="81" t="n">
        <v>45751</v>
      </c>
      <c r="B3509" s="82" t="n">
        <v>0.2597222222222222</v>
      </c>
      <c r="C3509" s="5" t="inlineStr">
        <is>
          <t>Safeway</t>
        </is>
      </c>
      <c r="D3509" s="5" t="n">
        <v>1</v>
      </c>
      <c r="F3509" s="6" t="inlineStr">
        <is>
          <t>121606064</t>
        </is>
      </c>
      <c r="G3509" s="10" t="n"/>
      <c r="H3509" s="9" t="inlineStr">
        <is>
          <t>Tillamook Chocolate Chip Cookie Dough Ice Cream - 48 Oz</t>
        </is>
      </c>
      <c r="I3509" s="9" t="n">
        <v>48</v>
      </c>
      <c r="J3509" s="9" t="inlineStr">
        <is>
          <t>oz</t>
        </is>
      </c>
      <c r="K3509" s="9" t="n">
        <v>7.49</v>
      </c>
    </row>
    <row r="3510" ht="15" customFormat="1" customHeight="1" s="5">
      <c r="A3510" s="81" t="n">
        <v>45751</v>
      </c>
      <c r="B3510" s="82" t="n">
        <v>0.2597222222222222</v>
      </c>
      <c r="C3510" s="5" t="inlineStr">
        <is>
          <t>Safeway</t>
        </is>
      </c>
      <c r="D3510" s="5" t="n">
        <v>1</v>
      </c>
      <c r="F3510" s="6" t="inlineStr">
        <is>
          <t>121606064</t>
        </is>
      </c>
      <c r="G3510" s="10" t="n"/>
      <c r="H3510" s="9" t="inlineStr">
        <is>
          <t>Violife Just Like Mozzarella Shreds Dairy-Free Vegan - 8 Oz</t>
        </is>
      </c>
      <c r="I3510" s="9" t="n">
        <v>8</v>
      </c>
      <c r="J3510" s="9" t="inlineStr">
        <is>
          <t>oz</t>
        </is>
      </c>
      <c r="K3510" s="9" t="n">
        <v>6.99</v>
      </c>
    </row>
    <row r="3511" ht="15" customFormat="1" customHeight="1" s="5">
      <c r="A3511" s="81" t="n">
        <v>45751</v>
      </c>
      <c r="B3511" s="82" t="n">
        <v>0.2597222222222222</v>
      </c>
      <c r="C3511" s="5" t="inlineStr">
        <is>
          <t>Safeway</t>
        </is>
      </c>
      <c r="D3511" s="5" t="n">
        <v>1</v>
      </c>
      <c r="F3511" s="6" t="inlineStr">
        <is>
          <t>121606064</t>
        </is>
      </c>
      <c r="G3511" s="10" t="n"/>
      <c r="H3511" s="9" t="inlineStr">
        <is>
          <t>Violife Just Like Cheddar Slices Dairy-Free Vegan - 7.05 Oz</t>
        </is>
      </c>
      <c r="I3511" s="9" t="n">
        <v>7.05</v>
      </c>
      <c r="J3511" s="9" t="inlineStr">
        <is>
          <t>oz</t>
        </is>
      </c>
      <c r="K3511" s="9" t="n">
        <v>6.99</v>
      </c>
    </row>
    <row r="3512" ht="15" customFormat="1" customHeight="1" s="5">
      <c r="A3512" s="81" t="n">
        <v>45751</v>
      </c>
      <c r="B3512" s="82" t="n">
        <v>0.2597222222222222</v>
      </c>
      <c r="C3512" s="5" t="inlineStr">
        <is>
          <t>Safeway</t>
        </is>
      </c>
      <c r="D3512" s="5" t="n">
        <v>1</v>
      </c>
      <c r="F3512" s="6" t="inlineStr">
        <is>
          <t>121606064</t>
        </is>
      </c>
      <c r="G3512" s="10" t="n"/>
      <c r="H3512" s="9" t="inlineStr">
        <is>
          <t>Pepperidge Farm Puff Pastry Frozen Shells Pastry Dough - 10 Oz</t>
        </is>
      </c>
      <c r="I3512" s="9" t="n">
        <v>10</v>
      </c>
      <c r="J3512" s="9" t="inlineStr">
        <is>
          <t>oz</t>
        </is>
      </c>
      <c r="K3512" s="9" t="n">
        <v>4.99</v>
      </c>
    </row>
    <row r="3513" ht="15" customFormat="1" customHeight="1" s="5">
      <c r="A3513" s="81" t="n">
        <v>45751</v>
      </c>
      <c r="B3513" s="82" t="n">
        <v>0.2597222222222222</v>
      </c>
      <c r="C3513" s="5" t="inlineStr">
        <is>
          <t>Safeway</t>
        </is>
      </c>
      <c r="D3513" s="5" t="n">
        <v>1</v>
      </c>
      <c r="F3513" s="6" t="inlineStr">
        <is>
          <t>121606064</t>
        </is>
      </c>
      <c r="G3513" s="10" t="n"/>
      <c r="H3513" s="9" t="inlineStr">
        <is>
          <t>Organic Leek</t>
        </is>
      </c>
      <c r="I3513" s="9" t="n">
        <v>1</v>
      </c>
      <c r="J3513" s="9" t="inlineStr">
        <is>
          <t>cnt</t>
        </is>
      </c>
      <c r="K3513" s="9" t="n">
        <v>4.065</v>
      </c>
    </row>
    <row r="3514" ht="15" customFormat="1" customHeight="1" s="5">
      <c r="A3514" s="81" t="n">
        <v>45751</v>
      </c>
      <c r="B3514" s="82" t="n">
        <v>0.2597222222222222</v>
      </c>
      <c r="C3514" s="5" t="inlineStr">
        <is>
          <t>Safeway</t>
        </is>
      </c>
      <c r="D3514" s="5" t="n">
        <v>1</v>
      </c>
      <c r="F3514" s="6" t="inlineStr">
        <is>
          <t>121606064</t>
        </is>
      </c>
      <c r="G3514" s="10" t="n"/>
      <c r="H3514" s="9" t="inlineStr">
        <is>
          <t>Organic Leek</t>
        </is>
      </c>
      <c r="I3514" s="9" t="n">
        <v>1</v>
      </c>
      <c r="J3514" s="9" t="inlineStr">
        <is>
          <t>cnt</t>
        </is>
      </c>
      <c r="K3514" s="9" t="n">
        <v>4.065</v>
      </c>
    </row>
    <row r="3515" ht="15" customFormat="1" customHeight="1" s="5">
      <c r="A3515" s="81" t="n">
        <v>45751</v>
      </c>
      <c r="B3515" s="82" t="n">
        <v>0.2597222222222222</v>
      </c>
      <c r="C3515" s="5" t="inlineStr">
        <is>
          <t>Safeway</t>
        </is>
      </c>
      <c r="D3515" s="5" t="n">
        <v>1</v>
      </c>
      <c r="F3515" s="6" t="inlineStr">
        <is>
          <t>121606064</t>
        </is>
      </c>
      <c r="G3515" s="10" t="n"/>
      <c r="H3515" s="9" t="inlineStr">
        <is>
          <t>Overjoyed Lady Fingers - 3 Oz</t>
        </is>
      </c>
      <c r="I3515" s="9" t="n">
        <v>3</v>
      </c>
      <c r="J3515" s="9" t="inlineStr">
        <is>
          <t>oz</t>
        </is>
      </c>
      <c r="K3515" s="9" t="n">
        <v>3.99</v>
      </c>
    </row>
    <row r="3516" ht="15" customFormat="1" customHeight="1" s="5">
      <c r="A3516" s="81" t="n">
        <v>45751</v>
      </c>
      <c r="B3516" s="82" t="n">
        <v>0.2597222222222222</v>
      </c>
      <c r="C3516" s="5" t="inlineStr">
        <is>
          <t>Safeway</t>
        </is>
      </c>
      <c r="D3516" s="5" t="n">
        <v>1</v>
      </c>
      <c r="F3516" s="6" t="inlineStr">
        <is>
          <t>121606064</t>
        </is>
      </c>
      <c r="G3516" s="10" t="n"/>
      <c r="H3516" s="9" t="inlineStr">
        <is>
          <t>Signature SELECT Pie Crusts 9 Inch 2 Count - 15 Oz</t>
        </is>
      </c>
      <c r="I3516" s="9" t="n">
        <v>15</v>
      </c>
      <c r="J3516" s="9" t="inlineStr">
        <is>
          <t>oz</t>
        </is>
      </c>
      <c r="K3516" s="9" t="n">
        <v>3.99</v>
      </c>
    </row>
    <row r="3517" ht="15" customFormat="1" customHeight="1" s="5">
      <c r="A3517" s="81" t="n">
        <v>45751</v>
      </c>
      <c r="B3517" s="82" t="n">
        <v>0.2597222222222222</v>
      </c>
      <c r="C3517" s="5" t="inlineStr">
        <is>
          <t>Safeway</t>
        </is>
      </c>
      <c r="D3517" s="5" t="n">
        <v>1</v>
      </c>
      <c r="F3517" s="6" t="inlineStr">
        <is>
          <t>121606064</t>
        </is>
      </c>
      <c r="G3517" s="10" t="n"/>
      <c r="H3517" s="9" t="inlineStr">
        <is>
          <t>Signature SELECT Pie Crusts 9 Inch 2 Count - 15 Oz</t>
        </is>
      </c>
      <c r="I3517" s="9" t="n">
        <v>15</v>
      </c>
      <c r="J3517" s="9" t="inlineStr">
        <is>
          <t>oz</t>
        </is>
      </c>
      <c r="K3517" s="9" t="n">
        <v>3.99</v>
      </c>
    </row>
    <row r="3518" ht="15" customFormat="1" customHeight="1" s="5">
      <c r="A3518" s="81" t="n">
        <v>45751</v>
      </c>
      <c r="B3518" s="82" t="n">
        <v>0.2597222222222222</v>
      </c>
      <c r="C3518" s="5" t="inlineStr">
        <is>
          <t>Safeway</t>
        </is>
      </c>
      <c r="D3518" s="5" t="n">
        <v>1</v>
      </c>
      <c r="F3518" s="6" t="inlineStr">
        <is>
          <t>121606064</t>
        </is>
      </c>
      <c r="G3518" s="10" t="n"/>
      <c r="H3518" s="9" t="inlineStr">
        <is>
          <t>O Organics Coconut Cream - 13.5 FZ</t>
        </is>
      </c>
      <c r="I3518" s="9" t="n">
        <v>13.5</v>
      </c>
      <c r="J3518" s="9" t="inlineStr">
        <is>
          <t>oz</t>
        </is>
      </c>
      <c r="K3518" s="9" t="n">
        <v>3.49</v>
      </c>
    </row>
    <row r="3519" ht="15" customFormat="1" customHeight="1" s="5">
      <c r="A3519" s="81" t="n">
        <v>45751</v>
      </c>
      <c r="B3519" s="82" t="n">
        <v>0.2597222222222222</v>
      </c>
      <c r="C3519" s="5" t="inlineStr">
        <is>
          <t>Safeway</t>
        </is>
      </c>
      <c r="D3519" s="5" t="n">
        <v>1</v>
      </c>
      <c r="F3519" s="6" t="inlineStr">
        <is>
          <t>121606064</t>
        </is>
      </c>
      <c r="G3519" s="10" t="n"/>
      <c r="H3519" s="9" t="inlineStr">
        <is>
          <t>Dole Pineapple Crushed in 100% Pineapple Juice - 20 Oz</t>
        </is>
      </c>
      <c r="I3519" s="9" t="n">
        <v>20</v>
      </c>
      <c r="J3519" s="9" t="inlineStr">
        <is>
          <t>oz</t>
        </is>
      </c>
      <c r="K3519" s="9" t="n">
        <v>2.99</v>
      </c>
    </row>
    <row r="3520" ht="15" customFormat="1" customHeight="1" s="5">
      <c r="A3520" s="81" t="n">
        <v>45751</v>
      </c>
      <c r="B3520" s="82" t="n">
        <v>0.2597222222222222</v>
      </c>
      <c r="C3520" s="5" t="inlineStr">
        <is>
          <t>Safeway</t>
        </is>
      </c>
      <c r="D3520" s="5" t="n">
        <v>1</v>
      </c>
      <c r="F3520" s="6" t="inlineStr">
        <is>
          <t>121606064</t>
        </is>
      </c>
      <c r="G3520" s="10" t="n"/>
      <c r="H3520" s="9" t="inlineStr">
        <is>
          <t>Signature SELECT Peaches Sliced in 100% Juice - 15 Oz</t>
        </is>
      </c>
      <c r="I3520" s="9" t="n">
        <v>15</v>
      </c>
      <c r="J3520" s="9" t="inlineStr">
        <is>
          <t>oz</t>
        </is>
      </c>
      <c r="K3520" s="9" t="n">
        <v>2.49</v>
      </c>
    </row>
    <row r="3521" ht="15" customFormat="1" customHeight="1" s="5">
      <c r="A3521" s="81" t="n">
        <v>45751</v>
      </c>
      <c r="B3521" s="82" t="n">
        <v>0.2597222222222222</v>
      </c>
      <c r="C3521" s="5" t="inlineStr">
        <is>
          <t>Safeway</t>
        </is>
      </c>
      <c r="D3521" s="5" t="n">
        <v>1</v>
      </c>
      <c r="F3521" s="6" t="inlineStr">
        <is>
          <t>121606064</t>
        </is>
      </c>
      <c r="G3521" s="10" t="n"/>
      <c r="H3521" s="9" t="inlineStr">
        <is>
          <t>Signature SELECT Fruit Cocktail in 100% Juice Can - 15 Oz</t>
        </is>
      </c>
      <c r="I3521" s="9" t="n">
        <v>15</v>
      </c>
      <c r="J3521" s="9" t="inlineStr">
        <is>
          <t>oz</t>
        </is>
      </c>
      <c r="K3521" s="9" t="n">
        <v>2.49</v>
      </c>
    </row>
    <row r="3522" ht="15" customFormat="1" customHeight="1" s="5">
      <c r="A3522" s="81" t="n">
        <v>45751</v>
      </c>
      <c r="B3522" s="82" t="n">
        <v>0.2597222222222222</v>
      </c>
      <c r="C3522" s="5" t="inlineStr">
        <is>
          <t>Safeway</t>
        </is>
      </c>
      <c r="D3522" s="5" t="n">
        <v>1</v>
      </c>
      <c r="F3522" s="6" t="inlineStr">
        <is>
          <t>121606064</t>
        </is>
      </c>
      <c r="G3522" s="10" t="n"/>
      <c r="H3522" s="9" t="inlineStr">
        <is>
          <t>Signature SELECT Pear Slices Bartlett in 100% Pear Juice - 15 Oz</t>
        </is>
      </c>
      <c r="I3522" s="9" t="n">
        <v>15</v>
      </c>
      <c r="J3522" s="9" t="inlineStr">
        <is>
          <t>oz</t>
        </is>
      </c>
      <c r="K3522" s="9" t="n">
        <v>2.49</v>
      </c>
    </row>
    <row r="3523" ht="15" customFormat="1" customHeight="1" s="5">
      <c r="A3523" s="81" t="n">
        <v>45751</v>
      </c>
      <c r="B3523" s="82" t="n">
        <v>0.2597222222222222</v>
      </c>
      <c r="C3523" s="5" t="inlineStr">
        <is>
          <t>Safeway</t>
        </is>
      </c>
      <c r="D3523" s="5" t="n">
        <v>1</v>
      </c>
      <c r="F3523" s="6" t="inlineStr">
        <is>
          <t>121606064</t>
        </is>
      </c>
      <c r="G3523" s="10" t="n"/>
      <c r="H3523" s="9" t="inlineStr">
        <is>
          <t>Signature Select/Farms Baby-Cut Peeled Carrots - 16 Oz</t>
        </is>
      </c>
      <c r="I3523" s="9" t="n">
        <v>16</v>
      </c>
      <c r="J3523" s="9" t="inlineStr">
        <is>
          <t>oz</t>
        </is>
      </c>
      <c r="K3523" s="9" t="n">
        <v>1.69</v>
      </c>
    </row>
    <row r="3524" ht="15" customFormat="1" customHeight="1" s="5">
      <c r="A3524" s="81" t="n">
        <v>45751</v>
      </c>
      <c r="B3524" s="82" t="n">
        <v>0.2597222222222222</v>
      </c>
      <c r="C3524" s="5" t="inlineStr">
        <is>
          <t>Safeway</t>
        </is>
      </c>
      <c r="D3524" s="5" t="n">
        <v>1</v>
      </c>
      <c r="F3524" s="6" t="inlineStr">
        <is>
          <t>121606064</t>
        </is>
      </c>
      <c r="G3524" s="10" t="n"/>
      <c r="H3524" s="9" t="inlineStr">
        <is>
          <t>Signature SELECT Pasta Fettuccine Box - 16 Oz</t>
        </is>
      </c>
      <c r="I3524" s="9" t="n">
        <v>16</v>
      </c>
      <c r="J3524" s="9" t="inlineStr">
        <is>
          <t>oz</t>
        </is>
      </c>
      <c r="K3524" s="9" t="n">
        <v>1.29</v>
      </c>
    </row>
    <row r="3525" ht="15" customFormat="1" customHeight="1" s="5">
      <c r="A3525" s="81" t="n">
        <v>45751</v>
      </c>
      <c r="B3525" s="82" t="n">
        <v>0.2597222222222222</v>
      </c>
      <c r="C3525" s="5" t="inlineStr">
        <is>
          <t>Safeway</t>
        </is>
      </c>
      <c r="D3525" s="5" t="n">
        <v>1</v>
      </c>
      <c r="F3525" s="6" t="inlineStr">
        <is>
          <t>121606064</t>
        </is>
      </c>
      <c r="G3525" s="10" t="n"/>
      <c r="H3525" s="9" t="inlineStr">
        <is>
          <t>Signature SELECT Pasta Rigatoni Box - 16 Oz</t>
        </is>
      </c>
      <c r="I3525" s="9" t="n">
        <v>16</v>
      </c>
      <c r="J3525" s="9" t="inlineStr">
        <is>
          <t>oz</t>
        </is>
      </c>
      <c r="K3525" s="9" t="n">
        <v>1.29</v>
      </c>
    </row>
    <row r="3526" ht="15" customFormat="1" customHeight="1" s="5">
      <c r="A3526" s="81" t="n">
        <v>45751</v>
      </c>
      <c r="B3526" s="82" t="n">
        <v>0.2597222222222222</v>
      </c>
      <c r="C3526" s="5" t="inlineStr">
        <is>
          <t>Safeway</t>
        </is>
      </c>
      <c r="D3526" s="5" t="n">
        <v>1</v>
      </c>
      <c r="F3526" s="6" t="inlineStr">
        <is>
          <t>121606064</t>
        </is>
      </c>
      <c r="G3526" s="10" t="n"/>
      <c r="H3526" s="9" t="inlineStr">
        <is>
          <t>Green Bell Pepper</t>
        </is>
      </c>
      <c r="I3526" s="9" t="n">
        <v>1</v>
      </c>
      <c r="J3526" s="9" t="inlineStr">
        <is>
          <t>cnt</t>
        </is>
      </c>
      <c r="K3526" s="9" t="n">
        <v>0.99</v>
      </c>
    </row>
    <row r="3527" ht="15" customFormat="1" customHeight="1" s="5">
      <c r="A3527" s="81" t="n">
        <v>45751</v>
      </c>
      <c r="B3527" s="82" t="n">
        <v>0.2597222222222222</v>
      </c>
      <c r="C3527" s="5" t="inlineStr">
        <is>
          <t>Safeway</t>
        </is>
      </c>
      <c r="D3527" s="5" t="n">
        <v>1</v>
      </c>
      <c r="F3527" s="6" t="inlineStr">
        <is>
          <t>121606064</t>
        </is>
      </c>
      <c r="G3527" s="10" t="n"/>
      <c r="H3527" s="9" t="inlineStr">
        <is>
          <t>Tax</t>
        </is>
      </c>
      <c r="I3527" s="9" t="n">
        <v>22</v>
      </c>
      <c r="J3527" s="9" t="inlineStr">
        <is>
          <t>cnt</t>
        </is>
      </c>
      <c r="K3527" s="9" t="n">
        <v>0</v>
      </c>
    </row>
    <row r="3528" ht="15" customFormat="1" customHeight="1" s="5">
      <c r="A3528" s="81" t="n">
        <v>45751</v>
      </c>
      <c r="B3528" s="82" t="n">
        <v>0.2597222222222222</v>
      </c>
      <c r="C3528" s="5" t="inlineStr">
        <is>
          <t>Safeway</t>
        </is>
      </c>
      <c r="D3528" s="5" t="n">
        <v>1</v>
      </c>
      <c r="F3528" s="6" t="inlineStr">
        <is>
          <t>121606064</t>
        </is>
      </c>
      <c r="G3528" s="10" t="n"/>
      <c r="H3528" s="9" t="inlineStr">
        <is>
          <t>**DISCOUNT** Safeway Savings</t>
        </is>
      </c>
      <c r="I3528" s="9" t="n">
        <v>22</v>
      </c>
      <c r="J3528" s="9" t="inlineStr">
        <is>
          <t>cnt</t>
        </is>
      </c>
      <c r="K3528" s="9" t="n">
        <v>-12.11</v>
      </c>
    </row>
    <row r="3529" ht="15" customFormat="1" customHeight="1" s="5">
      <c r="A3529" s="81" t="n">
        <v>45750</v>
      </c>
      <c r="B3529" s="82" t="n">
        <v>0.7839351851851852</v>
      </c>
      <c r="C3529" s="5" t="inlineStr">
        <is>
          <t>J's Noodles and New Thai</t>
        </is>
      </c>
      <c r="E3529" s="5" t="n">
        <v>1</v>
      </c>
      <c r="F3529" s="6" t="inlineStr">
        <is>
          <t>1 6 1 40925C</t>
        </is>
      </c>
      <c r="G3529" s="10" t="n"/>
      <c r="H3529" s="9" t="inlineStr">
        <is>
          <t>Chicken Pad Thai, Med+, fresh noodle</t>
        </is>
      </c>
      <c r="I3529" s="9" t="n">
        <v>1</v>
      </c>
      <c r="J3529" s="9" t="inlineStr">
        <is>
          <t>cnt</t>
        </is>
      </c>
      <c r="K3529" s="9" t="n">
        <v>12.95</v>
      </c>
    </row>
    <row r="3530" ht="15" customFormat="1" customHeight="1" s="5">
      <c r="A3530" s="81" t="n">
        <v>45750</v>
      </c>
      <c r="B3530" s="82" t="n">
        <v>0.7839351851851852</v>
      </c>
      <c r="C3530" s="5" t="inlineStr">
        <is>
          <t>J's Noodles and New Thai</t>
        </is>
      </c>
      <c r="E3530" s="5" t="n">
        <v>1</v>
      </c>
      <c r="F3530" s="6" t="inlineStr">
        <is>
          <t>1 6 1 40925C</t>
        </is>
      </c>
      <c r="G3530" s="10" t="n"/>
      <c r="H3530" s="9" t="inlineStr">
        <is>
          <t>Chicken Ped Se Ew, no broccoli, mild (didn't add a substitued veggie :/)</t>
        </is>
      </c>
      <c r="I3530" s="9" t="n">
        <v>1</v>
      </c>
      <c r="J3530" s="9" t="inlineStr">
        <is>
          <t>cnt</t>
        </is>
      </c>
      <c r="K3530" s="9" t="n">
        <v>12.95</v>
      </c>
    </row>
    <row r="3531" ht="15" customFormat="1" customHeight="1" s="5">
      <c r="A3531" s="81" t="n">
        <v>45750</v>
      </c>
      <c r="B3531" s="82" t="n">
        <v>0.7839351851851852</v>
      </c>
      <c r="C3531" s="5" t="inlineStr">
        <is>
          <t>J's Noodles and New Thai</t>
        </is>
      </c>
      <c r="E3531" s="5" t="n">
        <v>1</v>
      </c>
      <c r="F3531" s="6" t="inlineStr">
        <is>
          <t>1 6 1 40925C</t>
        </is>
      </c>
      <c r="G3531" s="10" t="n"/>
      <c r="H3531" s="9" t="inlineStr">
        <is>
          <t>Tax? I was quoted $28.10 on the phone</t>
        </is>
      </c>
      <c r="I3531" s="9" t="n">
        <v>2</v>
      </c>
      <c r="J3531" s="9" t="inlineStr">
        <is>
          <t>cnt</t>
        </is>
      </c>
      <c r="K3531" s="9" t="n">
        <v>2.2</v>
      </c>
    </row>
    <row r="3532" ht="15" customFormat="1" customHeight="1" s="5">
      <c r="A3532" s="81" t="n">
        <v>45750</v>
      </c>
      <c r="B3532" s="82" t="n">
        <v>0.7839351851851852</v>
      </c>
      <c r="C3532" s="5" t="inlineStr">
        <is>
          <t>J's Noodles and New Thai</t>
        </is>
      </c>
      <c r="E3532" s="5" t="n">
        <v>1</v>
      </c>
      <c r="F3532" s="6" t="inlineStr">
        <is>
          <t>1 6 1 40925C</t>
        </is>
      </c>
      <c r="G3532" s="10" t="n"/>
      <c r="H3532" s="9" t="inlineStr">
        <is>
          <t>Credit Card fee? Wasn't mentioned or explained</t>
        </is>
      </c>
      <c r="I3532" s="9" t="n">
        <v>1</v>
      </c>
      <c r="J3532" s="9" t="inlineStr">
        <is>
          <t>cnt</t>
        </is>
      </c>
      <c r="K3532" s="9" t="n">
        <v>1.05</v>
      </c>
    </row>
    <row r="3533" ht="15" customFormat="1" customHeight="1" s="5">
      <c r="A3533" s="81" t="n">
        <v>45749</v>
      </c>
      <c r="B3533" s="82" t="n">
        <v>0.2916666666666667</v>
      </c>
      <c r="C3533" s="5" t="inlineStr">
        <is>
          <t>YMCA</t>
        </is>
      </c>
      <c r="D3533" s="5" t="n">
        <v>1</v>
      </c>
      <c r="F3533" s="6" t="n"/>
      <c r="G3533" s="10" t="n"/>
      <c r="H3533" s="9" t="inlineStr">
        <is>
          <t>YMCA charge for April</t>
        </is>
      </c>
      <c r="I3533" s="9" t="n"/>
      <c r="J3533" s="9" t="n"/>
      <c r="K3533" s="9" t="n">
        <v>65</v>
      </c>
    </row>
    <row r="3534" ht="15" customFormat="1" customHeight="1" s="5">
      <c r="A3534" s="81" t="n">
        <v>45748</v>
      </c>
      <c r="B3534" s="82" t="n">
        <v>0.6798611111111111</v>
      </c>
      <c r="C3534" s="5" t="inlineStr">
        <is>
          <t>Tyndall Green</t>
        </is>
      </c>
      <c r="D3534" s="5" t="n">
        <v>1</v>
      </c>
      <c r="F3534" s="6" t="inlineStr">
        <is>
          <t>373679276</t>
        </is>
      </c>
      <c r="G3534" s="10" t="n"/>
      <c r="H3534" s="9" t="inlineStr">
        <is>
          <t>HOA Tyndall Green Mar Payment, dues up</t>
        </is>
      </c>
      <c r="I3534" s="9" t="n"/>
      <c r="J3534" s="9" t="n"/>
      <c r="K3534" s="9" t="n">
        <v>331.12</v>
      </c>
    </row>
    <row r="3535" ht="15" customFormat="1" customHeight="1" s="5">
      <c r="A3535" s="81" t="n">
        <v>45748</v>
      </c>
      <c r="B3535" s="82" t="n">
        <v>0.4819444444444445</v>
      </c>
      <c r="C3535" s="5" t="inlineStr">
        <is>
          <t>House Denver</t>
        </is>
      </c>
      <c r="D3535" s="5" t="n">
        <v>1</v>
      </c>
      <c r="F3535" s="6" t="n">
        <v>53852722946</v>
      </c>
      <c r="G3535" s="10" t="n"/>
      <c r="H3535" s="9" t="inlineStr">
        <is>
          <t>Monthly overflow chunk of 2025 tithe bunched into 2024. This transaction was actually made on 12/31/25, but it is logged against 2025 budget.</t>
        </is>
      </c>
      <c r="I3535" s="9" t="n"/>
      <c r="J3535" s="9" t="n"/>
      <c r="K3535" s="9">
        <f>(9500-8750.43)/12</f>
        <v/>
      </c>
    </row>
    <row r="3536" ht="15" customFormat="1" customHeight="1" s="5">
      <c r="A3536" s="81" t="n">
        <v>45748</v>
      </c>
      <c r="B3536" s="82" t="n">
        <v>0.4819444444444445</v>
      </c>
      <c r="C3536" s="5" t="inlineStr">
        <is>
          <t>House Denver</t>
        </is>
      </c>
      <c r="D3536" s="5" t="n">
        <v>1</v>
      </c>
      <c r="F3536" s="6" t="n">
        <v>53852722946</v>
      </c>
      <c r="G3536" s="10" t="n"/>
      <c r="H3536" s="9" t="inlineStr">
        <is>
          <t>Monthly chunk of 2025 tithe bunched into 2024. This transaction was actually made on 12/31/25, but it is logged against 2025 budget.</t>
        </is>
      </c>
      <c r="I3536" s="9" t="n"/>
      <c r="J3536" s="9" t="n"/>
      <c r="K3536" s="9">
        <f>MAX(0, MIN(9500-SUM(K4410,K4072,K3804),#REF!))</f>
        <v/>
      </c>
    </row>
    <row r="3537" ht="15" customFormat="1" customHeight="1" s="5">
      <c r="A3537" s="81" t="n">
        <v>45748</v>
      </c>
      <c r="B3537" s="82" t="n">
        <v>0.2916666666666667</v>
      </c>
      <c r="C3537" s="5" t="inlineStr">
        <is>
          <t>Lakeview Mortgage (??)</t>
        </is>
      </c>
      <c r="D3537" s="5" t="n">
        <v>1</v>
      </c>
      <c r="F3537" s="6" t="inlineStr">
        <is>
          <t>0068721927_02</t>
        </is>
      </c>
      <c r="G3537" s="10" t="n"/>
      <c r="H3537" s="9" t="inlineStr">
        <is>
          <t>Interest</t>
        </is>
      </c>
      <c r="I3537" s="9" t="n"/>
      <c r="J3537" s="9" t="n"/>
      <c r="K3537" s="9" t="n">
        <v>1167.76</v>
      </c>
    </row>
    <row r="3538" ht="15" customFormat="1" customHeight="1" s="5">
      <c r="A3538" s="81" t="n">
        <v>45748</v>
      </c>
      <c r="B3538" s="82" t="n">
        <v>0.2916666666666667</v>
      </c>
      <c r="C3538" s="5" t="inlineStr">
        <is>
          <t>Lakeview Mortgage (??)</t>
        </is>
      </c>
      <c r="D3538" s="5" t="n">
        <v>1</v>
      </c>
      <c r="F3538" s="6" t="inlineStr">
        <is>
          <t>0068721927_02</t>
        </is>
      </c>
      <c r="G3538" s="10" t="n"/>
      <c r="H3538" s="9" t="inlineStr">
        <is>
          <t>Principal</t>
        </is>
      </c>
      <c r="I3538" s="9" t="n"/>
      <c r="J3538" s="9" t="n"/>
      <c r="K3538" s="9" t="n">
        <v>246.72</v>
      </c>
    </row>
    <row r="3539" ht="15" customFormat="1" customHeight="1" s="5">
      <c r="A3539" s="81" t="n">
        <v>45748</v>
      </c>
      <c r="B3539" s="82" t="n">
        <v>0.2916666666666667</v>
      </c>
      <c r="C3539" s="5" t="inlineStr">
        <is>
          <t>Lakeview Mortgage (??)</t>
        </is>
      </c>
      <c r="D3539" s="5" t="n">
        <v>1</v>
      </c>
      <c r="F3539" s="6" t="inlineStr">
        <is>
          <t>0068721927_02</t>
        </is>
      </c>
      <c r="G3539" s="10" t="n"/>
      <c r="H3539" s="9" t="inlineStr">
        <is>
          <t>Taxes and Insurance ESCROW</t>
        </is>
      </c>
      <c r="I3539" s="9" t="n"/>
      <c r="J3539" s="9" t="n"/>
      <c r="K3539" s="9" t="n">
        <v>156.8</v>
      </c>
    </row>
    <row r="3540" ht="15" customFormat="1" customHeight="1" s="5">
      <c r="A3540" s="81" t="n">
        <v>45748</v>
      </c>
      <c r="B3540" s="82" t="n">
        <v>0.2916666666666667</v>
      </c>
      <c r="C3540" s="5" t="inlineStr">
        <is>
          <t>CDLE FAMLI</t>
        </is>
      </c>
      <c r="D3540" s="5" t="n">
        <v>1</v>
      </c>
      <c r="F3540" s="6" t="inlineStr">
        <is>
          <t>NA_Fam7</t>
        </is>
      </c>
      <c r="G3540" s="10" t="n"/>
      <c r="H3540" s="9" t="inlineStr">
        <is>
          <t>RTX ELI Deposit CDLE FAMLI_2 Benefits</t>
        </is>
      </c>
      <c r="I3540" s="9" t="n">
        <v>1</v>
      </c>
      <c r="J3540" s="9" t="inlineStr">
        <is>
          <t>cnt</t>
        </is>
      </c>
      <c r="K3540" s="9" t="n">
        <v>-1324.21</v>
      </c>
    </row>
    <row r="3541" ht="15" customFormat="1" customHeight="1" s="5">
      <c r="A3541" s="81" t="n">
        <v>45747</v>
      </c>
      <c r="B3541" s="82" t="n">
        <v>0.5729166666666666</v>
      </c>
      <c r="C3541" s="5" t="inlineStr">
        <is>
          <t>Costco</t>
        </is>
      </c>
      <c r="E3541" s="5" t="n">
        <v>1</v>
      </c>
      <c r="F3541" s="6" t="inlineStr">
        <is>
          <t>439 1 177 115</t>
        </is>
      </c>
      <c r="G3541" s="10" t="n"/>
      <c r="H3541" s="9" t="inlineStr">
        <is>
          <t>Steelhead Trout Fillet, Skin-On, Farm Raised, @$9.99/lb</t>
        </is>
      </c>
      <c r="I3541" s="9" t="n">
        <v>2.49</v>
      </c>
      <c r="J3541" s="9" t="inlineStr">
        <is>
          <t>lb</t>
        </is>
      </c>
      <c r="K3541" s="9" t="n">
        <v>24.88</v>
      </c>
    </row>
    <row r="3542" ht="15" customFormat="1" customHeight="1" s="5">
      <c r="A3542" s="81" t="n">
        <v>45747</v>
      </c>
      <c r="B3542" s="82" t="n">
        <v>0.5729166666666666</v>
      </c>
      <c r="C3542" s="5" t="inlineStr">
        <is>
          <t>Costco</t>
        </is>
      </c>
      <c r="E3542" s="5" t="n">
        <v>1</v>
      </c>
      <c r="F3542" s="6" t="inlineStr">
        <is>
          <t>439 1 177 115</t>
        </is>
      </c>
      <c r="G3542" s="10" t="n"/>
      <c r="H3542" s="9" t="inlineStr">
        <is>
          <t>Organic Sweet Potato 8lb bag</t>
        </is>
      </c>
      <c r="I3542" s="9" t="n">
        <v>8</v>
      </c>
      <c r="J3542" s="9" t="inlineStr">
        <is>
          <t>lb</t>
        </is>
      </c>
      <c r="K3542" s="9" t="n">
        <v>8.99</v>
      </c>
    </row>
    <row r="3543" ht="15" customFormat="1" customHeight="1" s="5">
      <c r="A3543" s="81" t="n">
        <v>45747</v>
      </c>
      <c r="B3543" s="82" t="n">
        <v>0.5729166666666666</v>
      </c>
      <c r="C3543" s="5" t="inlineStr">
        <is>
          <t>Costco</t>
        </is>
      </c>
      <c r="E3543" s="5" t="n">
        <v>1</v>
      </c>
      <c r="F3543" s="6" t="inlineStr">
        <is>
          <t>439 1 177 115</t>
        </is>
      </c>
      <c r="G3543" s="10" t="n"/>
      <c r="H3543" s="9" t="inlineStr">
        <is>
          <t>COSTCO REWARDS (Eli) Cashback</t>
        </is>
      </c>
      <c r="I3543" s="9" t="n">
        <v>1</v>
      </c>
      <c r="J3543" s="9" t="inlineStr">
        <is>
          <t>cnt</t>
        </is>
      </c>
      <c r="K3543" s="9" t="n">
        <v>-224.72</v>
      </c>
    </row>
    <row r="3544" ht="15" customFormat="1" customHeight="1" s="5">
      <c r="A3544" s="81" t="n">
        <v>45747</v>
      </c>
      <c r="B3544" s="82" t="n">
        <v>0.2916666666666667</v>
      </c>
      <c r="C3544" s="5" t="inlineStr">
        <is>
          <t>Amazon</t>
        </is>
      </c>
      <c r="D3544" s="5" t="n">
        <v>1</v>
      </c>
      <c r="F3544" s="16" t="inlineStr">
        <is>
          <t>D01-0545997-4489869</t>
        </is>
      </c>
      <c r="G3544" s="10" t="n"/>
      <c r="H3544" s="9" t="inlineStr">
        <is>
          <t>Amazon Prime* ($7.49+$0.60 tax-$0.39 rewards)</t>
        </is>
      </c>
      <c r="I3544" s="9" t="n">
        <v>1</v>
      </c>
      <c r="J3544" s="9" t="inlineStr">
        <is>
          <t>cnt</t>
        </is>
      </c>
      <c r="K3544" s="9" t="n">
        <v>7.7</v>
      </c>
    </row>
    <row r="3545" ht="15" customFormat="1" customHeight="1" s="5">
      <c r="A3545" s="81" t="n">
        <v>45747</v>
      </c>
      <c r="B3545" s="82" t="n">
        <v>0.2916666666666667</v>
      </c>
      <c r="C3545" s="5" t="inlineStr">
        <is>
          <t>CIT</t>
        </is>
      </c>
      <c r="D3545" s="5" t="n">
        <v>1</v>
      </c>
      <c r="F3545" s="6" t="n"/>
      <c r="G3545" s="10" t="n"/>
      <c r="H3545" s="9" t="inlineStr">
        <is>
          <t>Interest Credit CIT bank</t>
        </is>
      </c>
      <c r="I3545" s="9" t="n"/>
      <c r="J3545" s="9" t="n"/>
      <c r="K3545" s="9" t="n">
        <v>-161.51</v>
      </c>
    </row>
    <row r="3546" ht="15" customFormat="1" customHeight="1" s="5">
      <c r="A3546" s="81" t="n">
        <v>45746</v>
      </c>
      <c r="B3546" s="82" t="n">
        <v>0.6298611111111111</v>
      </c>
      <c r="C3546" s="5" t="inlineStr">
        <is>
          <t>Safeway</t>
        </is>
      </c>
      <c r="E3546" s="5" t="n">
        <v>1</v>
      </c>
      <c r="F3546" s="6" t="inlineStr">
        <is>
          <t>52 161 8852</t>
        </is>
      </c>
      <c r="G3546" s="15" t="inlineStr">
        <is>
          <t>1410008578</t>
        </is>
      </c>
      <c r="H3546" s="9" t="inlineStr">
        <is>
          <t>Pepperidge Farm Goldfish Cheddar</t>
        </is>
      </c>
      <c r="I3546" s="9" t="n">
        <v>6.6</v>
      </c>
      <c r="J3546" s="9" t="inlineStr">
        <is>
          <t>oz</t>
        </is>
      </c>
      <c r="K3546" s="9" t="n">
        <v>3.49</v>
      </c>
    </row>
    <row r="3547" ht="15" customFormat="1" customHeight="1" s="5">
      <c r="A3547" s="81" t="n">
        <v>45746</v>
      </c>
      <c r="B3547" s="82" t="n">
        <v>0.6298611111111111</v>
      </c>
      <c r="C3547" s="5" t="inlineStr">
        <is>
          <t>Safeway</t>
        </is>
      </c>
      <c r="E3547" s="5" t="n">
        <v>1</v>
      </c>
      <c r="F3547" s="6" t="inlineStr">
        <is>
          <t>52 161 8852</t>
        </is>
      </c>
      <c r="G3547" s="15" t="inlineStr">
        <is>
          <t>94889</t>
        </is>
      </c>
      <c r="H3547" s="9" t="inlineStr">
        <is>
          <t>Organic Cilantro Bunch</t>
        </is>
      </c>
      <c r="I3547" s="9" t="n">
        <v>1</v>
      </c>
      <c r="J3547" s="9" t="inlineStr">
        <is>
          <t>cnt</t>
        </is>
      </c>
      <c r="K3547" s="9" t="n">
        <v>1.99</v>
      </c>
    </row>
    <row r="3548" ht="15" customFormat="1" customHeight="1" s="5">
      <c r="A3548" s="81" t="n">
        <v>45746</v>
      </c>
      <c r="B3548" s="82" t="n">
        <v>0.6298611111111111</v>
      </c>
      <c r="C3548" s="5" t="inlineStr">
        <is>
          <t>Safeway</t>
        </is>
      </c>
      <c r="E3548" s="5" t="n">
        <v>1</v>
      </c>
      <c r="F3548" s="6" t="inlineStr">
        <is>
          <t>52 161 8852</t>
        </is>
      </c>
      <c r="G3548" s="10" t="n"/>
      <c r="H3548" s="9" t="inlineStr">
        <is>
          <t>Tax</t>
        </is>
      </c>
      <c r="I3548" s="9" t="n">
        <v>2</v>
      </c>
      <c r="J3548" s="9" t="inlineStr">
        <is>
          <t>cnt</t>
        </is>
      </c>
      <c r="K3548" s="9" t="n">
        <v>0</v>
      </c>
    </row>
    <row r="3549" ht="15" customFormat="1" customHeight="1" s="5">
      <c r="A3549" s="81" t="n">
        <v>45746</v>
      </c>
      <c r="B3549" s="82" t="n">
        <v>0.6298611111111111</v>
      </c>
      <c r="C3549" s="5" t="inlineStr">
        <is>
          <t>Safeway</t>
        </is>
      </c>
      <c r="E3549" s="5" t="n">
        <v>1</v>
      </c>
      <c r="F3549" s="6" t="inlineStr">
        <is>
          <t>52 161 8852</t>
        </is>
      </c>
      <c r="G3549" s="10" t="n"/>
      <c r="H3549" s="9" t="inlineStr">
        <is>
          <t>**DISCOUNT** Cilantro</t>
        </is>
      </c>
      <c r="I3549" s="9" t="n">
        <v>1</v>
      </c>
      <c r="J3549" s="9" t="inlineStr">
        <is>
          <t>cnt</t>
        </is>
      </c>
      <c r="K3549" s="9" t="n">
        <v>-0.55</v>
      </c>
    </row>
    <row r="3550" ht="15" customFormat="1" customHeight="1" s="5">
      <c r="A3550" s="81" t="n">
        <v>45746</v>
      </c>
      <c r="B3550" s="82" t="n">
        <v>0.6298611111111111</v>
      </c>
      <c r="C3550" s="5" t="inlineStr">
        <is>
          <t>Safeway</t>
        </is>
      </c>
      <c r="E3550" s="5" t="n">
        <v>1</v>
      </c>
      <c r="F3550" s="6" t="inlineStr">
        <is>
          <t>52 161 8852</t>
        </is>
      </c>
      <c r="G3550" s="10" t="n"/>
      <c r="H3550" s="9" t="inlineStr">
        <is>
          <t>**DISCOUNT** Goldfish</t>
        </is>
      </c>
      <c r="I3550" s="9" t="n">
        <v>6.6</v>
      </c>
      <c r="J3550" s="9" t="inlineStr">
        <is>
          <t>oz</t>
        </is>
      </c>
      <c r="K3550" s="9" t="n">
        <v>-1.6</v>
      </c>
    </row>
    <row r="3551" ht="15" customFormat="1" customHeight="1" s="5">
      <c r="A3551" s="81" t="n">
        <v>45746</v>
      </c>
      <c r="B3551" s="82" t="n">
        <v>0.6277777777777778</v>
      </c>
      <c r="C3551" s="5" t="inlineStr">
        <is>
          <t>Costco</t>
        </is>
      </c>
      <c r="E3551" s="5" t="n">
        <v>1</v>
      </c>
      <c r="F3551" s="6" t="inlineStr">
        <is>
          <t>439 207 157 707</t>
        </is>
      </c>
      <c r="G3551" s="15" t="inlineStr">
        <is>
          <t>1694426</t>
        </is>
      </c>
      <c r="H3551" s="9" t="inlineStr">
        <is>
          <t>**DISCOUNT** Orgain Collagen Peptides</t>
        </is>
      </c>
      <c r="I3551" s="9" t="n">
        <v>1.6</v>
      </c>
      <c r="J3551" s="9" t="inlineStr">
        <is>
          <t>lb</t>
        </is>
      </c>
      <c r="K3551" s="9" t="inlineStr">
        <is>
          <t>6-A</t>
        </is>
      </c>
    </row>
    <row r="3552" ht="15" customFormat="1" customHeight="1" s="5">
      <c r="A3552" s="81" t="n">
        <v>45746</v>
      </c>
      <c r="B3552" s="82" t="n">
        <v>0.6277777777777778</v>
      </c>
      <c r="C3552" s="5" t="inlineStr">
        <is>
          <t>Costco</t>
        </is>
      </c>
      <c r="E3552" s="5" t="n">
        <v>1</v>
      </c>
      <c r="F3552" s="6" t="inlineStr">
        <is>
          <t>439 207 157 707</t>
        </is>
      </c>
      <c r="G3552" s="15" t="inlineStr">
        <is>
          <t>1694426</t>
        </is>
      </c>
      <c r="H3552" s="9" t="inlineStr">
        <is>
          <t>Orgain Collagen Peptides +Priobiotics</t>
        </is>
      </c>
      <c r="I3552" s="9" t="n">
        <v>1.6</v>
      </c>
      <c r="J3552" s="9" t="inlineStr">
        <is>
          <t>lb</t>
        </is>
      </c>
      <c r="K3552" s="9" t="inlineStr">
        <is>
          <t>29.99 A</t>
        </is>
      </c>
    </row>
    <row r="3553" ht="15" customFormat="1" customHeight="1" s="5">
      <c r="A3553" s="81" t="n">
        <v>45746</v>
      </c>
      <c r="B3553" s="82" t="n">
        <v>0.6277777777777778</v>
      </c>
      <c r="C3553" s="5" t="inlineStr">
        <is>
          <t>Costco</t>
        </is>
      </c>
      <c r="E3553" s="5" t="n">
        <v>1</v>
      </c>
      <c r="F3553" s="6" t="inlineStr">
        <is>
          <t>439 207 157 707</t>
        </is>
      </c>
      <c r="G3553" s="15" t="inlineStr">
        <is>
          <t>0000351425</t>
        </is>
      </c>
      <c r="H3553" s="9" t="inlineStr">
        <is>
          <t>**DISCOUNT** /3741 Manager's Instant Rebate</t>
        </is>
      </c>
      <c r="I3553" s="9" t="n">
        <v>4</v>
      </c>
      <c r="J3553" s="9" t="inlineStr">
        <is>
          <t>lb</t>
        </is>
      </c>
      <c r="K3553" s="9" t="inlineStr">
        <is>
          <t>2-</t>
        </is>
      </c>
    </row>
    <row r="3554" ht="15" customFormat="1" customHeight="1" s="5">
      <c r="A3554" s="81" t="n">
        <v>45746</v>
      </c>
      <c r="B3554" s="82" t="n">
        <v>0.6277777777777778</v>
      </c>
      <c r="C3554" s="5" t="inlineStr">
        <is>
          <t>Costco</t>
        </is>
      </c>
      <c r="E3554" s="5" t="n">
        <v>1</v>
      </c>
      <c r="F3554" s="6" t="inlineStr">
        <is>
          <t>439 207 157 707</t>
        </is>
      </c>
      <c r="G3554" s="10" t="n"/>
      <c r="H3554" s="9" t="inlineStr">
        <is>
          <t>Thai Banana Fried Royal Asia in Coconut and sesame seed Batter; with coconut cream sauce and caramel honey sauce</t>
        </is>
      </c>
      <c r="I3554" s="9" t="n">
        <v>32</v>
      </c>
      <c r="J3554" s="9" t="inlineStr">
        <is>
          <t>oz</t>
        </is>
      </c>
      <c r="K3554" s="9" t="n">
        <v>12.39</v>
      </c>
    </row>
    <row r="3555" ht="15" customFormat="1" customHeight="1" s="5">
      <c r="A3555" s="81" t="n">
        <v>45746</v>
      </c>
      <c r="B3555" s="82" t="n">
        <v>0.6277777777777778</v>
      </c>
      <c r="C3555" s="5" t="inlineStr">
        <is>
          <t>Costco</t>
        </is>
      </c>
      <c r="E3555" s="5" t="n">
        <v>1</v>
      </c>
      <c r="F3555" s="6" t="inlineStr">
        <is>
          <t>439 207 157 707</t>
        </is>
      </c>
      <c r="G3555" s="10" t="n"/>
      <c r="H3555" s="9" t="inlineStr">
        <is>
          <t>Green Grapes</t>
        </is>
      </c>
      <c r="I3555" s="9" t="n">
        <v>3</v>
      </c>
      <c r="J3555" s="9" t="inlineStr">
        <is>
          <t>lb</t>
        </is>
      </c>
      <c r="K3555" s="9" t="n">
        <v>6.39</v>
      </c>
    </row>
    <row r="3556" ht="15" customFormat="1" customHeight="1" s="5">
      <c r="A3556" s="81" t="n">
        <v>45746</v>
      </c>
      <c r="B3556" s="82" t="n">
        <v>0.6277777777777778</v>
      </c>
      <c r="C3556" s="5" t="inlineStr">
        <is>
          <t>Costco</t>
        </is>
      </c>
      <c r="E3556" s="5" t="n">
        <v>1</v>
      </c>
      <c r="F3556" s="6" t="inlineStr">
        <is>
          <t>439 207 157 707</t>
        </is>
      </c>
      <c r="G3556" s="15" t="inlineStr">
        <is>
          <t>3741</t>
        </is>
      </c>
      <c r="H3556" s="9" t="inlineStr">
        <is>
          <t>4lb Envy Apples</t>
        </is>
      </c>
      <c r="I3556" s="9" t="n">
        <v>4</v>
      </c>
      <c r="J3556" s="9" t="inlineStr">
        <is>
          <t>lb</t>
        </is>
      </c>
      <c r="K3556" s="9" t="n">
        <v>5.49</v>
      </c>
    </row>
    <row r="3557" ht="15" customFormat="1" customHeight="1" s="5">
      <c r="A3557" s="81" t="n">
        <v>45746</v>
      </c>
      <c r="B3557" s="82" t="n">
        <v>0.6277777777777778</v>
      </c>
      <c r="C3557" s="5" t="inlineStr">
        <is>
          <t>Costco</t>
        </is>
      </c>
      <c r="E3557" s="5" t="n">
        <v>1</v>
      </c>
      <c r="F3557" s="6" t="inlineStr">
        <is>
          <t>439 207 157 707</t>
        </is>
      </c>
      <c r="G3557" s="10" t="n"/>
      <c r="H3557" s="9" t="inlineStr">
        <is>
          <t>Tax (Orgain) A 8.00%</t>
        </is>
      </c>
      <c r="I3557" s="9" t="n"/>
      <c r="J3557" s="9" t="n"/>
      <c r="K3557" s="9" t="n">
        <v>1.92</v>
      </c>
    </row>
    <row r="3558" ht="15" customFormat="1" customHeight="1" s="5">
      <c r="A3558" s="81" t="n">
        <v>45746</v>
      </c>
      <c r="B3558" s="82" t="n">
        <v>0.4722222222222222</v>
      </c>
      <c r="C3558" s="5" t="inlineStr">
        <is>
          <t>Costco</t>
        </is>
      </c>
      <c r="E3558" s="5" t="n">
        <v>1</v>
      </c>
      <c r="F3558" s="6" t="inlineStr">
        <is>
          <t>63007</t>
        </is>
      </c>
      <c r="G3558" s="15" t="inlineStr">
        <is>
          <t>3</t>
        </is>
      </c>
      <c r="H3558" s="9" t="inlineStr">
        <is>
          <t>Ford Gas 10.252 Gallons @ $2.749/gal</t>
        </is>
      </c>
      <c r="I3558" s="9" t="n">
        <v>10.252</v>
      </c>
      <c r="J3558" s="9" t="inlineStr">
        <is>
          <t>gal</t>
        </is>
      </c>
      <c r="K3558" s="9" t="n">
        <v>28.18</v>
      </c>
    </row>
    <row r="3559" ht="15" customFormat="1" customHeight="1" s="5">
      <c r="A3559" s="81" t="n">
        <v>45746</v>
      </c>
      <c r="B3559" s="82" t="n">
        <v>0.3597222222222222</v>
      </c>
      <c r="C3559" s="5" t="inlineStr">
        <is>
          <t>Safeway</t>
        </is>
      </c>
      <c r="E3559" s="5" t="n">
        <v>1</v>
      </c>
      <c r="F3559" s="6" t="inlineStr">
        <is>
          <t>96 15 8896</t>
        </is>
      </c>
      <c r="G3559" s="10" t="n"/>
      <c r="H3559" s="9" t="inlineStr">
        <is>
          <t>**DISCOUNT** Basket Savings</t>
        </is>
      </c>
      <c r="I3559" s="9" t="n"/>
      <c r="J3559" s="9" t="n"/>
      <c r="K3559" s="9" t="n">
        <v>-5.05</v>
      </c>
    </row>
    <row r="3560" ht="15" customFormat="1" customHeight="1" s="5">
      <c r="A3560" s="81" t="n">
        <v>45746</v>
      </c>
      <c r="B3560" s="82" t="n">
        <v>0.3597222222222222</v>
      </c>
      <c r="C3560" s="5" t="inlineStr">
        <is>
          <t>Safeway</t>
        </is>
      </c>
      <c r="E3560" s="5" t="n">
        <v>1</v>
      </c>
      <c r="F3560" s="6" t="inlineStr">
        <is>
          <t>96 15 8896</t>
        </is>
      </c>
      <c r="G3560" s="15" t="inlineStr">
        <is>
          <t>2113024032</t>
        </is>
      </c>
      <c r="H3560" s="13" t="inlineStr">
        <is>
          <t>2@ Signature Drinking Water Bottles</t>
        </is>
      </c>
      <c r="I3560" s="9" t="n"/>
      <c r="J3560" s="9" t="n"/>
      <c r="K3560" s="9" t="n">
        <v>6.98</v>
      </c>
    </row>
    <row r="3561" ht="15" customFormat="1" customHeight="1" s="5">
      <c r="A3561" s="81" t="n">
        <v>45746</v>
      </c>
      <c r="B3561" s="82" t="n">
        <v>0.3597222222222222</v>
      </c>
      <c r="C3561" s="5" t="inlineStr">
        <is>
          <t>Safeway</t>
        </is>
      </c>
      <c r="E3561" s="5" t="n">
        <v>1</v>
      </c>
      <c r="F3561" s="6" t="inlineStr">
        <is>
          <t>96 15 8896</t>
        </is>
      </c>
      <c r="G3561" s="10" t="n"/>
      <c r="H3561" s="9" t="inlineStr">
        <is>
          <t>Tax</t>
        </is>
      </c>
      <c r="I3561" s="9" t="n"/>
      <c r="J3561" s="9" t="n"/>
      <c r="K3561" s="9" t="n">
        <v>0</v>
      </c>
    </row>
    <row r="3562" ht="15" customFormat="1" customHeight="1" s="5">
      <c r="A3562" s="81" t="n">
        <v>45746</v>
      </c>
      <c r="B3562" s="82" t="n">
        <v>0.3597222222222222</v>
      </c>
      <c r="C3562" s="5" t="inlineStr">
        <is>
          <t>Safeway</t>
        </is>
      </c>
      <c r="E3562" s="5" t="n">
        <v>1</v>
      </c>
      <c r="F3562" s="6" t="inlineStr">
        <is>
          <t>96 15 8896</t>
        </is>
      </c>
      <c r="G3562" s="10" t="n"/>
      <c r="H3562" s="9" t="inlineStr">
        <is>
          <t>**DISCOUNT** forU Store Coupon</t>
        </is>
      </c>
      <c r="I3562" s="9" t="n"/>
      <c r="J3562" s="9" t="n"/>
      <c r="K3562" s="9" t="n">
        <v>-1</v>
      </c>
    </row>
    <row r="3563" ht="15" customFormat="1" customHeight="1" s="5">
      <c r="A3563" s="81" t="n">
        <v>45745</v>
      </c>
      <c r="B3563" s="82" t="n">
        <v>0.7243055555555555</v>
      </c>
      <c r="C3563" s="5" t="inlineStr">
        <is>
          <t>Outback Steakhouse</t>
        </is>
      </c>
      <c r="E3563" s="5" t="n">
        <v>1</v>
      </c>
      <c r="F3563" s="6" t="inlineStr">
        <is>
          <t>0182</t>
        </is>
      </c>
      <c r="G3563" s="10" t="n"/>
      <c r="H3563" s="9" t="inlineStr">
        <is>
          <t>3 course meal: 8 coconut shrimp, house salad vinegar/oil, sweet potato, 2 breads, 1 choco cheesecake</t>
        </is>
      </c>
      <c r="I3563" s="9" t="n">
        <v>1</v>
      </c>
      <c r="J3563" s="9" t="inlineStr">
        <is>
          <t>cnt</t>
        </is>
      </c>
      <c r="K3563" s="9" t="n">
        <v>14.99</v>
      </c>
    </row>
    <row r="3564" ht="15" customFormat="1" customHeight="1" s="5">
      <c r="A3564" s="81" t="n">
        <v>45745</v>
      </c>
      <c r="B3564" s="82" t="n">
        <v>0.7243055555555555</v>
      </c>
      <c r="C3564" s="5" t="inlineStr">
        <is>
          <t>Outback Steakhouse</t>
        </is>
      </c>
      <c r="E3564" s="5" t="n">
        <v>1</v>
      </c>
      <c r="F3564" s="6" t="inlineStr">
        <is>
          <t>0182</t>
        </is>
      </c>
      <c r="G3564" s="10" t="n"/>
      <c r="H3564" s="9" t="inlineStr">
        <is>
          <t>Tax</t>
        </is>
      </c>
      <c r="I3564" s="9" t="n">
        <v>1</v>
      </c>
      <c r="J3564" s="9" t="inlineStr">
        <is>
          <t>cnt</t>
        </is>
      </c>
      <c r="K3564" s="9" t="n">
        <v>1.2</v>
      </c>
    </row>
    <row r="3565" ht="15" customFormat="1" customHeight="1" s="5">
      <c r="A3565" s="81" t="n">
        <v>45745</v>
      </c>
      <c r="B3565" s="82" t="n">
        <v>0.7243055555555555</v>
      </c>
      <c r="C3565" s="5" t="inlineStr">
        <is>
          <t>Outback Steakhouse</t>
        </is>
      </c>
      <c r="E3565" s="5" t="n">
        <v>1</v>
      </c>
      <c r="F3565" s="6" t="inlineStr">
        <is>
          <t>0182</t>
        </is>
      </c>
      <c r="G3565" s="10" t="n"/>
      <c r="H3565" s="9" t="inlineStr">
        <is>
          <t>RED CROSS ELI CREDIT FOR FEBRUARY DONATION</t>
        </is>
      </c>
      <c r="I3565" s="9" t="n">
        <v>1</v>
      </c>
      <c r="J3565" s="9" t="inlineStr">
        <is>
          <t>cnt</t>
        </is>
      </c>
      <c r="K3565" s="9" t="n">
        <v>-15</v>
      </c>
    </row>
    <row r="3566" ht="15" customFormat="1" customHeight="1" s="5">
      <c r="A3566" s="81" t="n">
        <v>45745</v>
      </c>
      <c r="B3566" s="82" t="n">
        <v>0.7227893518518519</v>
      </c>
      <c r="C3566" s="5" t="inlineStr">
        <is>
          <t>Outback Steakhouse</t>
        </is>
      </c>
      <c r="D3566" s="5" t="n">
        <v>1</v>
      </c>
      <c r="F3566" s="6" t="inlineStr">
        <is>
          <t>34185589049032709</t>
        </is>
      </c>
      <c r="G3566" s="10" t="n"/>
      <c r="H3566" s="9" t="inlineStr">
        <is>
          <t>Kookaburra Wings Entrée: 1 sweet potato, cinn, honey butter</t>
        </is>
      </c>
      <c r="I3566" s="9" t="n">
        <v>1</v>
      </c>
      <c r="J3566" s="9" t="inlineStr">
        <is>
          <t>cnt</t>
        </is>
      </c>
      <c r="K3566" s="9" t="n">
        <v>17.99</v>
      </c>
    </row>
    <row r="3567" ht="15" customFormat="1" customHeight="1" s="5">
      <c r="A3567" s="81" t="n">
        <v>45745</v>
      </c>
      <c r="B3567" s="82" t="n">
        <v>0.7227893518518519</v>
      </c>
      <c r="C3567" s="5" t="inlineStr">
        <is>
          <t>Outback Steakhouse</t>
        </is>
      </c>
      <c r="D3567" s="5" t="n">
        <v>1</v>
      </c>
      <c r="F3567" s="6" t="inlineStr">
        <is>
          <t>34185589049032709</t>
        </is>
      </c>
      <c r="G3567" s="10" t="n"/>
      <c r="H3567" s="9" t="inlineStr">
        <is>
          <t>Tax</t>
        </is>
      </c>
      <c r="I3567" s="9" t="n">
        <v>1</v>
      </c>
      <c r="J3567" s="9" t="inlineStr">
        <is>
          <t>cnt</t>
        </is>
      </c>
      <c r="K3567" s="9" t="n">
        <v>1.44</v>
      </c>
    </row>
    <row r="3568" ht="15" customFormat="1" customHeight="1" s="5">
      <c r="A3568" s="81" t="n">
        <v>45743</v>
      </c>
      <c r="B3568" s="82" t="n">
        <v>0.7722222222222223</v>
      </c>
      <c r="C3568" s="5" t="inlineStr">
        <is>
          <t>Safeway</t>
        </is>
      </c>
      <c r="E3568" s="5" t="n">
        <v>1</v>
      </c>
      <c r="F3568" s="6" t="inlineStr">
        <is>
          <t>2612 125 120 2669</t>
        </is>
      </c>
      <c r="G3568" s="15" t="inlineStr">
        <is>
          <t>74447300028</t>
        </is>
      </c>
      <c r="H3568" s="9" t="inlineStr">
        <is>
          <t>SO Delicious Frozen Chocolate Cookies and Cream Cashew Milk</t>
        </is>
      </c>
      <c r="I3568" s="9" t="n">
        <v>1</v>
      </c>
      <c r="J3568" s="9" t="inlineStr">
        <is>
          <t>pint</t>
        </is>
      </c>
      <c r="K3568" s="9" t="n">
        <v>6.99</v>
      </c>
    </row>
    <row r="3569" ht="15" customFormat="1" customHeight="1" s="5">
      <c r="A3569" s="81" t="n">
        <v>45743</v>
      </c>
      <c r="B3569" s="82" t="n">
        <v>0.7722222222222223</v>
      </c>
      <c r="C3569" s="5" t="inlineStr">
        <is>
          <t>Safeway</t>
        </is>
      </c>
      <c r="E3569" s="5" t="n">
        <v>1</v>
      </c>
      <c r="F3569" s="6" t="inlineStr">
        <is>
          <t>2612 125 120 2669</t>
        </is>
      </c>
      <c r="G3569" s="15" t="inlineStr">
        <is>
          <t>1906463018</t>
        </is>
      </c>
      <c r="H3569" s="9" t="inlineStr">
        <is>
          <t>Oatly non dairy Strawberry Icecream</t>
        </is>
      </c>
      <c r="I3569" s="9" t="n">
        <v>16</v>
      </c>
      <c r="J3569" s="9" t="inlineStr">
        <is>
          <t>oz</t>
        </is>
      </c>
      <c r="K3569" s="9" t="n">
        <v>5.99</v>
      </c>
    </row>
    <row r="3570" ht="15" customFormat="1" customHeight="1" s="5">
      <c r="A3570" s="81" t="n">
        <v>45743</v>
      </c>
      <c r="B3570" s="82" t="n">
        <v>0.7722222222222223</v>
      </c>
      <c r="C3570" s="5" t="inlineStr">
        <is>
          <t>Safeway</t>
        </is>
      </c>
      <c r="E3570" s="5" t="n">
        <v>1</v>
      </c>
      <c r="F3570" s="6" t="inlineStr">
        <is>
          <t>2612 125 120 2669</t>
        </is>
      </c>
      <c r="G3570" s="15" t="inlineStr">
        <is>
          <t>4222213018</t>
        </is>
      </c>
      <c r="H3570" s="9" t="inlineStr">
        <is>
          <t>Jennie-o Turkey Store 90% Lean Ground Turkey Chub 10% Fat</t>
        </is>
      </c>
      <c r="I3570" s="9" t="n">
        <v>16</v>
      </c>
      <c r="J3570" s="9" t="inlineStr">
        <is>
          <t>oz</t>
        </is>
      </c>
      <c r="K3570" s="9" t="n">
        <v>4.89</v>
      </c>
    </row>
    <row r="3571" ht="15" customFormat="1" customHeight="1" s="5">
      <c r="A3571" s="81" t="n">
        <v>45743</v>
      </c>
      <c r="B3571" s="82" t="n">
        <v>0.7722222222222223</v>
      </c>
      <c r="C3571" s="5" t="inlineStr">
        <is>
          <t>Safeway</t>
        </is>
      </c>
      <c r="E3571" s="5" t="n">
        <v>1</v>
      </c>
      <c r="F3571" s="6" t="inlineStr">
        <is>
          <t>2612 125 120 2669</t>
        </is>
      </c>
      <c r="G3571" s="15" t="inlineStr">
        <is>
          <t>2113014585</t>
        </is>
      </c>
      <c r="H3571" s="9" t="inlineStr">
        <is>
          <t>Signature Select Artisan Bread Garlic Loaf</t>
        </is>
      </c>
      <c r="I3571" s="9" t="n">
        <v>13</v>
      </c>
      <c r="J3571" s="9" t="inlineStr">
        <is>
          <t>oz</t>
        </is>
      </c>
      <c r="K3571" s="9" t="n">
        <v>4.49</v>
      </c>
    </row>
    <row r="3572" ht="15" customFormat="1" customHeight="1" s="5">
      <c r="A3572" s="81" t="n">
        <v>45743</v>
      </c>
      <c r="B3572" s="82" t="n">
        <v>0.7722222222222223</v>
      </c>
      <c r="C3572" s="5" t="inlineStr">
        <is>
          <t>Safeway</t>
        </is>
      </c>
      <c r="E3572" s="5" t="n">
        <v>1</v>
      </c>
      <c r="F3572" s="6" t="inlineStr">
        <is>
          <t>2612 125 120 2669</t>
        </is>
      </c>
      <c r="G3572" s="15" t="inlineStr">
        <is>
          <t>723651034</t>
        </is>
      </c>
      <c r="H3572" s="9" t="inlineStr">
        <is>
          <t>Delallo Spaghetti No.4</t>
        </is>
      </c>
      <c r="I3572" s="9" t="n">
        <v>16</v>
      </c>
      <c r="J3572" s="9" t="inlineStr">
        <is>
          <t>oz</t>
        </is>
      </c>
      <c r="K3572" s="9" t="n">
        <v>2.99</v>
      </c>
    </row>
    <row r="3573" ht="15" customFormat="1" customHeight="1" s="5">
      <c r="A3573" s="81" t="n">
        <v>45743</v>
      </c>
      <c r="B3573" s="82" t="n">
        <v>0.7722222222222223</v>
      </c>
      <c r="C3573" s="5" t="inlineStr">
        <is>
          <t>Safeway</t>
        </is>
      </c>
      <c r="E3573" s="5" t="n">
        <v>1</v>
      </c>
      <c r="F3573" s="6" t="inlineStr">
        <is>
          <t>2612 125 120 2669</t>
        </is>
      </c>
      <c r="G3573" s="15" t="inlineStr">
        <is>
          <t>82540104065</t>
        </is>
      </c>
      <c r="H3573" s="9" t="inlineStr">
        <is>
          <t>Green Bell Pepper 1 cnt</t>
        </is>
      </c>
      <c r="I3573" s="9" t="n">
        <v>1</v>
      </c>
      <c r="J3573" s="9" t="inlineStr">
        <is>
          <t>cnt</t>
        </is>
      </c>
      <c r="K3573" s="9" t="n">
        <v>0.99</v>
      </c>
    </row>
    <row r="3574" ht="15" customFormat="1" customHeight="1" s="5">
      <c r="A3574" s="81" t="n">
        <v>45743</v>
      </c>
      <c r="B3574" s="82" t="n">
        <v>0.7722222222222223</v>
      </c>
      <c r="C3574" s="5" t="inlineStr">
        <is>
          <t>Safeway</t>
        </is>
      </c>
      <c r="E3574" s="5" t="n">
        <v>1</v>
      </c>
      <c r="F3574" s="6" t="inlineStr">
        <is>
          <t>2612 125 120 2669</t>
        </is>
      </c>
      <c r="G3574" s="10" t="n"/>
      <c r="H3574" s="9" t="inlineStr">
        <is>
          <t>Tax</t>
        </is>
      </c>
      <c r="I3574" s="9" t="n">
        <v>6</v>
      </c>
      <c r="J3574" s="9" t="inlineStr">
        <is>
          <t>cnt</t>
        </is>
      </c>
      <c r="K3574" s="9" t="n">
        <v>0</v>
      </c>
    </row>
    <row r="3575" ht="15" customFormat="1" customHeight="1" s="5">
      <c r="A3575" s="81" t="n">
        <v>45743</v>
      </c>
      <c r="B3575" s="82" t="n">
        <v>0.7722222222222223</v>
      </c>
      <c r="C3575" s="5" t="inlineStr">
        <is>
          <t>Safeway</t>
        </is>
      </c>
      <c r="E3575" s="5" t="n">
        <v>1</v>
      </c>
      <c r="F3575" s="6" t="inlineStr">
        <is>
          <t>2612 125 120 2669</t>
        </is>
      </c>
      <c r="G3575" s="15" t="inlineStr">
        <is>
          <t>82540104065</t>
        </is>
      </c>
      <c r="H3575" s="9" t="inlineStr">
        <is>
          <t>**DISCOUNT** Bell pepper</t>
        </is>
      </c>
      <c r="I3575" s="9" t="n">
        <v>1</v>
      </c>
      <c r="J3575" s="9" t="inlineStr">
        <is>
          <t>cnt</t>
        </is>
      </c>
      <c r="K3575" s="9" t="n">
        <v>-0.14</v>
      </c>
    </row>
    <row r="3576" ht="15" customFormat="1" customHeight="1" s="5">
      <c r="A3576" s="81" t="n">
        <v>45743</v>
      </c>
      <c r="B3576" s="82" t="n">
        <v>0.7722222222222223</v>
      </c>
      <c r="C3576" s="5" t="inlineStr">
        <is>
          <t>Safeway</t>
        </is>
      </c>
      <c r="E3576" s="5" t="n">
        <v>1</v>
      </c>
      <c r="F3576" s="6" t="inlineStr">
        <is>
          <t>2612 125 120 2669</t>
        </is>
      </c>
      <c r="G3576" s="15" t="inlineStr">
        <is>
          <t>723651034</t>
        </is>
      </c>
      <c r="H3576" s="9" t="inlineStr">
        <is>
          <t>**DISCOUNT** Spaghetti</t>
        </is>
      </c>
      <c r="I3576" s="9" t="n">
        <v>16</v>
      </c>
      <c r="J3576" s="9" t="inlineStr">
        <is>
          <t>oz</t>
        </is>
      </c>
      <c r="K3576" s="9" t="n">
        <v>-0.15</v>
      </c>
    </row>
    <row r="3577" ht="15" customFormat="1" customHeight="1" s="5">
      <c r="A3577" s="81" t="n">
        <v>45743</v>
      </c>
      <c r="B3577" s="82" t="n">
        <v>0.7722222222222223</v>
      </c>
      <c r="C3577" s="5" t="inlineStr">
        <is>
          <t>Safeway</t>
        </is>
      </c>
      <c r="E3577" s="5" t="n">
        <v>1</v>
      </c>
      <c r="F3577" s="6" t="inlineStr">
        <is>
          <t>2612 125 120 2669</t>
        </is>
      </c>
      <c r="G3577" s="15" t="inlineStr">
        <is>
          <t>2113014585</t>
        </is>
      </c>
      <c r="H3577" s="9" t="inlineStr">
        <is>
          <t>**DISCOUNT** Bread</t>
        </is>
      </c>
      <c r="I3577" s="9" t="n">
        <v>13</v>
      </c>
      <c r="J3577" s="9" t="inlineStr">
        <is>
          <t>oz</t>
        </is>
      </c>
      <c r="K3577" s="9" t="n">
        <v>-0.22</v>
      </c>
    </row>
    <row r="3578" ht="15" customFormat="1" customHeight="1" s="5">
      <c r="A3578" s="81" t="n">
        <v>45743</v>
      </c>
      <c r="B3578" s="82" t="n">
        <v>0.7722222222222223</v>
      </c>
      <c r="C3578" s="5" t="inlineStr">
        <is>
          <t>Safeway</t>
        </is>
      </c>
      <c r="E3578" s="5" t="n">
        <v>1</v>
      </c>
      <c r="F3578" s="6" t="inlineStr">
        <is>
          <t>2612 125 120 2669</t>
        </is>
      </c>
      <c r="G3578" s="15" t="inlineStr">
        <is>
          <t>4222213018</t>
        </is>
      </c>
      <c r="H3578" s="9" t="inlineStr">
        <is>
          <t>**DISCOUNT** Turkey</t>
        </is>
      </c>
      <c r="I3578" s="9" t="n">
        <v>16</v>
      </c>
      <c r="J3578" s="9" t="inlineStr">
        <is>
          <t>oz</t>
        </is>
      </c>
      <c r="K3578" s="9" t="n">
        <v>-0.24</v>
      </c>
    </row>
    <row r="3579" ht="15" customFormat="1" customHeight="1" s="5">
      <c r="A3579" s="81" t="n">
        <v>45743</v>
      </c>
      <c r="B3579" s="82" t="n">
        <v>0.7722222222222223</v>
      </c>
      <c r="C3579" s="5" t="inlineStr">
        <is>
          <t>Safeway</t>
        </is>
      </c>
      <c r="E3579" s="5" t="n">
        <v>1</v>
      </c>
      <c r="F3579" s="6" t="inlineStr">
        <is>
          <t>2612 125 120 2669</t>
        </is>
      </c>
      <c r="G3579" s="15" t="inlineStr">
        <is>
          <t>1906463018</t>
        </is>
      </c>
      <c r="H3579" s="9" t="inlineStr">
        <is>
          <t>**DISCOUNT** Frozen Dessert</t>
        </is>
      </c>
      <c r="I3579" s="9" t="n">
        <v>16</v>
      </c>
      <c r="J3579" s="9" t="inlineStr">
        <is>
          <t>oz</t>
        </is>
      </c>
      <c r="K3579" s="9" t="n">
        <v>-1.26</v>
      </c>
    </row>
    <row r="3580" ht="15" customFormat="1" customHeight="1" s="5">
      <c r="A3580" s="81" t="n">
        <v>45743</v>
      </c>
      <c r="B3580" s="82" t="n">
        <v>0.7722222222222223</v>
      </c>
      <c r="C3580" s="5" t="inlineStr">
        <is>
          <t>Safeway</t>
        </is>
      </c>
      <c r="E3580" s="5" t="n">
        <v>1</v>
      </c>
      <c r="F3580" s="6" t="inlineStr">
        <is>
          <t>2612 125 120 2669</t>
        </is>
      </c>
      <c r="G3580" s="15" t="inlineStr">
        <is>
          <t>74447300028</t>
        </is>
      </c>
      <c r="H3580" s="9" t="inlineStr">
        <is>
          <t>**DISCOUNT** Frozen Dessert</t>
        </is>
      </c>
      <c r="I3580" s="9" t="n">
        <v>1</v>
      </c>
      <c r="J3580" s="9" t="inlineStr">
        <is>
          <t>pint</t>
        </is>
      </c>
      <c r="K3580" s="9" t="n">
        <v>-2.26</v>
      </c>
    </row>
    <row r="3581" ht="15" customFormat="1" customHeight="1" s="5">
      <c r="A3581" s="81" t="n">
        <v>45743</v>
      </c>
      <c r="B3581" s="82" t="n">
        <v>0.4159722222222222</v>
      </c>
      <c r="C3581" s="5" t="inlineStr">
        <is>
          <t>Atlas Coffee Englewood</t>
        </is>
      </c>
      <c r="E3581" s="5" t="n">
        <v>1</v>
      </c>
      <c r="F3581" s="6" t="n"/>
      <c r="G3581" s="10" t="n"/>
      <c r="H3581" s="9" t="inlineStr">
        <is>
          <t>Coffee black drip</t>
        </is>
      </c>
      <c r="I3581" s="9" t="n">
        <v>12</v>
      </c>
      <c r="J3581" s="9" t="inlineStr">
        <is>
          <t>oz</t>
        </is>
      </c>
      <c r="K3581" s="9" t="n">
        <v>3.25</v>
      </c>
    </row>
    <row r="3582" ht="15" customFormat="1" customHeight="1" s="5">
      <c r="A3582" s="81" t="n">
        <v>45743</v>
      </c>
      <c r="B3582" s="82" t="n">
        <v>0.4159722222222222</v>
      </c>
      <c r="C3582" s="5" t="inlineStr">
        <is>
          <t>Atlas Coffee Englewood</t>
        </is>
      </c>
      <c r="E3582" s="5" t="n">
        <v>1</v>
      </c>
      <c r="F3582" s="6" t="n"/>
      <c r="G3582" s="10" t="n"/>
      <c r="H3582" s="9" t="inlineStr">
        <is>
          <t>Hot chocolate Shane</t>
        </is>
      </c>
      <c r="I3582" s="9" t="n">
        <v>12</v>
      </c>
      <c r="J3582" s="9" t="inlineStr">
        <is>
          <t>oz</t>
        </is>
      </c>
      <c r="K3582" s="9" t="n">
        <v>3.25</v>
      </c>
    </row>
    <row r="3583" ht="15" customFormat="1" customHeight="1" s="5">
      <c r="A3583" s="81" t="n">
        <v>45743</v>
      </c>
      <c r="B3583" s="82" t="n">
        <v>0.4159722222222222</v>
      </c>
      <c r="C3583" s="5" t="inlineStr">
        <is>
          <t>Atlas Coffee Englewood</t>
        </is>
      </c>
      <c r="E3583" s="5" t="n">
        <v>1</v>
      </c>
      <c r="F3583" s="6" t="n"/>
      <c r="G3583" s="10" t="n"/>
      <c r="H3583" s="9" t="inlineStr">
        <is>
          <t>Tip</t>
        </is>
      </c>
      <c r="I3583" s="9" t="n">
        <v>2</v>
      </c>
      <c r="J3583" s="9" t="inlineStr">
        <is>
          <t>cnt</t>
        </is>
      </c>
      <c r="K3583" s="9" t="n">
        <v>1</v>
      </c>
    </row>
    <row r="3584" ht="15" customFormat="1" customHeight="1" s="5">
      <c r="A3584" s="81" t="n">
        <v>45743</v>
      </c>
      <c r="B3584" s="82" t="n">
        <v>0.4159722222222222</v>
      </c>
      <c r="C3584" s="5" t="inlineStr">
        <is>
          <t>Atlas Coffee Englewood</t>
        </is>
      </c>
      <c r="E3584" s="5" t="n">
        <v>1</v>
      </c>
      <c r="F3584" s="6" t="n"/>
      <c r="G3584" s="10" t="n"/>
      <c r="H3584" s="9" t="inlineStr">
        <is>
          <t>according to costco statement, this ended up being $9.10. weird</t>
        </is>
      </c>
      <c r="I3584" s="9" t="n">
        <v>1</v>
      </c>
      <c r="J3584" s="9" t="inlineStr">
        <is>
          <t>cnt</t>
        </is>
      </c>
      <c r="K3584" s="9" t="n">
        <v>1</v>
      </c>
    </row>
    <row r="3585" ht="15" customFormat="1" customHeight="1" s="5">
      <c r="A3585" s="81" t="n">
        <v>45743</v>
      </c>
      <c r="B3585" s="82" t="n">
        <v>0.4159722222222222</v>
      </c>
      <c r="C3585" s="5" t="inlineStr">
        <is>
          <t>Atlas Coffee Englewood</t>
        </is>
      </c>
      <c r="E3585" s="5" t="n">
        <v>1</v>
      </c>
      <c r="F3585" s="6" t="n"/>
      <c r="G3585" s="10" t="n"/>
      <c r="H3585" s="9" t="inlineStr">
        <is>
          <t>Tax (total $8.10 after tip)</t>
        </is>
      </c>
      <c r="I3585" s="9" t="n">
        <v>2</v>
      </c>
      <c r="J3585" s="9" t="inlineStr">
        <is>
          <t>cnt</t>
        </is>
      </c>
      <c r="K3585" s="9" t="n">
        <v>0.6</v>
      </c>
    </row>
    <row r="3586" ht="15" customFormat="1" customHeight="1" s="5">
      <c r="A3586" s="81" t="n">
        <v>45743</v>
      </c>
      <c r="B3586" s="82" t="n">
        <v>0.3465277777777778</v>
      </c>
      <c r="C3586" s="5" t="inlineStr">
        <is>
          <t>Amazon</t>
        </is>
      </c>
      <c r="D3586" s="5" t="n">
        <v>1</v>
      </c>
      <c r="F3586" s="6" t="inlineStr">
        <is>
          <t>111-2564892-2849037</t>
        </is>
      </c>
      <c r="G3586" s="10" t="n"/>
      <c r="H3586" s="9" t="inlineStr">
        <is>
          <t>Baby Bottle Handles, Easy Grip Bottle,Silicone Wide-Neck Bottle Handle, Outer Diameter Over 6cm for Bottle White (1 Pack)</t>
        </is>
      </c>
      <c r="I3586" s="9" t="n">
        <v>1</v>
      </c>
      <c r="J3586" s="9" t="inlineStr">
        <is>
          <t>cnt</t>
        </is>
      </c>
      <c r="K3586" s="9" t="n">
        <v>2.99</v>
      </c>
    </row>
    <row r="3587" ht="15" customFormat="1" customHeight="1" s="5">
      <c r="A3587" s="81" t="n">
        <v>45743</v>
      </c>
      <c r="B3587" s="82" t="n">
        <v>0.3465277777777778</v>
      </c>
      <c r="C3587" s="5" t="inlineStr">
        <is>
          <t>Amazon</t>
        </is>
      </c>
      <c r="D3587" s="5" t="n">
        <v>1</v>
      </c>
      <c r="F3587" s="6" t="inlineStr">
        <is>
          <t>111-2564892-2849037</t>
        </is>
      </c>
      <c r="G3587" s="10" t="n"/>
      <c r="H3587" s="9" t="inlineStr">
        <is>
          <t>Tax</t>
        </is>
      </c>
      <c r="I3587" s="9" t="n">
        <v>1</v>
      </c>
      <c r="J3587" s="9" t="inlineStr">
        <is>
          <t>cnt</t>
        </is>
      </c>
      <c r="K3587" s="9" t="n">
        <v>0.24</v>
      </c>
    </row>
    <row r="3588" ht="15" customFormat="1" customHeight="1" s="5">
      <c r="A3588" s="81" t="n">
        <v>45743</v>
      </c>
      <c r="B3588" s="82" t="n">
        <v>0.3465277777777778</v>
      </c>
      <c r="C3588" s="5" t="inlineStr">
        <is>
          <t>Amazon</t>
        </is>
      </c>
      <c r="D3588" s="5" t="n">
        <v>1</v>
      </c>
      <c r="F3588" s="6" t="inlineStr">
        <is>
          <t>111-8827764-0000237</t>
        </is>
      </c>
      <c r="G3588" s="10" t="n"/>
      <c r="H3588" s="18" t="inlineStr">
        <is>
          <t>Boon Snug Silicone Sippy Cup Lids - Convert Any Kids Cups or Toddler Cups into Soft Spout Sippy Cups - Toddler Feeding Supplies and Travel Essentials - Green - 3 Count</t>
        </is>
      </c>
      <c r="I3588" s="9" t="n">
        <v>3</v>
      </c>
      <c r="J3588" s="9" t="inlineStr">
        <is>
          <t>cnt</t>
        </is>
      </c>
      <c r="K3588" s="9" t="n">
        <v>13.03</v>
      </c>
    </row>
    <row r="3589" ht="15" customFormat="1" customHeight="1" s="5">
      <c r="A3589" s="81" t="n">
        <v>45743</v>
      </c>
      <c r="B3589" s="82" t="n">
        <v>0.3465277777777778</v>
      </c>
      <c r="C3589" s="5" t="inlineStr">
        <is>
          <t>Amazon</t>
        </is>
      </c>
      <c r="D3589" s="5" t="n">
        <v>1</v>
      </c>
      <c r="F3589" s="6" t="inlineStr">
        <is>
          <t>111-8827764-0000237</t>
        </is>
      </c>
      <c r="G3589" s="10" t="n"/>
      <c r="H3589" s="9" t="inlineStr">
        <is>
          <t>Boon Snug Silicone Sippy Cup Lids and Straws - Includes 3 Lids and 3 Straws - Convert Any Kids Cups or Toddler Cups into Straw Sippy Cups - Toddler Feeding Supplies and Travel Essentials - Green</t>
        </is>
      </c>
      <c r="I3589" s="9" t="n">
        <v>3</v>
      </c>
      <c r="J3589" s="9" t="inlineStr">
        <is>
          <t>cnt</t>
        </is>
      </c>
      <c r="K3589" s="9" t="n">
        <v>10.99</v>
      </c>
    </row>
    <row r="3590" ht="15" customFormat="1" customHeight="1" s="5">
      <c r="A3590" s="81" t="n">
        <v>45743</v>
      </c>
      <c r="B3590" s="82" t="n">
        <v>0.3465277777777778</v>
      </c>
      <c r="C3590" s="5" t="inlineStr">
        <is>
          <t>Amazon</t>
        </is>
      </c>
      <c r="D3590" s="5" t="n">
        <v>1</v>
      </c>
      <c r="F3590" s="6" t="inlineStr">
        <is>
          <t>111-8827764-0000237</t>
        </is>
      </c>
      <c r="G3590" s="10" t="n"/>
      <c r="H3590" s="9" t="inlineStr">
        <is>
          <t>Toy Straps for Baby,RTMOK Silicone Setpacifier Clip,Applies to Car</t>
        </is>
      </c>
      <c r="I3590" s="9" t="n">
        <v>4</v>
      </c>
      <c r="J3590" s="9" t="inlineStr">
        <is>
          <t>cnt</t>
        </is>
      </c>
      <c r="K3590" s="9" t="n">
        <v>6.79</v>
      </c>
    </row>
    <row r="3591" ht="15" customFormat="1" customHeight="1" s="5">
      <c r="A3591" s="81" t="n">
        <v>45743</v>
      </c>
      <c r="B3591" s="82" t="n">
        <v>0.3465277777777778</v>
      </c>
      <c r="C3591" s="5" t="inlineStr">
        <is>
          <t>Amazon</t>
        </is>
      </c>
      <c r="D3591" s="5" t="n">
        <v>1</v>
      </c>
      <c r="F3591" s="6" t="inlineStr">
        <is>
          <t>111-8827764-0000237</t>
        </is>
      </c>
      <c r="G3591" s="10" t="n"/>
      <c r="H3591" s="9" t="inlineStr">
        <is>
          <t>Tax</t>
        </is>
      </c>
      <c r="I3591" s="9" t="n">
        <v>3</v>
      </c>
      <c r="J3591" s="9" t="inlineStr">
        <is>
          <t>cnt</t>
        </is>
      </c>
      <c r="K3591" s="9" t="n">
        <v>2.46</v>
      </c>
    </row>
    <row r="3592" ht="15" customFormat="1" customHeight="1" s="5">
      <c r="A3592" s="81" t="n">
        <v>45742</v>
      </c>
      <c r="B3592" s="82" t="n">
        <v>0.5090277777777777</v>
      </c>
      <c r="C3592" s="5" t="inlineStr">
        <is>
          <t>Costco</t>
        </is>
      </c>
      <c r="E3592" s="5" t="n">
        <v>1</v>
      </c>
      <c r="F3592" s="6" t="inlineStr">
        <is>
          <t>439 207 54 707</t>
        </is>
      </c>
      <c r="G3592" s="15" t="inlineStr">
        <is>
          <t>4164501</t>
        </is>
      </c>
      <c r="H3592" s="9" t="inlineStr">
        <is>
          <t>KS Sparkling Water 35 x 12 fl oz cans</t>
        </is>
      </c>
      <c r="I3592" s="9" t="n">
        <v>420</v>
      </c>
      <c r="J3592" s="9" t="inlineStr">
        <is>
          <t>fl oz</t>
        </is>
      </c>
      <c r="K3592" s="9" t="inlineStr">
        <is>
          <t>11.49 A</t>
        </is>
      </c>
    </row>
    <row r="3593" ht="15" customFormat="1" customHeight="1" s="5">
      <c r="A3593" s="81" t="n">
        <v>45742</v>
      </c>
      <c r="B3593" s="82" t="n">
        <v>0.5090277777777777</v>
      </c>
      <c r="C3593" s="5" t="inlineStr">
        <is>
          <t>Costco</t>
        </is>
      </c>
      <c r="E3593" s="5" t="n">
        <v>1</v>
      </c>
      <c r="F3593" s="6" t="inlineStr">
        <is>
          <t>439 207 54 707</t>
        </is>
      </c>
      <c r="G3593" s="15" t="inlineStr">
        <is>
          <t>47735</t>
        </is>
      </c>
      <c r="H3593" s="9" t="inlineStr">
        <is>
          <t>BNLS/SL BRST chicken breasts Kirkland @$2.99/lb</t>
        </is>
      </c>
      <c r="I3593" s="9" t="n">
        <v>7.97</v>
      </c>
      <c r="J3593" s="9" t="inlineStr">
        <is>
          <t>lb</t>
        </is>
      </c>
      <c r="K3593" s="9" t="n">
        <v>23.83</v>
      </c>
    </row>
    <row r="3594" ht="15" customFormat="1" customHeight="1" s="5">
      <c r="A3594" s="81" t="n">
        <v>45742</v>
      </c>
      <c r="B3594" s="82" t="n">
        <v>0.5090277777777777</v>
      </c>
      <c r="C3594" s="5" t="inlineStr">
        <is>
          <t>Costco</t>
        </is>
      </c>
      <c r="E3594" s="5" t="n">
        <v>1</v>
      </c>
      <c r="F3594" s="6" t="inlineStr">
        <is>
          <t>439 207 54 707</t>
        </is>
      </c>
      <c r="G3594" s="15" t="inlineStr">
        <is>
          <t>36285</t>
        </is>
      </c>
      <c r="H3594" s="9" t="inlineStr">
        <is>
          <t>KS Walnuts</t>
        </is>
      </c>
      <c r="I3594" s="9" t="n">
        <v>3</v>
      </c>
      <c r="J3594" s="9" t="inlineStr">
        <is>
          <t>lb</t>
        </is>
      </c>
      <c r="K3594" s="9" t="n">
        <v>11.99</v>
      </c>
    </row>
    <row r="3595" ht="15" customFormat="1" customHeight="1" s="5">
      <c r="A3595" s="81" t="n">
        <v>45742</v>
      </c>
      <c r="B3595" s="82" t="n">
        <v>0.5090277777777777</v>
      </c>
      <c r="C3595" s="5" t="inlineStr">
        <is>
          <t>Costco</t>
        </is>
      </c>
      <c r="E3595" s="5" t="n">
        <v>1</v>
      </c>
      <c r="F3595" s="6" t="inlineStr">
        <is>
          <t>439 207 54 707</t>
        </is>
      </c>
      <c r="G3595" s="15" t="inlineStr">
        <is>
          <t>637598</t>
        </is>
      </c>
      <c r="H3595" s="9" t="inlineStr">
        <is>
          <t>KS Cage Free Grade AA Large 24 Eggs</t>
        </is>
      </c>
      <c r="I3595" s="9" t="n">
        <v>24</v>
      </c>
      <c r="J3595" s="9" t="inlineStr">
        <is>
          <t>cnt</t>
        </is>
      </c>
      <c r="K3595" s="9" t="n">
        <v>8.69</v>
      </c>
    </row>
    <row r="3596" ht="15" customFormat="1" customHeight="1" s="5">
      <c r="A3596" s="81" t="n">
        <v>45742</v>
      </c>
      <c r="B3596" s="82" t="n">
        <v>0.5090277777777777</v>
      </c>
      <c r="C3596" s="5" t="inlineStr">
        <is>
          <t>Costco</t>
        </is>
      </c>
      <c r="E3596" s="5" t="n">
        <v>1</v>
      </c>
      <c r="F3596" s="6" t="inlineStr">
        <is>
          <t>439 207 54 707</t>
        </is>
      </c>
      <c r="G3596" s="15" t="inlineStr">
        <is>
          <t>637598</t>
        </is>
      </c>
      <c r="H3596" s="9" t="inlineStr">
        <is>
          <t>KS Cage Free Grade AA Large 24 Eggs</t>
        </is>
      </c>
      <c r="I3596" s="9" t="n">
        <v>24</v>
      </c>
      <c r="J3596" s="9" t="inlineStr">
        <is>
          <t>cnt</t>
        </is>
      </c>
      <c r="K3596" s="9" t="n">
        <v>8.69</v>
      </c>
    </row>
    <row r="3597" ht="15" customFormat="1" customHeight="1" s="5">
      <c r="A3597" s="81" t="n">
        <v>45742</v>
      </c>
      <c r="B3597" s="82" t="n">
        <v>0.5090277777777777</v>
      </c>
      <c r="C3597" s="5" t="inlineStr">
        <is>
          <t>Costco</t>
        </is>
      </c>
      <c r="E3597" s="5" t="n">
        <v>1</v>
      </c>
      <c r="F3597" s="6" t="inlineStr">
        <is>
          <t>439 207 54 707</t>
        </is>
      </c>
      <c r="G3597" s="15" t="inlineStr">
        <is>
          <t>251813</t>
        </is>
      </c>
      <c r="H3597" s="9" t="inlineStr">
        <is>
          <t>KS Organic Garlic Powder</t>
        </is>
      </c>
      <c r="I3597" s="9" t="n">
        <v>18</v>
      </c>
      <c r="J3597" s="9" t="inlineStr">
        <is>
          <t>oz</t>
        </is>
      </c>
      <c r="K3597" s="9" t="n">
        <v>8.289999999999999</v>
      </c>
    </row>
    <row r="3598" ht="15" customFormat="1" customHeight="1" s="5">
      <c r="A3598" s="81" t="n">
        <v>45742</v>
      </c>
      <c r="B3598" s="82" t="n">
        <v>0.5090277777777777</v>
      </c>
      <c r="C3598" s="5" t="inlineStr">
        <is>
          <t>Costco</t>
        </is>
      </c>
      <c r="E3598" s="5" t="n">
        <v>1</v>
      </c>
      <c r="F3598" s="6" t="inlineStr">
        <is>
          <t>439 207 54 707</t>
        </is>
      </c>
      <c r="G3598" s="15" t="inlineStr">
        <is>
          <t>1335089</t>
        </is>
      </c>
      <c r="H3598" s="9" t="inlineStr">
        <is>
          <t>Bagels: 12 plain</t>
        </is>
      </c>
      <c r="I3598" s="9" t="n">
        <v>3</v>
      </c>
      <c r="J3598" s="9" t="inlineStr">
        <is>
          <t>lb</t>
        </is>
      </c>
      <c r="K3598" s="9" t="n">
        <v>7.99</v>
      </c>
    </row>
    <row r="3599" ht="15" customFormat="1" customHeight="1" s="5">
      <c r="A3599" s="81" t="n">
        <v>45742</v>
      </c>
      <c r="B3599" s="82" t="n">
        <v>0.5090277777777777</v>
      </c>
      <c r="C3599" s="5" t="inlineStr">
        <is>
          <t>Costco</t>
        </is>
      </c>
      <c r="E3599" s="5" t="n">
        <v>1</v>
      </c>
      <c r="F3599" s="6" t="inlineStr">
        <is>
          <t>439 207 54 707</t>
        </is>
      </c>
      <c r="G3599" s="15" t="inlineStr">
        <is>
          <t>1335089</t>
        </is>
      </c>
      <c r="H3599" s="9" t="inlineStr">
        <is>
          <t>Bagels: 6 french toast, 6 asiago cheese</t>
        </is>
      </c>
      <c r="I3599" s="9" t="n">
        <v>3</v>
      </c>
      <c r="J3599" s="9" t="inlineStr">
        <is>
          <t>lb</t>
        </is>
      </c>
      <c r="K3599" s="9" t="n">
        <v>7.99</v>
      </c>
    </row>
    <row r="3600" ht="15" customFormat="1" customHeight="1" s="5">
      <c r="A3600" s="81" t="n">
        <v>45742</v>
      </c>
      <c r="B3600" s="82" t="n">
        <v>0.5090277777777777</v>
      </c>
      <c r="C3600" s="5" t="inlineStr">
        <is>
          <t>Costco</t>
        </is>
      </c>
      <c r="E3600" s="5" t="n">
        <v>1</v>
      </c>
      <c r="F3600" s="6" t="inlineStr">
        <is>
          <t>439 207 54 707</t>
        </is>
      </c>
      <c r="G3600" s="15" t="inlineStr">
        <is>
          <t>1280819</t>
        </is>
      </c>
      <c r="H3600" s="9" t="inlineStr">
        <is>
          <t>Orgnaic Hummus Cups 20 x 2.5oz cups</t>
        </is>
      </c>
      <c r="I3600" s="9" t="n">
        <v>50</v>
      </c>
      <c r="J3600" s="9" t="inlineStr">
        <is>
          <t>oz</t>
        </is>
      </c>
      <c r="K3600" s="9" t="n">
        <v>7.89</v>
      </c>
    </row>
    <row r="3601" ht="15" customFormat="1" customHeight="1" s="5">
      <c r="A3601" s="81" t="n">
        <v>45742</v>
      </c>
      <c r="B3601" s="82" t="n">
        <v>0.5090277777777777</v>
      </c>
      <c r="C3601" s="5" t="inlineStr">
        <is>
          <t>Costco</t>
        </is>
      </c>
      <c r="E3601" s="5" t="n">
        <v>1</v>
      </c>
      <c r="F3601" s="6" t="inlineStr">
        <is>
          <t>439 207 54 707</t>
        </is>
      </c>
      <c r="G3601" s="15" t="inlineStr">
        <is>
          <t>1124845</t>
        </is>
      </c>
      <c r="H3601" s="9" t="inlineStr">
        <is>
          <t>KS Organic Cinnamon</t>
        </is>
      </c>
      <c r="I3601" s="9" t="n">
        <v>10.7</v>
      </c>
      <c r="J3601" s="9" t="inlineStr">
        <is>
          <t>oz</t>
        </is>
      </c>
      <c r="K3601" s="9" t="n">
        <v>4.99</v>
      </c>
    </row>
    <row r="3602" ht="15" customFormat="1" customHeight="1" s="5">
      <c r="A3602" s="81" t="n">
        <v>45742</v>
      </c>
      <c r="B3602" s="82" t="n">
        <v>0.5090277777777777</v>
      </c>
      <c r="C3602" s="5" t="inlineStr">
        <is>
          <t>Costco</t>
        </is>
      </c>
      <c r="E3602" s="5" t="n">
        <v>1</v>
      </c>
      <c r="F3602" s="6" t="inlineStr">
        <is>
          <t>439 207 54 707</t>
        </is>
      </c>
      <c r="G3602" s="15" t="inlineStr">
        <is>
          <t>7947</t>
        </is>
      </c>
      <c r="H3602" s="9" t="inlineStr">
        <is>
          <t>4LB Fuji Apples</t>
        </is>
      </c>
      <c r="I3602" s="9" t="n">
        <v>4</v>
      </c>
      <c r="J3602" s="9" t="inlineStr">
        <is>
          <t>lb</t>
        </is>
      </c>
      <c r="K3602" s="9" t="n">
        <v>4.89</v>
      </c>
    </row>
    <row r="3603" ht="15" customFormat="1" customHeight="1" s="5">
      <c r="A3603" s="81" t="n">
        <v>45742</v>
      </c>
      <c r="B3603" s="82" t="n">
        <v>0.5090277777777777</v>
      </c>
      <c r="C3603" s="5" t="inlineStr">
        <is>
          <t>Costco</t>
        </is>
      </c>
      <c r="E3603" s="5" t="n">
        <v>1</v>
      </c>
      <c r="F3603" s="6" t="inlineStr">
        <is>
          <t>439 207 54 707</t>
        </is>
      </c>
      <c r="G3603" s="15" t="inlineStr">
        <is>
          <t>7445</t>
        </is>
      </c>
      <c r="H3603" s="9" t="inlineStr">
        <is>
          <t>10lb Bakers Russet Potatoes</t>
        </is>
      </c>
      <c r="I3603" s="9" t="n">
        <v>10</v>
      </c>
      <c r="J3603" s="9" t="inlineStr">
        <is>
          <t>lb</t>
        </is>
      </c>
      <c r="K3603" s="9" t="n">
        <v>4.89</v>
      </c>
    </row>
    <row r="3604" ht="15" customFormat="1" customHeight="1" s="5">
      <c r="A3604" s="81" t="n">
        <v>45742</v>
      </c>
      <c r="B3604" s="82" t="n">
        <v>0.5090277777777777</v>
      </c>
      <c r="C3604" s="5" t="inlineStr">
        <is>
          <t>Costco</t>
        </is>
      </c>
      <c r="E3604" s="5" t="n">
        <v>1</v>
      </c>
      <c r="F3604" s="6" t="inlineStr">
        <is>
          <t>439 207 54 707</t>
        </is>
      </c>
      <c r="G3604" s="15" t="inlineStr">
        <is>
          <t>96716</t>
        </is>
      </c>
      <c r="H3604" s="9" t="inlineStr">
        <is>
          <t>Organic Spinach</t>
        </is>
      </c>
      <c r="I3604" s="9" t="n">
        <v>16</v>
      </c>
      <c r="J3604" s="9" t="inlineStr">
        <is>
          <t>oz</t>
        </is>
      </c>
      <c r="K3604" s="9" t="n">
        <v>3.89</v>
      </c>
    </row>
    <row r="3605" ht="15" customFormat="1" customHeight="1" s="5">
      <c r="A3605" s="81" t="n">
        <v>45742</v>
      </c>
      <c r="B3605" s="82" t="n">
        <v>0.5090277777777777</v>
      </c>
      <c r="C3605" s="5" t="inlineStr">
        <is>
          <t>Costco</t>
        </is>
      </c>
      <c r="E3605" s="5" t="n">
        <v>1</v>
      </c>
      <c r="F3605" s="6" t="inlineStr">
        <is>
          <t>439 207 54 707</t>
        </is>
      </c>
      <c r="G3605" s="15" t="inlineStr">
        <is>
          <t>96716</t>
        </is>
      </c>
      <c r="H3605" s="9" t="inlineStr">
        <is>
          <t>Organic Spinach</t>
        </is>
      </c>
      <c r="I3605" s="9" t="n">
        <v>16</v>
      </c>
      <c r="J3605" s="9" t="inlineStr">
        <is>
          <t>oz</t>
        </is>
      </c>
      <c r="K3605" s="9" t="n">
        <v>3.89</v>
      </c>
    </row>
    <row r="3606" ht="15" customFormat="1" customHeight="1" s="5">
      <c r="A3606" s="81" t="n">
        <v>45742</v>
      </c>
      <c r="B3606" s="82" t="n">
        <v>0.5090277777777777</v>
      </c>
      <c r="C3606" s="5" t="inlineStr">
        <is>
          <t>Costco</t>
        </is>
      </c>
      <c r="E3606" s="5" t="n">
        <v>1</v>
      </c>
      <c r="F3606" s="6" t="inlineStr">
        <is>
          <t>439 207 54 707</t>
        </is>
      </c>
      <c r="G3606" s="10" t="n"/>
      <c r="H3606" s="9" t="inlineStr">
        <is>
          <t>TAX A 8.000%</t>
        </is>
      </c>
      <c r="I3606" s="9" t="n">
        <v>420</v>
      </c>
      <c r="J3606" s="9" t="inlineStr">
        <is>
          <t>fl oz</t>
        </is>
      </c>
      <c r="K3606" s="9" t="n">
        <v>0.92</v>
      </c>
    </row>
    <row r="3607" ht="15" customFormat="1" customHeight="1" s="5">
      <c r="A3607" s="81" t="n">
        <v>45741</v>
      </c>
      <c r="B3607" s="82" t="n">
        <v>0.2916666666666667</v>
      </c>
      <c r="C3607" s="5" t="inlineStr">
        <is>
          <t>Xcel Energy</t>
        </is>
      </c>
      <c r="D3607" s="5" t="n">
        <v>1</v>
      </c>
      <c r="F3607" s="6" t="inlineStr">
        <is>
          <t>917567546_</t>
        </is>
      </c>
      <c r="G3607" s="10" t="n"/>
      <c r="H3607" s="9" t="inlineStr">
        <is>
          <t>Natural Gas 01/30/25 - 03/05/25</t>
        </is>
      </c>
      <c r="I3607" s="9" t="n">
        <v>46</v>
      </c>
      <c r="J3607" s="9" t="inlineStr">
        <is>
          <t>therms</t>
        </is>
      </c>
      <c r="K3607" s="9" t="n">
        <v>50.6</v>
      </c>
    </row>
    <row r="3608" ht="15" customFormat="1" customHeight="1" s="5">
      <c r="A3608" s="81" t="n">
        <v>45741</v>
      </c>
      <c r="B3608" s="82" t="n">
        <v>0.2916666666666667</v>
      </c>
      <c r="C3608" s="5" t="inlineStr">
        <is>
          <t>Xcel Energy</t>
        </is>
      </c>
      <c r="D3608" s="5" t="n">
        <v>1</v>
      </c>
      <c r="F3608" s="6" t="inlineStr">
        <is>
          <t>917567546_</t>
        </is>
      </c>
      <c r="G3608" s="10" t="n"/>
      <c r="H3608" s="9" t="inlineStr">
        <is>
          <t>Electricity 01/29/25 - 03/02/25</t>
        </is>
      </c>
      <c r="I3608" s="9" t="n">
        <v>288</v>
      </c>
      <c r="J3608" s="9" t="inlineStr">
        <is>
          <t>kWh</t>
        </is>
      </c>
      <c r="K3608" s="9" t="n">
        <v>47.46</v>
      </c>
    </row>
    <row r="3609" ht="15" customFormat="1" customHeight="1" s="5">
      <c r="A3609" s="81" t="n">
        <v>45741</v>
      </c>
      <c r="B3609" s="82" t="n">
        <v>0.2916666666666667</v>
      </c>
      <c r="C3609" s="5" t="inlineStr">
        <is>
          <t>Xcel Energy</t>
        </is>
      </c>
      <c r="D3609" s="5" t="n">
        <v>1</v>
      </c>
      <c r="F3609" s="6" t="inlineStr">
        <is>
          <t>917567546_</t>
        </is>
      </c>
      <c r="G3609" s="10" t="n"/>
      <c r="H3609" s="9" t="inlineStr">
        <is>
          <t>Sales Tax</t>
        </is>
      </c>
      <c r="I3609" s="9" t="n"/>
      <c r="J3609" s="9" t="n"/>
      <c r="K3609" s="9">
        <f>1.83+1.95</f>
        <v/>
      </c>
    </row>
    <row r="3610" ht="15" customFormat="1" customHeight="1" s="5">
      <c r="A3610" s="81" t="n">
        <v>45741</v>
      </c>
      <c r="B3610" s="82" t="n">
        <v>0.2916666666666667</v>
      </c>
      <c r="C3610" s="5" t="inlineStr">
        <is>
          <t>Xcel Energy</t>
        </is>
      </c>
      <c r="D3610" s="5" t="n">
        <v>1</v>
      </c>
      <c r="F3610" s="6" t="inlineStr">
        <is>
          <t>917567546_</t>
        </is>
      </c>
      <c r="G3610" s="10" t="n"/>
      <c r="H3610" s="9" t="inlineStr">
        <is>
          <t>Franchise Fee 3.00%</t>
        </is>
      </c>
      <c r="I3610" s="9" t="n"/>
      <c r="J3610" s="9" t="n"/>
      <c r="K3610" s="9">
        <f>1.42+1.52</f>
        <v/>
      </c>
    </row>
    <row r="3611" ht="15" customFormat="1" customHeight="1" s="5">
      <c r="A3611" s="81" t="n">
        <v>45739</v>
      </c>
      <c r="B3611" s="82" t="n">
        <v>0.5006944444444444</v>
      </c>
      <c r="C3611" s="5" t="inlineStr">
        <is>
          <t>Tastypot</t>
        </is>
      </c>
      <c r="E3611" s="5" t="n">
        <v>1</v>
      </c>
      <c r="F3611" s="6" t="inlineStr">
        <is>
          <t>#1005</t>
        </is>
      </c>
      <c r="G3611" s="10" t="n"/>
      <c r="H3611" s="9" t="inlineStr">
        <is>
          <t>Medium spice: Thai style hot pot (with veg broth to avoid onions)</t>
        </is>
      </c>
      <c r="I3611" s="9" t="n"/>
      <c r="J3611" s="9" t="n"/>
      <c r="K3611" s="9" t="n">
        <v>23</v>
      </c>
    </row>
    <row r="3612" ht="15" customFormat="1" customHeight="1" s="5">
      <c r="A3612" s="81" t="n">
        <v>45739</v>
      </c>
      <c r="B3612" s="82" t="n">
        <v>0.5006944444444444</v>
      </c>
      <c r="C3612" s="5" t="inlineStr">
        <is>
          <t>Tastypot</t>
        </is>
      </c>
      <c r="E3612" s="5" t="n">
        <v>1</v>
      </c>
      <c r="F3612" s="6" t="inlineStr">
        <is>
          <t>#1005</t>
        </is>
      </c>
      <c r="G3612" s="10" t="n"/>
      <c r="H3612" s="9" t="inlineStr">
        <is>
          <t>Tip</t>
        </is>
      </c>
      <c r="I3612" s="9" t="n"/>
      <c r="J3612" s="9" t="n"/>
      <c r="K3612" s="9" t="n">
        <v>4.08</v>
      </c>
    </row>
    <row r="3613" ht="15" customFormat="1" customHeight="1" s="5">
      <c r="A3613" s="81" t="n">
        <v>45739</v>
      </c>
      <c r="B3613" s="82" t="n">
        <v>0.5006944444444444</v>
      </c>
      <c r="C3613" s="5" t="inlineStr">
        <is>
          <t>Tastypot</t>
        </is>
      </c>
      <c r="E3613" s="5" t="n">
        <v>1</v>
      </c>
      <c r="F3613" s="6" t="inlineStr">
        <is>
          <t>#1005</t>
        </is>
      </c>
      <c r="G3613" s="10" t="n"/>
      <c r="H3613" s="9" t="inlineStr">
        <is>
          <t>Tax @8.000%</t>
        </is>
      </c>
      <c r="I3613" s="9" t="n"/>
      <c r="J3613" s="9" t="n"/>
      <c r="K3613" s="9" t="n">
        <v>1.92</v>
      </c>
    </row>
    <row r="3614" ht="15" customFormat="1" customHeight="1" s="5">
      <c r="A3614" s="81" t="n">
        <v>45739</v>
      </c>
      <c r="B3614" s="82" t="n">
        <v>0.5006944444444444</v>
      </c>
      <c r="C3614" s="5" t="inlineStr">
        <is>
          <t>Tastypot</t>
        </is>
      </c>
      <c r="E3614" s="5" t="n">
        <v>1</v>
      </c>
      <c r="F3614" s="6" t="inlineStr">
        <is>
          <t>#1005</t>
        </is>
      </c>
      <c r="G3614" s="10" t="n"/>
      <c r="H3614" s="9" t="inlineStr">
        <is>
          <t xml:space="preserve">Unexpected surcharge for "healthy veggie soup" </t>
        </is>
      </c>
      <c r="I3614" s="9" t="n"/>
      <c r="J3614" s="9" t="n"/>
      <c r="K3614" s="9" t="n">
        <v>1</v>
      </c>
    </row>
    <row r="3615" ht="15" customFormat="1" customHeight="1" s="5">
      <c r="A3615" s="81" t="n">
        <v>45739</v>
      </c>
      <c r="B3615" s="82" t="n">
        <v>0.4055555555555556</v>
      </c>
      <c r="C3615" s="5" t="inlineStr">
        <is>
          <t>House Denver</t>
        </is>
      </c>
      <c r="D3615" s="5" t="n">
        <v>1</v>
      </c>
      <c r="F3615" s="6" t="n"/>
      <c r="G3615" s="10" t="n"/>
      <c r="H3615" s="9" t="inlineStr">
        <is>
          <t>Bowling Night 1 Adult Monday 4/28</t>
        </is>
      </c>
      <c r="I3615" s="9" t="n">
        <v>1</v>
      </c>
      <c r="J3615" s="9" t="inlineStr">
        <is>
          <t>cnt</t>
        </is>
      </c>
      <c r="K3615" s="9" t="n">
        <v>7</v>
      </c>
    </row>
    <row r="3616" ht="15" customFormat="1" customHeight="1" s="5">
      <c r="A3616" s="81" t="n">
        <v>45738</v>
      </c>
      <c r="B3616" s="82" t="n">
        <v>0.8055555555555556</v>
      </c>
      <c r="C3616" s="5" t="inlineStr">
        <is>
          <t>Taco Bell</t>
        </is>
      </c>
      <c r="D3616" s="5" t="n">
        <v>1</v>
      </c>
      <c r="F3616" s="6" t="n"/>
      <c r="G3616" s="10" t="n"/>
      <c r="H3616" s="9" t="inlineStr">
        <is>
          <t>Luxe cravings: black bean Crunchwrap, beans and rice burrito, cinnamon twists, sparkling water</t>
        </is>
      </c>
      <c r="I3616" s="9" t="n"/>
      <c r="J3616" s="9" t="n"/>
      <c r="K3616" s="9" t="n">
        <v>5.99</v>
      </c>
    </row>
    <row r="3617" ht="15" customFormat="1" customHeight="1" s="5">
      <c r="A3617" s="81" t="n">
        <v>45738</v>
      </c>
      <c r="B3617" s="82" t="n">
        <v>0.8055555555555556</v>
      </c>
      <c r="C3617" s="5" t="inlineStr">
        <is>
          <t>Taco Bell</t>
        </is>
      </c>
      <c r="D3617" s="5" t="n">
        <v>1</v>
      </c>
      <c r="F3617" s="6" t="n"/>
      <c r="G3617" s="10" t="n"/>
      <c r="H3617" s="9" t="inlineStr">
        <is>
          <t xml:space="preserve">Luxe cravings: Crunchwrap, 5 layer burrito, cheesy potatoes, sparkling water </t>
        </is>
      </c>
      <c r="I3617" s="9" t="n"/>
      <c r="J3617" s="9" t="n"/>
      <c r="K3617" s="9" t="n">
        <v>5.99</v>
      </c>
    </row>
    <row r="3618" ht="15" customFormat="1" customHeight="1" s="5">
      <c r="A3618" s="81" t="n">
        <v>45738</v>
      </c>
      <c r="B3618" s="82" t="n">
        <v>0.8055555555555556</v>
      </c>
      <c r="C3618" s="5" t="inlineStr">
        <is>
          <t>Taco Bell</t>
        </is>
      </c>
      <c r="D3618" s="5" t="n">
        <v>1</v>
      </c>
      <c r="F3618" s="6" t="n"/>
      <c r="G3618" s="10" t="n"/>
      <c r="H3618" s="9" t="inlineStr">
        <is>
          <t>Loaded nachos, sub beef for black beans</t>
        </is>
      </c>
      <c r="I3618" s="9" t="n"/>
      <c r="J3618" s="9" t="n"/>
      <c r="K3618" s="9" t="n">
        <v>2.99</v>
      </c>
    </row>
    <row r="3619" ht="15" customFormat="1" customHeight="1" s="5">
      <c r="A3619" s="81" t="n">
        <v>45738</v>
      </c>
      <c r="B3619" s="82" t="n">
        <v>0.8055555555555556</v>
      </c>
      <c r="C3619" s="5" t="inlineStr">
        <is>
          <t>Taco Bell</t>
        </is>
      </c>
      <c r="D3619" s="5" t="n">
        <v>1</v>
      </c>
      <c r="F3619" s="6" t="n"/>
      <c r="G3619" s="10" t="n"/>
      <c r="H3619" s="9" t="inlineStr">
        <is>
          <t>Tax</t>
        </is>
      </c>
      <c r="I3619" s="9" t="n"/>
      <c r="J3619" s="9" t="n"/>
      <c r="K3619" s="9" t="n">
        <v>1.2</v>
      </c>
    </row>
    <row r="3620" ht="15" customFormat="1" customHeight="1" s="5">
      <c r="A3620" s="81" t="n">
        <v>45737</v>
      </c>
      <c r="B3620" s="82" t="n">
        <v>0.9173611111111111</v>
      </c>
      <c r="C3620" s="5" t="inlineStr">
        <is>
          <t>Xero</t>
        </is>
      </c>
      <c r="D3620" s="5" t="n">
        <v>1</v>
      </c>
      <c r="F3620" s="6" t="inlineStr">
        <is>
          <t>7681306</t>
        </is>
      </c>
      <c r="G3620" s="10" t="n"/>
      <c r="H3620" s="9" t="inlineStr">
        <is>
          <t>HFS II - Men; Style: Asphalt / Alloy; Men's Size: 10</t>
        </is>
      </c>
      <c r="I3620" s="9" t="n">
        <v>1</v>
      </c>
      <c r="J3620" s="9" t="inlineStr">
        <is>
          <t>cnt</t>
        </is>
      </c>
      <c r="K3620" s="9" t="n">
        <v>59.99</v>
      </c>
    </row>
    <row r="3621" ht="15" customFormat="1" customHeight="1" s="5">
      <c r="A3621" s="81" t="n">
        <v>45737</v>
      </c>
      <c r="B3621" s="82" t="n">
        <v>0.9173611111111111</v>
      </c>
      <c r="C3621" s="5" t="inlineStr">
        <is>
          <t>Xero</t>
        </is>
      </c>
      <c r="D3621" s="5" t="n">
        <v>1</v>
      </c>
      <c r="F3621" s="6" t="inlineStr">
        <is>
          <t>7681306</t>
        </is>
      </c>
      <c r="G3621" s="10" t="n"/>
      <c r="H3621" s="9" t="inlineStr">
        <is>
          <t>Shipping  Flat Rate - UPS SurePost (est. 5-10 business days)</t>
        </is>
      </c>
      <c r="I3621" s="9" t="n"/>
      <c r="J3621" s="9" t="n"/>
      <c r="K3621" s="9" t="n">
        <v>4.99</v>
      </c>
    </row>
    <row r="3622" ht="15" customFormat="1" customHeight="1" s="5">
      <c r="A3622" s="81" t="n">
        <v>45737</v>
      </c>
      <c r="B3622" s="82" t="n">
        <v>0.9173611111111111</v>
      </c>
      <c r="C3622" s="5" t="inlineStr">
        <is>
          <t>Xero</t>
        </is>
      </c>
      <c r="D3622" s="5" t="n">
        <v>1</v>
      </c>
      <c r="F3622" s="6" t="inlineStr">
        <is>
          <t>7681306</t>
        </is>
      </c>
      <c r="G3622" s="10" t="n"/>
      <c r="H3622" s="9" t="inlineStr">
        <is>
          <t>Tax</t>
        </is>
      </c>
      <c r="I3622" s="9" t="n"/>
      <c r="J3622" s="9" t="n"/>
      <c r="K3622" s="9" t="n">
        <v>3.04</v>
      </c>
    </row>
    <row r="3623" ht="15" customFormat="1" customHeight="1" s="5">
      <c r="A3623" s="81" t="n">
        <v>45736</v>
      </c>
      <c r="B3623" s="82" t="n">
        <v>0.71875</v>
      </c>
      <c r="C3623" s="5" t="inlineStr">
        <is>
          <t>Aurora Water</t>
        </is>
      </c>
      <c r="D3623" s="5" t="n">
        <v>1</v>
      </c>
      <c r="F3623" s="6" t="inlineStr">
        <is>
          <t>0002788018</t>
        </is>
      </c>
      <c r="G3623" s="10" t="n"/>
      <c r="H3623" s="9" t="inlineStr">
        <is>
          <t>First 5K GAL @$5.63/KGal</t>
        </is>
      </c>
      <c r="I3623" s="9" t="n">
        <v>3</v>
      </c>
      <c r="J3623" s="9" t="inlineStr">
        <is>
          <t>KGal</t>
        </is>
      </c>
      <c r="K3623" s="9" t="n">
        <v>16.89</v>
      </c>
    </row>
    <row r="3624" ht="15" customFormat="1" customHeight="1" s="5">
      <c r="A3624" s="81" t="n">
        <v>45736</v>
      </c>
      <c r="B3624" s="82" t="n">
        <v>0.71875</v>
      </c>
      <c r="C3624" s="5" t="inlineStr">
        <is>
          <t>Aurora Water</t>
        </is>
      </c>
      <c r="D3624" s="5" t="n">
        <v>1</v>
      </c>
      <c r="F3624" s="6" t="inlineStr">
        <is>
          <t>0002788018</t>
        </is>
      </c>
      <c r="G3624" s="10" t="n"/>
      <c r="H3624" s="9" t="inlineStr">
        <is>
          <t>Water Monthly Svc Chg</t>
        </is>
      </c>
      <c r="I3624" s="9" t="n"/>
      <c r="J3624" s="9" t="n"/>
      <c r="K3624" s="9" t="n">
        <v>14.94</v>
      </c>
    </row>
    <row r="3625" ht="15" customFormat="1" customHeight="1" s="5">
      <c r="A3625" s="81" t="n">
        <v>45736</v>
      </c>
      <c r="B3625" s="82" t="n">
        <v>0.71875</v>
      </c>
      <c r="C3625" s="5" t="inlineStr">
        <is>
          <t>Aurora Water</t>
        </is>
      </c>
      <c r="D3625" s="5" t="n">
        <v>1</v>
      </c>
      <c r="F3625" s="6" t="inlineStr">
        <is>
          <t>0002788018</t>
        </is>
      </c>
      <c r="G3625" s="10" t="n"/>
      <c r="H3625" s="9" t="inlineStr">
        <is>
          <t>Storm Drain Base</t>
        </is>
      </c>
      <c r="I3625" s="9" t="n"/>
      <c r="J3625" s="9" t="n"/>
      <c r="K3625" s="9" t="n">
        <v>11.6</v>
      </c>
    </row>
    <row r="3626" ht="15" customFormat="1" customHeight="1" s="5">
      <c r="A3626" s="81" t="n">
        <v>45736</v>
      </c>
      <c r="B3626" s="82" t="n">
        <v>0.71875</v>
      </c>
      <c r="C3626" s="5" t="inlineStr">
        <is>
          <t>Aurora Water</t>
        </is>
      </c>
      <c r="D3626" s="5" t="n">
        <v>1</v>
      </c>
      <c r="F3626" s="6" t="inlineStr">
        <is>
          <t>0002788018</t>
        </is>
      </c>
      <c r="G3626" s="10" t="n"/>
      <c r="H3626" s="9" t="inlineStr">
        <is>
          <t>Sewer Usage Chg @$5.06/Kgal</t>
        </is>
      </c>
      <c r="I3626" s="9" t="n">
        <v>1.67</v>
      </c>
      <c r="J3626" s="9" t="inlineStr">
        <is>
          <t>KGal</t>
        </is>
      </c>
      <c r="K3626" s="9" t="n">
        <v>8.449999999999999</v>
      </c>
    </row>
    <row r="3627" ht="15" customFormat="1" customHeight="1" s="5">
      <c r="A3627" s="81" t="n">
        <v>45736</v>
      </c>
      <c r="B3627" s="82" t="n">
        <v>0.71875</v>
      </c>
      <c r="C3627" s="5" t="inlineStr">
        <is>
          <t>Aurora Water</t>
        </is>
      </c>
      <c r="D3627" s="5" t="n">
        <v>1</v>
      </c>
      <c r="F3627" s="6" t="inlineStr">
        <is>
          <t>0002788018</t>
        </is>
      </c>
      <c r="G3627" s="10" t="n"/>
      <c r="H3627" s="9" t="inlineStr">
        <is>
          <t>Sewer Monthly Svc Chg</t>
        </is>
      </c>
      <c r="I3627" s="9" t="n"/>
      <c r="J3627" s="9" t="n"/>
      <c r="K3627" s="9" t="n">
        <v>5.51</v>
      </c>
    </row>
    <row r="3628" ht="15" customFormat="1" customHeight="1" s="5">
      <c r="A3628" s="81" t="n">
        <v>45736</v>
      </c>
      <c r="B3628" s="82" t="n">
        <v>0.2916666666666667</v>
      </c>
      <c r="C3628" s="5" t="inlineStr">
        <is>
          <t>US Tax Witholding</t>
        </is>
      </c>
      <c r="D3628" s="5" t="n">
        <v>1</v>
      </c>
      <c r="F3628" s="6" t="inlineStr">
        <is>
          <t>RTX_Paycheck_25_33</t>
        </is>
      </c>
      <c r="G3628" s="7" t="n"/>
      <c r="H3628" s="9" t="inlineStr">
        <is>
          <t>Social Security Tax</t>
        </is>
      </c>
      <c r="I3628" s="9" t="n"/>
      <c r="J3628" s="9" t="n"/>
      <c r="K3628" s="9" t="n">
        <v>227.35</v>
      </c>
    </row>
    <row r="3629" ht="15" customFormat="1" customHeight="1" s="5">
      <c r="A3629" s="81" t="n">
        <v>45736</v>
      </c>
      <c r="B3629" s="82" t="n">
        <v>0.2916666666666667</v>
      </c>
      <c r="C3629" s="5" t="inlineStr">
        <is>
          <t>US Tax Witholding</t>
        </is>
      </c>
      <c r="D3629" s="5" t="n">
        <v>1</v>
      </c>
      <c r="F3629" s="6" t="inlineStr">
        <is>
          <t>RTX_Paycheck_25_33</t>
        </is>
      </c>
      <c r="G3629" s="7" t="n"/>
      <c r="H3629" s="9" t="inlineStr">
        <is>
          <t>Medicare Tax</t>
        </is>
      </c>
      <c r="I3629" s="9" t="n"/>
      <c r="J3629" s="9" t="n"/>
      <c r="K3629" s="9" t="n">
        <v>53.17</v>
      </c>
    </row>
    <row r="3630" ht="15" customFormat="1" customHeight="1" s="5">
      <c r="A3630" s="81" t="n">
        <v>45736</v>
      </c>
      <c r="B3630" s="82" t="n">
        <v>0.2916666666666667</v>
      </c>
      <c r="C3630" s="5" t="inlineStr">
        <is>
          <t>Raytheon</t>
        </is>
      </c>
      <c r="D3630" s="5" t="n">
        <v>1</v>
      </c>
      <c r="F3630" s="6" t="inlineStr">
        <is>
          <t>RTX_Paycheck_25_33</t>
        </is>
      </c>
      <c r="G3630" s="17" t="inlineStr">
        <is>
          <t>XXXX3523</t>
        </is>
      </c>
      <c r="H3630" s="9" t="inlineStr">
        <is>
          <t>Net Paycheck [Mar 01 - Mar 14]</t>
        </is>
      </c>
      <c r="I3630" s="9" t="n"/>
      <c r="J3630" s="9" t="n"/>
      <c r="K3630" s="9" t="n">
        <v>2982.93</v>
      </c>
    </row>
    <row r="3631" ht="15" customFormat="1" customHeight="1" s="5">
      <c r="A3631" s="81" t="n">
        <v>45736</v>
      </c>
      <c r="B3631" s="82" t="n">
        <v>0.2916666666666667</v>
      </c>
      <c r="C3631" s="5" t="inlineStr">
        <is>
          <t>Raytheon</t>
        </is>
      </c>
      <c r="D3631" s="5" t="n">
        <v>1</v>
      </c>
      <c r="F3631" s="6" t="inlineStr">
        <is>
          <t>RTX_Paycheck_25_33</t>
        </is>
      </c>
      <c r="G3631" s="7" t="n"/>
      <c r="H3631" s="9" t="inlineStr">
        <is>
          <t>RTX Direct Deposit -- cancelling offset</t>
        </is>
      </c>
      <c r="I3631" s="9" t="n"/>
      <c r="J3631" s="9" t="n"/>
      <c r="K3631" s="9" t="n">
        <v>-2982.94</v>
      </c>
    </row>
    <row r="3632" ht="15" customFormat="1" customHeight="1" s="5">
      <c r="A3632" s="81" t="n">
        <v>45736</v>
      </c>
      <c r="B3632" s="82" t="n">
        <v>0.2916666666666667</v>
      </c>
      <c r="C3632" s="5" t="inlineStr">
        <is>
          <t>Raytheon</t>
        </is>
      </c>
      <c r="D3632" s="5" t="n">
        <v>1</v>
      </c>
      <c r="F3632" s="6" t="inlineStr">
        <is>
          <t>RTX_Paycheck_25_33</t>
        </is>
      </c>
      <c r="G3632" s="7" t="n"/>
      <c r="H3632" s="9" t="inlineStr">
        <is>
          <t>Gross Paycheck [Mar 01 - Mar 14]</t>
        </is>
      </c>
      <c r="I3632" s="9" t="n"/>
      <c r="J3632" s="9" t="n"/>
      <c r="K3632" s="9" t="n">
        <v>-4040.94</v>
      </c>
    </row>
    <row r="3633" ht="15" customFormat="1" customHeight="1" s="5">
      <c r="A3633" s="81" t="n">
        <v>45736</v>
      </c>
      <c r="B3633" s="82" t="n">
        <v>0.2916666666666667</v>
      </c>
      <c r="C3633" s="5" t="inlineStr">
        <is>
          <t>Parents Gift Account</t>
        </is>
      </c>
      <c r="D3633" s="5" t="n">
        <v>1</v>
      </c>
      <c r="F3633" s="6" t="inlineStr">
        <is>
          <t>RTX_Paycheck_25_33</t>
        </is>
      </c>
      <c r="G3633" s="17" t="inlineStr">
        <is>
          <t>XXXX7146</t>
        </is>
      </c>
      <c r="H3633" s="9" t="inlineStr">
        <is>
          <t>Contribution to Parents Gift Account</t>
        </is>
      </c>
      <c r="I3633" s="9" t="n"/>
      <c r="J3633" s="9" t="n"/>
      <c r="K3633" s="9" t="n">
        <v>0.01</v>
      </c>
    </row>
    <row r="3634" ht="15" customFormat="1" customHeight="1" s="5">
      <c r="A3634" s="81" t="n">
        <v>45736</v>
      </c>
      <c r="B3634" s="82" t="n">
        <v>0.2916666666666667</v>
      </c>
      <c r="C3634" s="5" t="inlineStr">
        <is>
          <t>HSA</t>
        </is>
      </c>
      <c r="D3634" s="5" t="n">
        <v>1</v>
      </c>
      <c r="F3634" s="6" t="inlineStr">
        <is>
          <t>RTX_Paycheck_25_33</t>
        </is>
      </c>
      <c r="G3634" s="7" t="n"/>
      <c r="H3634" s="9" t="inlineStr">
        <is>
          <t>Personal contribution to HSA</t>
        </is>
      </c>
      <c r="I3634" s="9" t="n"/>
      <c r="J3634" s="9" t="n"/>
      <c r="K3634" s="9" t="n">
        <v>239.93</v>
      </c>
    </row>
    <row r="3635" ht="15" customFormat="1" customHeight="1" s="5">
      <c r="A3635" s="81" t="n">
        <v>45736</v>
      </c>
      <c r="B3635" s="82" t="n">
        <v>0.2916666666666667</v>
      </c>
      <c r="C3635" s="5" t="inlineStr">
        <is>
          <t>Delta Dental</t>
        </is>
      </c>
      <c r="D3635" s="5" t="n">
        <v>1</v>
      </c>
      <c r="F3635" s="6" t="inlineStr">
        <is>
          <t>RTX_Paycheck_25_33</t>
        </is>
      </c>
      <c r="G3635" s="10" t="n"/>
      <c r="H3635" s="9" t="inlineStr">
        <is>
          <t>Dental Insurance</t>
        </is>
      </c>
      <c r="I3635" s="9" t="n"/>
      <c r="J3635" s="9" t="n"/>
      <c r="K3635" s="9" t="n">
        <v>4.26</v>
      </c>
    </row>
    <row r="3636" ht="15" customFormat="1" customHeight="1" s="5">
      <c r="A3636" s="81" t="n">
        <v>45736</v>
      </c>
      <c r="B3636" s="82" t="n">
        <v>0.2916666666666667</v>
      </c>
      <c r="C3636" s="5" t="inlineStr">
        <is>
          <t>CO Tax Witholding</t>
        </is>
      </c>
      <c r="D3636" s="5" t="n">
        <v>1</v>
      </c>
      <c r="F3636" s="6" t="inlineStr">
        <is>
          <t>RTX_Paycheck_25_33</t>
        </is>
      </c>
      <c r="G3636" s="7" t="n"/>
      <c r="H3636" s="9" t="inlineStr">
        <is>
          <t>CO State Income Tax</t>
        </is>
      </c>
      <c r="I3636" s="9" t="n"/>
      <c r="J3636" s="9" t="n"/>
      <c r="K3636" s="9" t="n">
        <v>135.47</v>
      </c>
    </row>
    <row r="3637" ht="15" customFormat="1" customHeight="1" s="5">
      <c r="A3637" s="81" t="n">
        <v>45736</v>
      </c>
      <c r="B3637" s="82" t="n">
        <v>0.2916666666666667</v>
      </c>
      <c r="C3637" s="5" t="inlineStr">
        <is>
          <t>CO Tax Witholding</t>
        </is>
      </c>
      <c r="D3637" s="5" t="n">
        <v>1</v>
      </c>
      <c r="F3637" s="6" t="inlineStr">
        <is>
          <t>RTX_Paycheck_25_33</t>
        </is>
      </c>
      <c r="G3637" s="7" t="n"/>
      <c r="H3637" s="9" t="inlineStr">
        <is>
          <t>CO Paid Family Leave Insurance</t>
        </is>
      </c>
      <c r="I3637" s="9" t="n"/>
      <c r="J3637" s="9" t="n"/>
      <c r="K3637" s="9" t="n">
        <v>18.18</v>
      </c>
    </row>
    <row r="3638" ht="15" customFormat="1" customHeight="1" s="5">
      <c r="A3638" s="81" t="n">
        <v>45736</v>
      </c>
      <c r="B3638" s="82" t="n">
        <v>0.2916666666666667</v>
      </c>
      <c r="C3638" s="5" t="inlineStr">
        <is>
          <t>CO Tax Witholding</t>
        </is>
      </c>
      <c r="D3638" s="5" t="n">
        <v>1</v>
      </c>
      <c r="F3638" s="6" t="inlineStr">
        <is>
          <t>RTX_Paycheck_25_33</t>
        </is>
      </c>
      <c r="G3638" s="7" t="n"/>
      <c r="H3638" s="9" t="inlineStr">
        <is>
          <t xml:space="preserve">"POSTAX INS MRSH" ? </t>
        </is>
      </c>
      <c r="I3638" s="9" t="n"/>
      <c r="J3638" s="9" t="n"/>
      <c r="K3638" s="9" t="n">
        <v>5.9</v>
      </c>
    </row>
    <row r="3639" ht="15" customFormat="1" customHeight="1" s="5">
      <c r="A3639" s="81" t="n">
        <v>45736</v>
      </c>
      <c r="B3639" s="82" t="n">
        <v>0.2916666666666667</v>
      </c>
      <c r="C3639" s="5" t="inlineStr">
        <is>
          <t>Anthem BcBs</t>
        </is>
      </c>
      <c r="D3639" s="5" t="n">
        <v>1</v>
      </c>
      <c r="F3639" s="6" t="inlineStr">
        <is>
          <t>RTX_Paycheck_25_33</t>
        </is>
      </c>
      <c r="G3639" s="7" t="n"/>
      <c r="H3639" s="9" t="inlineStr">
        <is>
          <t>Medical Insurance</t>
        </is>
      </c>
      <c r="I3639" s="9" t="n"/>
      <c r="J3639" s="9" t="n"/>
      <c r="K3639" s="9" t="n">
        <v>131.28</v>
      </c>
    </row>
    <row r="3640" ht="15" customFormat="1" customHeight="1" s="5">
      <c r="A3640" s="81" t="n">
        <v>45736</v>
      </c>
      <c r="B3640" s="82" t="n">
        <v>0.2916666666666667</v>
      </c>
      <c r="C3640" s="5" t="inlineStr">
        <is>
          <t>Alight</t>
        </is>
      </c>
      <c r="D3640" s="5" t="n">
        <v>1</v>
      </c>
      <c r="F3640" s="6" t="inlineStr">
        <is>
          <t>RTX_Paycheck_25_33</t>
        </is>
      </c>
      <c r="G3640" s="7" t="n"/>
      <c r="H3640" s="9" t="inlineStr">
        <is>
          <t>401k Basic -- Traditional</t>
        </is>
      </c>
      <c r="I3640" s="9" t="n"/>
      <c r="J3640" s="9" t="n"/>
      <c r="K3640" s="9" t="n">
        <v>202.05</v>
      </c>
    </row>
    <row r="3641" ht="15" customFormat="1" customHeight="1" s="5">
      <c r="A3641" s="81" t="n">
        <v>45736</v>
      </c>
      <c r="B3641" s="82" t="n">
        <v>0.2916666666666667</v>
      </c>
      <c r="C3641" s="5" t="inlineStr">
        <is>
          <t>Alight</t>
        </is>
      </c>
      <c r="D3641" s="5" t="n">
        <v>1</v>
      </c>
      <c r="F3641" s="6" t="inlineStr">
        <is>
          <t>RTX_Paycheck_25_33</t>
        </is>
      </c>
      <c r="G3641" s="7" t="n"/>
      <c r="H3641" s="9" t="inlineStr">
        <is>
          <t>Roth 401k Basic</t>
        </is>
      </c>
      <c r="I3641" s="9" t="n"/>
      <c r="J3641" s="9" t="n"/>
      <c r="K3641" s="9" t="n">
        <v>40.41</v>
      </c>
    </row>
    <row r="3642" ht="15" customFormat="1" customHeight="1" s="5">
      <c r="A3642" s="81" t="n">
        <v>45736</v>
      </c>
      <c r="B3642" s="82" t="n">
        <v>0.1833333333333333</v>
      </c>
      <c r="C3642" s="5" t="inlineStr">
        <is>
          <t>Amazon</t>
        </is>
      </c>
      <c r="D3642" s="5" t="n">
        <v>1</v>
      </c>
      <c r="F3642" s="6" t="inlineStr">
        <is>
          <t>111-2384118-6920226</t>
        </is>
      </c>
      <c r="G3642" s="10" t="n"/>
      <c r="H3642" s="9" t="inlineStr">
        <is>
          <t>Gritin 16 LED Rechargeable Book Light for Reading in Bed- Eye Caring 3 Color Temperatures, Stepless Dimming Brightness, 80 Hrs Runtime, Lightweight Flexible Clip on Light for Book Lovers
Sold by: Blufits Sports Limited</t>
        </is>
      </c>
      <c r="I3642" s="9" t="n">
        <v>1</v>
      </c>
      <c r="J3642" s="9" t="inlineStr">
        <is>
          <t>cnt</t>
        </is>
      </c>
      <c r="K3642" s="9" t="n">
        <v>7.64</v>
      </c>
    </row>
    <row r="3643" ht="15" customFormat="1" customHeight="1" s="5">
      <c r="A3643" s="81" t="n">
        <v>45736</v>
      </c>
      <c r="B3643" s="82" t="n">
        <v>0.1833333333333333</v>
      </c>
      <c r="C3643" s="5" t="inlineStr">
        <is>
          <t>Amazon</t>
        </is>
      </c>
      <c r="D3643" s="5" t="n">
        <v>1</v>
      </c>
      <c r="F3643" s="6" t="inlineStr">
        <is>
          <t>111-2384118-6920226</t>
        </is>
      </c>
      <c r="G3643" s="10" t="n"/>
      <c r="H3643" s="9" t="inlineStr">
        <is>
          <t>Tax</t>
        </is>
      </c>
      <c r="I3643" s="9" t="n">
        <v>1</v>
      </c>
      <c r="J3643" s="9" t="inlineStr">
        <is>
          <t>cnt</t>
        </is>
      </c>
      <c r="K3643" s="9" t="n">
        <v>0.61</v>
      </c>
    </row>
    <row r="3644" ht="15" customFormat="1" customHeight="1" s="5">
      <c r="A3644" s="81" t="n">
        <v>45735</v>
      </c>
      <c r="B3644" s="82" t="n">
        <v>0.4958333333333333</v>
      </c>
      <c r="C3644" s="5" t="inlineStr">
        <is>
          <t>Goodwill</t>
        </is>
      </c>
      <c r="E3644" s="5" t="n">
        <v>1</v>
      </c>
      <c r="F3644" s="16" t="n">
        <v>360012353</v>
      </c>
      <c r="G3644" s="10" t="n"/>
      <c r="H3644" s="9" t="inlineStr">
        <is>
          <t>**REFUNDED** Tax</t>
        </is>
      </c>
      <c r="I3644" s="9" t="n">
        <v>1</v>
      </c>
      <c r="J3644" s="9" t="inlineStr">
        <is>
          <t>cnt</t>
        </is>
      </c>
      <c r="K3644" s="9" t="n">
        <v>-1.46</v>
      </c>
    </row>
    <row r="3645" ht="15" customFormat="1" customHeight="1" s="5">
      <c r="A3645" s="81" t="n">
        <v>45735</v>
      </c>
      <c r="B3645" s="82" t="n">
        <v>0.4958333333333333</v>
      </c>
      <c r="C3645" s="5" t="inlineStr">
        <is>
          <t>Goodwill</t>
        </is>
      </c>
      <c r="E3645" s="5" t="n">
        <v>1</v>
      </c>
      <c r="F3645" s="16" t="n">
        <v>360012353</v>
      </c>
      <c r="G3645" s="10" t="n"/>
      <c r="H3645" s="9" t="inlineStr">
        <is>
          <t>**RETURNED** Ladies Textiles: White Sheer Shawl</t>
        </is>
      </c>
      <c r="I3645" s="9" t="n">
        <v>1</v>
      </c>
      <c r="J3645" s="9" t="inlineStr">
        <is>
          <t>cnt</t>
        </is>
      </c>
      <c r="K3645" s="9" t="n">
        <v>-6.99</v>
      </c>
    </row>
    <row r="3646" ht="15" customFormat="1" customHeight="1" s="5">
      <c r="A3646" s="81" t="n">
        <v>45735</v>
      </c>
      <c r="B3646" s="82" t="n">
        <v>0.4958333333333333</v>
      </c>
      <c r="C3646" s="5" t="inlineStr">
        <is>
          <t>Goodwill</t>
        </is>
      </c>
      <c r="E3646" s="5" t="n">
        <v>1</v>
      </c>
      <c r="F3646" s="16" t="n">
        <v>360012353</v>
      </c>
      <c r="G3646" s="10" t="n"/>
      <c r="H3646" s="9" t="inlineStr">
        <is>
          <t>**RETURNED** Ladies Textiles: Dress with slight stain</t>
        </is>
      </c>
      <c r="I3646" s="9" t="n">
        <v>1</v>
      </c>
      <c r="J3646" s="9" t="inlineStr">
        <is>
          <t>cnt</t>
        </is>
      </c>
      <c r="K3646" s="9" t="n">
        <v>-8.99</v>
      </c>
    </row>
    <row r="3647" ht="15" customFormat="1" customHeight="1" s="5">
      <c r="A3647" s="81" t="n">
        <v>45735</v>
      </c>
      <c r="B3647" s="82" t="n">
        <v>0.4840277777777778</v>
      </c>
      <c r="C3647" s="5" t="inlineStr">
        <is>
          <t>Silver Star Dry Cleaners</t>
        </is>
      </c>
      <c r="E3647" s="5" t="n">
        <v>1</v>
      </c>
      <c r="F3647" s="6" t="inlineStr">
        <is>
          <t>#7 #0</t>
        </is>
      </c>
      <c r="G3647" s="10" t="n"/>
      <c r="H3647" s="9" t="inlineStr">
        <is>
          <t>3-piece suit + lavendar dress shirt</t>
        </is>
      </c>
      <c r="I3647" s="9" t="n"/>
      <c r="J3647" s="9" t="n"/>
      <c r="K3647" s="9" t="n">
        <v>19.95</v>
      </c>
    </row>
    <row r="3648" ht="15" customFormat="1" customHeight="1" s="5">
      <c r="A3648" s="81" t="n">
        <v>45735</v>
      </c>
      <c r="B3648" s="82" t="n">
        <v>0.4840277777777778</v>
      </c>
      <c r="C3648" s="5" t="inlineStr">
        <is>
          <t>Silver Star Dry Cleaners</t>
        </is>
      </c>
      <c r="E3648" s="5" t="n">
        <v>1</v>
      </c>
      <c r="F3648" s="6" t="inlineStr">
        <is>
          <t>#7 #0</t>
        </is>
      </c>
      <c r="G3648" s="10" t="n"/>
      <c r="H3648" s="9" t="inlineStr">
        <is>
          <t>Credit card transaction fee "3%", didn't mention beforehand</t>
        </is>
      </c>
      <c r="I3648" s="9" t="n"/>
      <c r="J3648" s="9" t="n"/>
      <c r="K3648" s="9" t="n">
        <v>0.8</v>
      </c>
    </row>
    <row r="3649" ht="15" customFormat="1" customHeight="1" s="5">
      <c r="A3649" s="81" t="n">
        <v>45734</v>
      </c>
      <c r="B3649" s="82" t="n">
        <v>0.2916666666666667</v>
      </c>
      <c r="C3649" s="5" t="inlineStr">
        <is>
          <t>CDLE FAMLI</t>
        </is>
      </c>
      <c r="D3649" s="5" t="n">
        <v>1</v>
      </c>
      <c r="F3649" s="6" t="inlineStr">
        <is>
          <t>NA_Fam5</t>
        </is>
      </c>
      <c r="G3649" s="10" t="n"/>
      <c r="H3649" s="9" t="inlineStr">
        <is>
          <t>RTX ELI Deposit CDLE FAMLI_2 Benefits</t>
        </is>
      </c>
      <c r="I3649" s="9" t="n"/>
      <c r="J3649" s="9" t="n"/>
      <c r="K3649" s="9" t="n">
        <v>-1324.21</v>
      </c>
    </row>
    <row r="3650" ht="15" customFormat="1" customHeight="1" s="5">
      <c r="A3650" s="81" t="n">
        <v>45734</v>
      </c>
      <c r="B3650" s="82" t="n">
        <v>0.2916666666666667</v>
      </c>
      <c r="C3650" s="5" t="inlineStr">
        <is>
          <t>CDLE FAMLI</t>
        </is>
      </c>
      <c r="D3650" s="5" t="n">
        <v>1</v>
      </c>
      <c r="F3650" s="6" t="inlineStr">
        <is>
          <t>NA_Fam6</t>
        </is>
      </c>
      <c r="G3650" s="10" t="n"/>
      <c r="H3650" s="9" t="inlineStr">
        <is>
          <t>RTX ELI Deposit CDLE FAMLI_2 Benefits</t>
        </is>
      </c>
      <c r="I3650" s="9" t="n"/>
      <c r="J3650" s="9" t="n"/>
      <c r="K3650" s="9" t="n">
        <v>-1324.21</v>
      </c>
    </row>
    <row r="3651" ht="15" customFormat="1" customHeight="1" s="5">
      <c r="A3651" s="81" t="n">
        <v>45733</v>
      </c>
      <c r="B3651" s="82" t="n">
        <v>0.6493055555555556</v>
      </c>
      <c r="C3651" s="5" t="inlineStr">
        <is>
          <t>YMCA</t>
        </is>
      </c>
      <c r="D3651" s="5" t="n">
        <v>1</v>
      </c>
      <c r="F3651" s="6" t="inlineStr">
        <is>
          <t>24207175</t>
        </is>
      </c>
      <c r="G3651" s="10" t="n"/>
      <c r="H3651" s="9" t="inlineStr">
        <is>
          <t>YMCA charge for this month (usually $65)</t>
        </is>
      </c>
      <c r="I3651" s="9" t="n"/>
      <c r="J3651" s="9" t="n"/>
      <c r="K3651" s="9" t="n">
        <v>32.05</v>
      </c>
    </row>
    <row r="3652" ht="15" customFormat="1" customHeight="1" s="5">
      <c r="A3652" s="81" t="n">
        <v>45733</v>
      </c>
      <c r="B3652" s="82" t="n">
        <v>0.5932175925925925</v>
      </c>
      <c r="C3652" s="5" t="inlineStr">
        <is>
          <t>Chick-Fil-A</t>
        </is>
      </c>
      <c r="E3652" s="5" t="n">
        <v>1</v>
      </c>
      <c r="F3652" s="6" t="inlineStr">
        <is>
          <t>9958143</t>
        </is>
      </c>
      <c r="G3652" s="10" t="n"/>
      <c r="H3652" s="9" t="inlineStr">
        <is>
          <t>Deluxe chicken sandwich, no cheese, no dairy</t>
        </is>
      </c>
      <c r="I3652" s="9" t="n"/>
      <c r="J3652" s="9" t="n"/>
      <c r="K3652" s="9" t="n">
        <v>6.19</v>
      </c>
    </row>
    <row r="3653" ht="15" customFormat="1" customHeight="1" s="5">
      <c r="A3653" s="81" t="n">
        <v>45733</v>
      </c>
      <c r="B3653" s="82" t="n">
        <v>0.5932175925925925</v>
      </c>
      <c r="C3653" s="5" t="inlineStr">
        <is>
          <t>Chick-Fil-A</t>
        </is>
      </c>
      <c r="E3653" s="5" t="n">
        <v>1</v>
      </c>
      <c r="F3653" s="6" t="inlineStr">
        <is>
          <t>9958143</t>
        </is>
      </c>
      <c r="G3653" s="10" t="n"/>
      <c r="H3653" s="9" t="inlineStr">
        <is>
          <t>Pineapple Dragonfruit Lemonade</t>
        </is>
      </c>
      <c r="I3653" s="9" t="n"/>
      <c r="J3653" s="9" t="n"/>
      <c r="K3653" s="9" t="n">
        <v>3.69</v>
      </c>
    </row>
    <row r="3654" ht="15" customFormat="1" customHeight="1" s="5">
      <c r="A3654" s="81" t="n">
        <v>45733</v>
      </c>
      <c r="B3654" s="82" t="n">
        <v>0.5932175925925925</v>
      </c>
      <c r="C3654" s="5" t="inlineStr">
        <is>
          <t>Chick-Fil-A</t>
        </is>
      </c>
      <c r="E3654" s="5" t="n">
        <v>1</v>
      </c>
      <c r="F3654" s="6" t="inlineStr">
        <is>
          <t>9958143</t>
        </is>
      </c>
      <c r="G3654" s="10" t="n"/>
      <c r="H3654" s="9" t="inlineStr">
        <is>
          <t xml:space="preserve">Medium fry </t>
        </is>
      </c>
      <c r="I3654" s="9" t="n"/>
      <c r="J3654" s="9" t="n"/>
      <c r="K3654" s="9" t="n">
        <v>2.95</v>
      </c>
    </row>
    <row r="3655" ht="15" customFormat="1" customHeight="1" s="5">
      <c r="A3655" s="81" t="n">
        <v>45733</v>
      </c>
      <c r="B3655" s="82" t="n">
        <v>0.5932175925925925</v>
      </c>
      <c r="C3655" s="5" t="inlineStr">
        <is>
          <t>Chick-Fil-A</t>
        </is>
      </c>
      <c r="E3655" s="5" t="n">
        <v>1</v>
      </c>
      <c r="F3655" s="6" t="inlineStr">
        <is>
          <t>9958143</t>
        </is>
      </c>
      <c r="G3655" s="10" t="n"/>
      <c r="H3655" s="9" t="inlineStr">
        <is>
          <t>Tax</t>
        </is>
      </c>
      <c r="I3655" s="9" t="n"/>
      <c r="J3655" s="9" t="n"/>
      <c r="K3655" s="9" t="n">
        <v>0.24</v>
      </c>
    </row>
    <row r="3656" ht="15" customFormat="1" customHeight="1" s="5">
      <c r="A3656" s="81" t="n">
        <v>45733</v>
      </c>
      <c r="B3656" s="82" t="n">
        <v>0.5932175925925925</v>
      </c>
      <c r="C3656" s="5" t="inlineStr">
        <is>
          <t>Chick-Fil-A</t>
        </is>
      </c>
      <c r="E3656" s="5" t="n">
        <v>1</v>
      </c>
      <c r="F3656" s="6" t="inlineStr">
        <is>
          <t>9958143</t>
        </is>
      </c>
      <c r="G3656" s="10" t="n"/>
      <c r="H3656" s="9" t="inlineStr">
        <is>
          <t>PIF Public Improvement Pee</t>
        </is>
      </c>
      <c r="I3656" s="9" t="n"/>
      <c r="J3656" s="9" t="n"/>
      <c r="K3656" s="9" t="n">
        <v>0.01</v>
      </c>
    </row>
    <row r="3657" ht="15" customFormat="1" customHeight="1" s="5">
      <c r="A3657" s="81" t="n">
        <v>45733</v>
      </c>
      <c r="B3657" s="82" t="n">
        <v>0.5932175925925925</v>
      </c>
      <c r="C3657" s="5" t="inlineStr">
        <is>
          <t>Chick-Fil-A</t>
        </is>
      </c>
      <c r="E3657" s="5" t="n">
        <v>1</v>
      </c>
      <c r="F3657" s="6" t="inlineStr">
        <is>
          <t>9958143</t>
        </is>
      </c>
      <c r="G3657" s="10" t="n"/>
      <c r="H3657" s="9" t="inlineStr">
        <is>
          <t>2 CFA sauce, 2 Hny Must Sauce</t>
        </is>
      </c>
      <c r="I3657" s="9" t="n"/>
      <c r="J3657" s="9" t="n"/>
      <c r="K3657" s="9" t="n">
        <v>0</v>
      </c>
    </row>
    <row r="3658" ht="15" customFormat="1" customHeight="1" s="5">
      <c r="A3658" s="81" t="n">
        <v>45733</v>
      </c>
      <c r="B3658" s="82" t="n">
        <v>0.5932175925925925</v>
      </c>
      <c r="C3658" s="5" t="inlineStr">
        <is>
          <t>Chick-Fil-A</t>
        </is>
      </c>
      <c r="E3658" s="5" t="n">
        <v>1</v>
      </c>
      <c r="F3658" s="6" t="inlineStr">
        <is>
          <t>9958143</t>
        </is>
      </c>
      <c r="G3658" s="10" t="n"/>
      <c r="H3658" s="9" t="inlineStr">
        <is>
          <t>**DISCOUNT** Promotional Lemonade</t>
        </is>
      </c>
      <c r="I3658" s="9" t="n"/>
      <c r="J3658" s="9" t="n"/>
      <c r="K3658" s="9" t="n">
        <v>-3.69</v>
      </c>
    </row>
    <row r="3659" ht="15" customFormat="1" customHeight="1" s="5">
      <c r="A3659" s="81" t="n">
        <v>45733</v>
      </c>
      <c r="B3659" s="82" t="n">
        <v>0.5932175925925925</v>
      </c>
      <c r="C3659" s="5" t="inlineStr">
        <is>
          <t>Chick-Fil-A</t>
        </is>
      </c>
      <c r="E3659" s="5" t="n">
        <v>1</v>
      </c>
      <c r="F3659" s="6" t="inlineStr">
        <is>
          <t>9958143</t>
        </is>
      </c>
      <c r="G3659" s="10" t="n"/>
      <c r="H3659" s="9" t="inlineStr">
        <is>
          <t>Existing chick fil a loaded balance</t>
        </is>
      </c>
      <c r="I3659" s="9" t="n"/>
      <c r="J3659" s="9" t="n"/>
      <c r="K3659" s="9" t="n">
        <v>-3.2</v>
      </c>
    </row>
    <row r="3660" ht="15" customFormat="1" customHeight="1" s="5">
      <c r="A3660" s="81" t="n">
        <v>45733</v>
      </c>
      <c r="B3660" s="82" t="n">
        <v>0.5932175925925925</v>
      </c>
      <c r="C3660" s="5" t="inlineStr">
        <is>
          <t>Chick-Fil-A</t>
        </is>
      </c>
      <c r="E3660" s="5" t="n">
        <v>1</v>
      </c>
      <c r="F3660" s="6" t="inlineStr">
        <is>
          <t>9958143</t>
        </is>
      </c>
      <c r="G3660" s="10" t="n"/>
      <c r="H3660" s="9" t="inlineStr">
        <is>
          <t>**DISCOUNT** Sandwich 1000 points</t>
        </is>
      </c>
      <c r="I3660" s="9" t="n"/>
      <c r="J3660" s="9" t="n"/>
      <c r="K3660" s="9" t="n">
        <v>-6.19</v>
      </c>
    </row>
    <row r="3661" ht="15" customFormat="1" customHeight="1" s="5">
      <c r="A3661" s="81" t="n">
        <v>45733</v>
      </c>
      <c r="B3661" s="82" t="n">
        <v>0.5118055555555555</v>
      </c>
      <c r="C3661" s="5" t="inlineStr">
        <is>
          <t>Venmo</t>
        </is>
      </c>
      <c r="D3661" s="5" t="n">
        <v>1</v>
      </c>
      <c r="F3661" s="6" t="inlineStr">
        <is>
          <t>4290500126974259091</t>
        </is>
      </c>
      <c r="G3661" s="10" t="n"/>
      <c r="H3661" s="9" t="inlineStr">
        <is>
          <t>Reimbursement to Natalie for chakas takeout</t>
        </is>
      </c>
      <c r="I3661" s="9" t="n">
        <v>2</v>
      </c>
      <c r="J3661" s="9" t="inlineStr">
        <is>
          <t>cnt</t>
        </is>
      </c>
      <c r="K3661" s="9">
        <f>37.5+2/3*(K3668+K3669)</f>
        <v/>
      </c>
    </row>
    <row r="3662" ht="15" customFormat="1" customHeight="1" s="5">
      <c r="A3662" s="81" t="n">
        <v>45732</v>
      </c>
      <c r="B3662" s="82" t="n">
        <v>0.4819675925925926</v>
      </c>
      <c r="C3662" s="5" t="inlineStr">
        <is>
          <t>Chaka's Mexican Restaurant</t>
        </is>
      </c>
      <c r="E3662" s="5" t="n">
        <v>1</v>
      </c>
      <c r="F3662" s="6" t="inlineStr">
        <is>
          <t>28 308406</t>
        </is>
      </c>
      <c r="G3662" s="10" t="n"/>
      <c r="H3662" s="9" t="inlineStr">
        <is>
          <t>Christmas enchiladas supreme, no onions, no dairy</t>
        </is>
      </c>
      <c r="I3662" s="9" t="n"/>
      <c r="J3662" s="9" t="n"/>
      <c r="K3662" s="9" t="n">
        <v>15</v>
      </c>
    </row>
    <row r="3663" ht="15" customFormat="1" customHeight="1" s="5">
      <c r="A3663" s="81" t="n">
        <v>45732</v>
      </c>
      <c r="B3663" s="82" t="n">
        <v>0.4819675925925926</v>
      </c>
      <c r="C3663" s="5" t="inlineStr">
        <is>
          <t>Chaka's Mexican Restaurant</t>
        </is>
      </c>
      <c r="E3663" s="5" t="n">
        <v>1</v>
      </c>
      <c r="F3663" s="6" t="inlineStr">
        <is>
          <t>28 308406</t>
        </is>
      </c>
      <c r="G3663" s="10" t="n"/>
      <c r="H3663" s="9" t="inlineStr">
        <is>
          <t>Tacos de Buche</t>
        </is>
      </c>
      <c r="I3663" s="9" t="n"/>
      <c r="J3663" s="9" t="n"/>
      <c r="K3663" s="9" t="n">
        <v>14.5</v>
      </c>
    </row>
    <row r="3664" ht="15" customFormat="1" customHeight="1" s="5">
      <c r="A3664" s="81" t="n">
        <v>45732</v>
      </c>
      <c r="B3664" s="82" t="n">
        <v>0.4819675925925926</v>
      </c>
      <c r="C3664" s="5" t="inlineStr">
        <is>
          <t>Chaka's Mexican Restaurant</t>
        </is>
      </c>
      <c r="E3664" s="5" t="n">
        <v>1</v>
      </c>
      <c r="F3664" s="6" t="inlineStr">
        <is>
          <t>28 308406</t>
        </is>
      </c>
      <c r="G3664" s="10" t="n"/>
      <c r="H3664" s="9" t="inlineStr">
        <is>
          <t>Tacos de Buche</t>
        </is>
      </c>
      <c r="I3664" s="9" t="n"/>
      <c r="J3664" s="9" t="n"/>
      <c r="K3664" s="9" t="n">
        <v>14.5</v>
      </c>
    </row>
    <row r="3665" ht="15" customFormat="1" customHeight="1" s="5">
      <c r="A3665" s="81" t="n">
        <v>45732</v>
      </c>
      <c r="B3665" s="82" t="n">
        <v>0.4819675925925926</v>
      </c>
      <c r="C3665" s="5" t="inlineStr">
        <is>
          <t>Chaka's Mexican Restaurant</t>
        </is>
      </c>
      <c r="E3665" s="5" t="n">
        <v>1</v>
      </c>
      <c r="F3665" s="6" t="inlineStr">
        <is>
          <t>28 308406</t>
        </is>
      </c>
      <c r="G3665" s="10" t="n"/>
      <c r="H3665" s="9" t="inlineStr">
        <is>
          <t>Tip</t>
        </is>
      </c>
      <c r="I3665" s="9" t="n"/>
      <c r="J3665" s="9" t="n"/>
      <c r="K3665" s="9" t="n">
        <v>9.539999999999999</v>
      </c>
    </row>
    <row r="3666" ht="15" customFormat="1" customHeight="1" s="5">
      <c r="A3666" s="81" t="n">
        <v>45732</v>
      </c>
      <c r="B3666" s="82" t="n">
        <v>0.4819675925925926</v>
      </c>
      <c r="C3666" s="5" t="inlineStr">
        <is>
          <t>Chaka's Mexican Restaurant</t>
        </is>
      </c>
      <c r="E3666" s="5" t="n">
        <v>1</v>
      </c>
      <c r="F3666" s="6" t="inlineStr">
        <is>
          <t>28 308406</t>
        </is>
      </c>
      <c r="G3666" s="10" t="n"/>
      <c r="H3666" s="9" t="inlineStr">
        <is>
          <t>Rice and beans</t>
        </is>
      </c>
      <c r="I3666" s="9" t="n"/>
      <c r="J3666" s="9" t="n"/>
      <c r="K3666" s="9" t="n">
        <v>5</v>
      </c>
    </row>
    <row r="3667" ht="15" customFormat="1" customHeight="1" s="5">
      <c r="A3667" s="81" t="n">
        <v>45732</v>
      </c>
      <c r="B3667" s="82" t="n">
        <v>0.4819675925925926</v>
      </c>
      <c r="C3667" s="5" t="inlineStr">
        <is>
          <t>Chaka's Mexican Restaurant</t>
        </is>
      </c>
      <c r="E3667" s="5" t="n">
        <v>1</v>
      </c>
      <c r="F3667" s="6" t="inlineStr">
        <is>
          <t>28 308406</t>
        </is>
      </c>
      <c r="G3667" s="10" t="n"/>
      <c r="H3667" s="9" t="inlineStr">
        <is>
          <t>Rice and beans</t>
        </is>
      </c>
      <c r="I3667" s="9" t="n"/>
      <c r="J3667" s="9" t="n"/>
      <c r="K3667" s="9" t="n">
        <v>5</v>
      </c>
    </row>
    <row r="3668" ht="15" customFormat="1" customHeight="1" s="5">
      <c r="A3668" s="81" t="n">
        <v>45732</v>
      </c>
      <c r="B3668" s="82" t="n">
        <v>0.4819675925925926</v>
      </c>
      <c r="C3668" s="5" t="inlineStr">
        <is>
          <t>Chaka's Mexican Restaurant</t>
        </is>
      </c>
      <c r="E3668" s="5" t="n">
        <v>1</v>
      </c>
      <c r="F3668" s="6" t="inlineStr">
        <is>
          <t>28 308406</t>
        </is>
      </c>
      <c r="G3668" s="10" t="n"/>
      <c r="H3668" s="9" t="inlineStr">
        <is>
          <t>Denver tax 7.65%</t>
        </is>
      </c>
      <c r="I3668" s="9" t="n"/>
      <c r="J3668" s="9" t="n"/>
      <c r="K3668" s="9" t="n">
        <v>4.36</v>
      </c>
    </row>
    <row r="3669" ht="15" customFormat="1" customHeight="1" s="5">
      <c r="A3669" s="81" t="n">
        <v>45732</v>
      </c>
      <c r="B3669" s="82" t="n">
        <v>0.4819675925925926</v>
      </c>
      <c r="C3669" s="5" t="inlineStr">
        <is>
          <t>Chaka's Mexican Restaurant</t>
        </is>
      </c>
      <c r="E3669" s="5" t="n">
        <v>1</v>
      </c>
      <c r="F3669" s="6" t="inlineStr">
        <is>
          <t>28 308406</t>
        </is>
      </c>
      <c r="G3669" s="10" t="n"/>
      <c r="H3669" s="9" t="inlineStr">
        <is>
          <t>Add chicken</t>
        </is>
      </c>
      <c r="I3669" s="9" t="n"/>
      <c r="J3669" s="9" t="n"/>
      <c r="K3669" s="9" t="n">
        <v>3</v>
      </c>
    </row>
    <row r="3670" ht="15" customFormat="1" customHeight="1" s="5">
      <c r="A3670" s="81" t="n">
        <v>45732</v>
      </c>
      <c r="B3670" s="82" t="n">
        <v>0.4819675925925926</v>
      </c>
      <c r="C3670" s="5" t="inlineStr">
        <is>
          <t>Chaka's Mexican Restaurant</t>
        </is>
      </c>
      <c r="E3670" s="5" t="n">
        <v>1</v>
      </c>
      <c r="F3670" s="6" t="inlineStr">
        <is>
          <t>28 308406</t>
        </is>
      </c>
      <c r="G3670" s="10" t="n"/>
      <c r="H3670" s="9" t="inlineStr">
        <is>
          <t>Admin fee 3.99%</t>
        </is>
      </c>
      <c r="I3670" s="9" t="n"/>
      <c r="J3670" s="9" t="n"/>
      <c r="K3670" s="9" t="n">
        <v>2.27</v>
      </c>
    </row>
    <row r="3671" ht="15" customFormat="1" customHeight="1" s="5">
      <c r="A3671" s="81" t="n">
        <v>45732</v>
      </c>
      <c r="B3671" s="82" t="n">
        <v>0.4819675925925926</v>
      </c>
      <c r="C3671" s="5" t="inlineStr">
        <is>
          <t>Chaka's Mexican Restaurant</t>
        </is>
      </c>
      <c r="E3671" s="5" t="n">
        <v>1</v>
      </c>
      <c r="F3671" s="6" t="inlineStr">
        <is>
          <t>28 308406</t>
        </is>
      </c>
      <c r="G3671" s="10" t="n"/>
      <c r="H3671" s="9" t="inlineStr">
        <is>
          <t>Natalie Drevets treat</t>
        </is>
      </c>
      <c r="I3671" s="9" t="n"/>
      <c r="J3671" s="9" t="n"/>
      <c r="K3671" s="9" t="n">
        <v>-73.17</v>
      </c>
    </row>
    <row r="3672" ht="15" customFormat="1" customHeight="1" s="5">
      <c r="A3672" s="81" t="n">
        <v>45732</v>
      </c>
      <c r="B3672" s="82" t="n">
        <v>0.4618055555555556</v>
      </c>
      <c r="C3672" s="5" t="inlineStr">
        <is>
          <t>Costco</t>
        </is>
      </c>
      <c r="E3672" s="5" t="n">
        <v>1</v>
      </c>
      <c r="F3672" s="6" t="inlineStr">
        <is>
          <t>439 205 27 705</t>
        </is>
      </c>
      <c r="G3672" s="15" t="inlineStr">
        <is>
          <t>E 1010598</t>
        </is>
      </c>
      <c r="H3672" s="9" t="inlineStr">
        <is>
          <t>KS Triple Berry Blend</t>
        </is>
      </c>
      <c r="I3672" s="9" t="n">
        <v>4</v>
      </c>
      <c r="J3672" s="9" t="inlineStr">
        <is>
          <t>lb</t>
        </is>
      </c>
      <c r="K3672" s="9" t="n">
        <v>10.99</v>
      </c>
    </row>
    <row r="3673" ht="15" customFormat="1" customHeight="1" s="5">
      <c r="A3673" s="81" t="n">
        <v>45732</v>
      </c>
      <c r="B3673" s="82" t="n">
        <v>0.4618055555555556</v>
      </c>
      <c r="C3673" s="5" t="inlineStr">
        <is>
          <t>Costco</t>
        </is>
      </c>
      <c r="E3673" s="5" t="n">
        <v>1</v>
      </c>
      <c r="F3673" s="6" t="inlineStr">
        <is>
          <t>439 205 27 705</t>
        </is>
      </c>
      <c r="G3673" s="15" t="inlineStr">
        <is>
          <t>E 1335089</t>
        </is>
      </c>
      <c r="H3673" s="9" t="inlineStr">
        <is>
          <t>Bagels, 6 french toast, 6 plain</t>
        </is>
      </c>
      <c r="I3673" s="9" t="n">
        <v>3</v>
      </c>
      <c r="J3673" s="9" t="inlineStr">
        <is>
          <t>lb</t>
        </is>
      </c>
      <c r="K3673" s="9" t="n">
        <v>7.99</v>
      </c>
    </row>
    <row r="3674" ht="15" customFormat="1" customHeight="1" s="5">
      <c r="A3674" s="81" t="n">
        <v>45732</v>
      </c>
      <c r="B3674" s="82" t="n">
        <v>0.4618055555555556</v>
      </c>
      <c r="C3674" s="5" t="inlineStr">
        <is>
          <t>Costco</t>
        </is>
      </c>
      <c r="E3674" s="5" t="n">
        <v>1</v>
      </c>
      <c r="F3674" s="6" t="inlineStr">
        <is>
          <t>439 205 27 705</t>
        </is>
      </c>
      <c r="G3674" s="15" t="inlineStr">
        <is>
          <t>E 1312849</t>
        </is>
      </c>
      <c r="H3674" s="9" t="inlineStr">
        <is>
          <t>Pickle Chips Grillo's</t>
        </is>
      </c>
      <c r="I3674" s="9" t="n">
        <v>32</v>
      </c>
      <c r="J3674" s="9" t="inlineStr">
        <is>
          <t>fl oz</t>
        </is>
      </c>
      <c r="K3674" s="9" t="n">
        <v>5.99</v>
      </c>
    </row>
    <row r="3675" ht="15" customFormat="1" customHeight="1" s="5">
      <c r="A3675" s="81" t="n">
        <v>45732</v>
      </c>
      <c r="B3675" s="82" t="n">
        <v>0.4618055555555556</v>
      </c>
      <c r="C3675" s="5" t="inlineStr">
        <is>
          <t>Costco</t>
        </is>
      </c>
      <c r="E3675" s="5" t="n">
        <v>1</v>
      </c>
      <c r="F3675" s="6" t="inlineStr">
        <is>
          <t>439 205 27 705</t>
        </is>
      </c>
      <c r="G3675" s="15" t="inlineStr">
        <is>
          <t>E 1014484</t>
        </is>
      </c>
      <c r="H3675" s="9" t="inlineStr">
        <is>
          <t>Cantaloupe</t>
        </is>
      </c>
      <c r="I3675" s="9" t="n">
        <v>2</v>
      </c>
      <c r="J3675" s="9" t="inlineStr">
        <is>
          <t>cnt</t>
        </is>
      </c>
      <c r="K3675" s="9" t="n">
        <v>5.69</v>
      </c>
    </row>
    <row r="3676" ht="15" customFormat="1" customHeight="1" s="5">
      <c r="A3676" s="81" t="n">
        <v>45732</v>
      </c>
      <c r="B3676" s="82" t="n">
        <v>0.4618055555555556</v>
      </c>
      <c r="C3676" s="5" t="inlineStr">
        <is>
          <t>Costco</t>
        </is>
      </c>
      <c r="E3676" s="5" t="n">
        <v>1</v>
      </c>
      <c r="F3676" s="6" t="inlineStr">
        <is>
          <t>439 205 27 705</t>
        </is>
      </c>
      <c r="G3676" s="15" t="inlineStr">
        <is>
          <t>E 1036732</t>
        </is>
      </c>
      <c r="H3676" s="9" t="inlineStr">
        <is>
          <t>Organic Celery</t>
        </is>
      </c>
      <c r="I3676" s="9" t="n">
        <v>2.5</v>
      </c>
      <c r="J3676" s="9" t="inlineStr">
        <is>
          <t>lb</t>
        </is>
      </c>
      <c r="K3676" s="9" t="n">
        <v>4.99</v>
      </c>
    </row>
    <row r="3677" ht="15" customFormat="1" customHeight="1" s="5">
      <c r="A3677" s="81" t="n">
        <v>45732</v>
      </c>
      <c r="B3677" s="82" t="n">
        <v>0.4618055555555556</v>
      </c>
      <c r="C3677" s="5" t="inlineStr">
        <is>
          <t>Costco</t>
        </is>
      </c>
      <c r="E3677" s="5" t="n">
        <v>1</v>
      </c>
      <c r="F3677" s="6" t="inlineStr">
        <is>
          <t>439 205 27 705</t>
        </is>
      </c>
      <c r="G3677" s="15" t="inlineStr">
        <is>
          <t>E 7947</t>
        </is>
      </c>
      <c r="H3677" s="9" t="inlineStr">
        <is>
          <t>4LB Fuji Apples</t>
        </is>
      </c>
      <c r="I3677" s="9" t="n">
        <v>4</v>
      </c>
      <c r="J3677" s="9" t="inlineStr">
        <is>
          <t>lb</t>
        </is>
      </c>
      <c r="K3677" s="9" t="n">
        <v>4.89</v>
      </c>
    </row>
    <row r="3678" ht="15" customFormat="1" customHeight="1" s="5">
      <c r="A3678" s="81" t="n">
        <v>45732</v>
      </c>
      <c r="B3678" s="82" t="n">
        <v>0.4618055555555556</v>
      </c>
      <c r="C3678" s="5" t="inlineStr">
        <is>
          <t>Costco</t>
        </is>
      </c>
      <c r="E3678" s="5" t="n">
        <v>1</v>
      </c>
      <c r="F3678" s="6" t="inlineStr">
        <is>
          <t>439 205 27 705</t>
        </is>
      </c>
      <c r="G3678" s="15" t="inlineStr">
        <is>
          <t>0000348719</t>
        </is>
      </c>
      <c r="H3678" s="9" t="inlineStr">
        <is>
          <t>**DISCOUNT** Supplements</t>
        </is>
      </c>
      <c r="I3678" s="9" t="n">
        <v>150</v>
      </c>
      <c r="J3678" s="9" t="inlineStr">
        <is>
          <t>cnt</t>
        </is>
      </c>
      <c r="K3678" s="9" t="inlineStr">
        <is>
          <t>5-A</t>
        </is>
      </c>
    </row>
    <row r="3679" ht="15" customFormat="1" customHeight="1" s="5">
      <c r="A3679" s="81" t="n">
        <v>45732</v>
      </c>
      <c r="B3679" s="82" t="n">
        <v>0.4618055555555556</v>
      </c>
      <c r="C3679" s="5" t="inlineStr">
        <is>
          <t>Costco</t>
        </is>
      </c>
      <c r="E3679" s="5" t="n">
        <v>1</v>
      </c>
      <c r="F3679" s="6" t="inlineStr">
        <is>
          <t>439 205 27 705</t>
        </is>
      </c>
      <c r="G3679" s="15" t="inlineStr">
        <is>
          <t>F 580664</t>
        </is>
      </c>
      <c r="H3679" s="9" t="inlineStr">
        <is>
          <t>NM Prenatal 150cnt, folic acid + DHA</t>
        </is>
      </c>
      <c r="I3679" s="9" t="n">
        <v>150</v>
      </c>
      <c r="J3679" s="9" t="inlineStr">
        <is>
          <t>cnt</t>
        </is>
      </c>
      <c r="K3679" s="9" t="inlineStr">
        <is>
          <t>23.99 A</t>
        </is>
      </c>
    </row>
    <row r="3680" ht="15" customFormat="1" customHeight="1" s="5">
      <c r="A3680" s="81" t="n">
        <v>45732</v>
      </c>
      <c r="B3680" s="82" t="n">
        <v>0.4618055555555556</v>
      </c>
      <c r="C3680" s="5" t="inlineStr">
        <is>
          <t>Costco</t>
        </is>
      </c>
      <c r="E3680" s="5" t="n">
        <v>1</v>
      </c>
      <c r="F3680" s="6" t="inlineStr">
        <is>
          <t>439 205 27 705</t>
        </is>
      </c>
      <c r="G3680" s="15" t="n"/>
      <c r="H3680" s="9" t="inlineStr">
        <is>
          <t>TAX A 8.000%</t>
        </is>
      </c>
      <c r="I3680" s="9" t="n">
        <v>1</v>
      </c>
      <c r="J3680" s="9" t="inlineStr">
        <is>
          <t>cnt</t>
        </is>
      </c>
      <c r="K3680" s="96" t="n">
        <v>1.52</v>
      </c>
    </row>
    <row r="3681" ht="15" customFormat="1" customHeight="1" s="5">
      <c r="A3681" s="81" t="n">
        <v>45732</v>
      </c>
      <c r="B3681" s="82" t="n">
        <v>0.4618055555555556</v>
      </c>
      <c r="C3681" s="5" t="inlineStr">
        <is>
          <t>Costco</t>
        </is>
      </c>
      <c r="E3681" s="5" t="n">
        <v>1</v>
      </c>
      <c r="F3681" s="6" t="inlineStr">
        <is>
          <t>439 205 27 705</t>
        </is>
      </c>
      <c r="G3681" s="15" t="inlineStr">
        <is>
          <t>0000348278</t>
        </is>
      </c>
      <c r="H3681" s="9" t="inlineStr">
        <is>
          <t>**DISCOUNT** / Wipers</t>
        </is>
      </c>
      <c r="I3681" s="9" t="n">
        <v>1</v>
      </c>
      <c r="J3681" s="9" t="inlineStr">
        <is>
          <t>cnt</t>
        </is>
      </c>
      <c r="K3681" s="9" t="inlineStr">
        <is>
          <t>3-A</t>
        </is>
      </c>
    </row>
    <row r="3682" ht="15" customFormat="1" customHeight="1" s="5">
      <c r="A3682" s="81" t="n">
        <v>45732</v>
      </c>
      <c r="B3682" s="82" t="n">
        <v>0.4618055555555556</v>
      </c>
      <c r="C3682" s="5" t="inlineStr">
        <is>
          <t>Costco</t>
        </is>
      </c>
      <c r="E3682" s="5" t="n">
        <v>1</v>
      </c>
      <c r="F3682" s="6" t="inlineStr">
        <is>
          <t>439 205 27 705</t>
        </is>
      </c>
      <c r="G3682" s="15" t="inlineStr">
        <is>
          <t>0000348278</t>
        </is>
      </c>
      <c r="H3682" s="9" t="inlineStr">
        <is>
          <t>**DISCOUNT** / Wipers</t>
        </is>
      </c>
      <c r="I3682" s="9" t="n">
        <v>1</v>
      </c>
      <c r="J3682" s="9" t="inlineStr">
        <is>
          <t>cnt</t>
        </is>
      </c>
      <c r="K3682" s="9" t="inlineStr">
        <is>
          <t>3.0-A</t>
        </is>
      </c>
    </row>
    <row r="3683" ht="15" customFormat="1" customHeight="1" s="5">
      <c r="A3683" s="81" t="n">
        <v>45732</v>
      </c>
      <c r="B3683" s="82" t="n">
        <v>0.4618055555555556</v>
      </c>
      <c r="C3683" s="5" t="inlineStr">
        <is>
          <t>Costco</t>
        </is>
      </c>
      <c r="E3683" s="5" t="n">
        <v>1</v>
      </c>
      <c r="F3683" s="6" t="inlineStr">
        <is>
          <t>439 205 27 705</t>
        </is>
      </c>
      <c r="G3683" s="15" t="inlineStr">
        <is>
          <t>1680379</t>
        </is>
      </c>
      <c r="H3683" s="9" t="inlineStr">
        <is>
          <t>Mich Blade 24: 60 cm, 600 mm [ford fiesta]</t>
        </is>
      </c>
      <c r="I3683" s="9" t="n">
        <v>1</v>
      </c>
      <c r="J3683" s="9" t="inlineStr">
        <is>
          <t>cnt</t>
        </is>
      </c>
      <c r="K3683" s="9" t="inlineStr">
        <is>
          <t>10.99 A</t>
        </is>
      </c>
    </row>
    <row r="3684" ht="15" customFormat="1" customHeight="1" s="5">
      <c r="A3684" s="81" t="n">
        <v>45732</v>
      </c>
      <c r="B3684" s="82" t="n">
        <v>0.4618055555555556</v>
      </c>
      <c r="C3684" s="5" t="inlineStr">
        <is>
          <t>Costco</t>
        </is>
      </c>
      <c r="E3684" s="5" t="n">
        <v>1</v>
      </c>
      <c r="F3684" s="6" t="inlineStr">
        <is>
          <t>439 205 27 705</t>
        </is>
      </c>
      <c r="G3684" s="15" t="inlineStr">
        <is>
          <t>1680372</t>
        </is>
      </c>
      <c r="H3684" s="9" t="inlineStr">
        <is>
          <t>Mich Blade 16: 40 cm, 400 mm [ford fiesta]</t>
        </is>
      </c>
      <c r="I3684" s="9" t="n">
        <v>1</v>
      </c>
      <c r="J3684" s="9" t="inlineStr">
        <is>
          <t>cnt</t>
        </is>
      </c>
      <c r="K3684" s="9" t="inlineStr">
        <is>
          <t>10.99 A</t>
        </is>
      </c>
    </row>
    <row r="3685" ht="15" customFormat="1" customHeight="1" s="5">
      <c r="A3685" s="81" t="n">
        <v>45732</v>
      </c>
      <c r="B3685" s="82" t="n">
        <v>0.4618055555555556</v>
      </c>
      <c r="C3685" s="5" t="inlineStr">
        <is>
          <t>Costco</t>
        </is>
      </c>
      <c r="E3685" s="5" t="n">
        <v>1</v>
      </c>
      <c r="F3685" s="6" t="inlineStr">
        <is>
          <t>439 205 27 705</t>
        </is>
      </c>
      <c r="G3685" s="15" t="n"/>
      <c r="H3685" s="9" t="inlineStr">
        <is>
          <t>TAX A 8.000%</t>
        </is>
      </c>
      <c r="I3685" s="9" t="n">
        <v>2</v>
      </c>
      <c r="J3685" s="9" t="inlineStr">
        <is>
          <t>cnt</t>
        </is>
      </c>
      <c r="K3685" s="96" t="n">
        <v>1.28</v>
      </c>
    </row>
    <row r="3686" ht="15" customFormat="1" customHeight="1" s="5">
      <c r="A3686" s="81" t="n">
        <v>45732</v>
      </c>
      <c r="B3686" s="82" t="n">
        <v>0.4618055555555556</v>
      </c>
      <c r="C3686" s="5" t="inlineStr">
        <is>
          <t>Costco</t>
        </is>
      </c>
      <c r="E3686" s="5" t="n">
        <v>1</v>
      </c>
      <c r="F3686" s="6" t="inlineStr">
        <is>
          <t>439 205 27 705</t>
        </is>
      </c>
      <c r="G3686" s="15" t="inlineStr">
        <is>
          <t>0000348426</t>
        </is>
      </c>
      <c r="H3686" s="9" t="inlineStr">
        <is>
          <t>**DISCOUNT** Supplements</t>
        </is>
      </c>
      <c r="I3686" s="9" t="n">
        <v>180</v>
      </c>
      <c r="J3686" s="9" t="inlineStr">
        <is>
          <t>cnt</t>
        </is>
      </c>
      <c r="K3686" s="9" t="inlineStr">
        <is>
          <t>3.5-A</t>
        </is>
      </c>
    </row>
    <row r="3687" ht="15" customFormat="1" customHeight="1" s="5">
      <c r="A3687" s="81" t="n">
        <v>45732</v>
      </c>
      <c r="B3687" s="82" t="n">
        <v>0.4618055555555556</v>
      </c>
      <c r="C3687" s="5" t="inlineStr">
        <is>
          <t>Costco</t>
        </is>
      </c>
      <c r="E3687" s="5" t="n">
        <v>1</v>
      </c>
      <c r="F3687" s="6" t="inlineStr">
        <is>
          <t>439 205 27 705</t>
        </is>
      </c>
      <c r="G3687" s="15" t="inlineStr">
        <is>
          <t>1308590</t>
        </is>
      </c>
      <c r="H3687" s="9" t="inlineStr">
        <is>
          <t>NM Magnesium 180cnt Extra Strength 400mg</t>
        </is>
      </c>
      <c r="I3687" s="9" t="n">
        <v>180</v>
      </c>
      <c r="J3687" s="9" t="inlineStr">
        <is>
          <t>cnt</t>
        </is>
      </c>
      <c r="K3687" s="9" t="inlineStr">
        <is>
          <t>16.49 A</t>
        </is>
      </c>
    </row>
    <row r="3688" ht="15" customFormat="1" customHeight="1" s="5">
      <c r="A3688" s="81" t="n">
        <v>45732</v>
      </c>
      <c r="B3688" s="82" t="n">
        <v>0.4618055555555556</v>
      </c>
      <c r="C3688" s="5" t="inlineStr">
        <is>
          <t>Costco</t>
        </is>
      </c>
      <c r="E3688" s="5" t="n">
        <v>1</v>
      </c>
      <c r="F3688" s="6" t="inlineStr">
        <is>
          <t>439 205 27 705</t>
        </is>
      </c>
      <c r="G3688" s="15" t="n"/>
      <c r="H3688" s="9" t="inlineStr">
        <is>
          <t>TAX A 8.000%</t>
        </is>
      </c>
      <c r="I3688" s="9" t="n">
        <v>1</v>
      </c>
      <c r="J3688" s="9" t="inlineStr">
        <is>
          <t>cnt</t>
        </is>
      </c>
      <c r="K3688" s="96" t="n">
        <v>1.04</v>
      </c>
    </row>
    <row r="3689" ht="15" customFormat="1" customHeight="1" s="5">
      <c r="A3689" s="81" t="n">
        <v>45732</v>
      </c>
      <c r="B3689" s="82" t="n">
        <v>0.4534722222222222</v>
      </c>
      <c r="C3689" s="5" t="inlineStr">
        <is>
          <t>Costco</t>
        </is>
      </c>
      <c r="E3689" s="5" t="n">
        <v>1</v>
      </c>
      <c r="F3689" s="6" t="inlineStr">
        <is>
          <t>3184</t>
        </is>
      </c>
      <c r="G3689" s="15" t="inlineStr">
        <is>
          <t>4</t>
        </is>
      </c>
      <c r="H3689" s="9" t="inlineStr">
        <is>
          <t>Subaru Gas 15.681 Gallons @ $2.579/gal</t>
        </is>
      </c>
      <c r="I3689" s="9" t="n">
        <v>15.681</v>
      </c>
      <c r="J3689" s="9" t="inlineStr">
        <is>
          <t>gal</t>
        </is>
      </c>
      <c r="K3689" s="9" t="n">
        <v>40.44</v>
      </c>
    </row>
    <row r="3690" ht="15" customFormat="1" customHeight="1" s="5">
      <c r="A3690" s="81" t="n">
        <v>45731</v>
      </c>
      <c r="B3690" s="82" t="n">
        <v>0.6694444444444444</v>
      </c>
      <c r="C3690" s="5" t="inlineStr">
        <is>
          <t>Safeway</t>
        </is>
      </c>
      <c r="E3690" s="5" t="n">
        <v>1</v>
      </c>
      <c r="F3690" s="6" t="inlineStr">
        <is>
          <t>2612 51 153 8851</t>
        </is>
      </c>
      <c r="G3690" s="15" t="inlineStr">
        <is>
          <t>2113033994</t>
        </is>
      </c>
      <c r="H3690" s="9" t="inlineStr">
        <is>
          <t>3@ Signature Select Pizza Dough</t>
        </is>
      </c>
      <c r="I3690" s="9" t="n">
        <v>3</v>
      </c>
      <c r="J3690" s="9" t="inlineStr">
        <is>
          <t>cnt</t>
        </is>
      </c>
      <c r="K3690" s="9" t="n">
        <v>8.970000000000001</v>
      </c>
    </row>
    <row r="3691" ht="15" customFormat="1" customHeight="1" s="5">
      <c r="A3691" s="81" t="n">
        <v>45731</v>
      </c>
      <c r="B3691" s="82" t="n">
        <v>0.6694444444444444</v>
      </c>
      <c r="C3691" s="5" t="inlineStr">
        <is>
          <t>Safeway</t>
        </is>
      </c>
      <c r="E3691" s="5" t="n">
        <v>1</v>
      </c>
      <c r="F3691" s="6" t="inlineStr">
        <is>
          <t>2612 51 153 8851</t>
        </is>
      </c>
      <c r="G3691" s="15" t="inlineStr">
        <is>
          <t>4663</t>
        </is>
      </c>
      <c r="H3691" s="9" t="inlineStr">
        <is>
          <t>Onions White @$1.29/lb</t>
        </is>
      </c>
      <c r="I3691" s="9" t="n">
        <v>0.86</v>
      </c>
      <c r="J3691" s="9" t="inlineStr">
        <is>
          <t>lb</t>
        </is>
      </c>
      <c r="K3691" s="9" t="n">
        <v>1.11</v>
      </c>
    </row>
    <row r="3692" ht="15" customFormat="1" customHeight="1" s="5">
      <c r="A3692" s="81" t="n">
        <v>45731</v>
      </c>
      <c r="B3692" s="82" t="n">
        <v>0.6694444444444444</v>
      </c>
      <c r="C3692" s="5" t="inlineStr">
        <is>
          <t>Safeway</t>
        </is>
      </c>
      <c r="E3692" s="5" t="n">
        <v>1</v>
      </c>
      <c r="F3692" s="6" t="inlineStr">
        <is>
          <t>2612 51 153 8851</t>
        </is>
      </c>
      <c r="G3692" s="15" t="n"/>
      <c r="H3692" s="9" t="inlineStr">
        <is>
          <t>Tax</t>
        </is>
      </c>
      <c r="I3692" s="9" t="n">
        <v>2</v>
      </c>
      <c r="J3692" s="9" t="inlineStr">
        <is>
          <t>cnt</t>
        </is>
      </c>
      <c r="K3692" s="9" t="n">
        <v>0</v>
      </c>
    </row>
    <row r="3693" ht="15" customFormat="1" customHeight="1" s="5">
      <c r="A3693" s="81" t="n">
        <v>45730</v>
      </c>
      <c r="B3693" s="82" t="n">
        <v>0.54375</v>
      </c>
      <c r="C3693" s="5" t="inlineStr">
        <is>
          <t>Goodwill</t>
        </is>
      </c>
      <c r="E3693" s="5" t="n">
        <v>1</v>
      </c>
      <c r="F3693" s="6" t="inlineStr">
        <is>
          <t>1032-01032031740978501248</t>
        </is>
      </c>
      <c r="G3693" s="10" t="n"/>
      <c r="H3693" s="9" t="inlineStr">
        <is>
          <t>Ladie's Textiles: slight stain on dress</t>
        </is>
      </c>
      <c r="I3693" s="9" t="n">
        <v>1</v>
      </c>
      <c r="J3693" s="9" t="inlineStr">
        <is>
          <t>cnt</t>
        </is>
      </c>
      <c r="K3693" s="9" t="n">
        <v>8.99</v>
      </c>
    </row>
    <row r="3694" ht="15" customFormat="1" customHeight="1" s="5">
      <c r="A3694" s="81" t="n">
        <v>45730</v>
      </c>
      <c r="B3694" s="82" t="n">
        <v>0.54375</v>
      </c>
      <c r="C3694" s="5" t="inlineStr">
        <is>
          <t>Goodwill</t>
        </is>
      </c>
      <c r="E3694" s="5" t="n">
        <v>1</v>
      </c>
      <c r="F3694" s="6" t="inlineStr">
        <is>
          <t>1032-01032031740978501248</t>
        </is>
      </c>
      <c r="G3694" s="10" t="n"/>
      <c r="H3694" s="9" t="inlineStr">
        <is>
          <t>Ladie's Textiles: flower short sleeve dress</t>
        </is>
      </c>
      <c r="I3694" s="9" t="n">
        <v>1</v>
      </c>
      <c r="J3694" s="9" t="inlineStr">
        <is>
          <t>cnt</t>
        </is>
      </c>
      <c r="K3694" s="9" t="n">
        <v>8.99</v>
      </c>
    </row>
    <row r="3695" ht="15" customFormat="1" customHeight="1" s="5">
      <c r="A3695" s="81" t="n">
        <v>45730</v>
      </c>
      <c r="B3695" s="82" t="n">
        <v>0.54375</v>
      </c>
      <c r="C3695" s="5" t="inlineStr">
        <is>
          <t>Goodwill</t>
        </is>
      </c>
      <c r="E3695" s="5" t="n">
        <v>1</v>
      </c>
      <c r="F3695" s="6" t="inlineStr">
        <is>
          <t>1032-01032031740978501248</t>
        </is>
      </c>
      <c r="G3695" s="10" t="n"/>
      <c r="H3695" s="9" t="inlineStr">
        <is>
          <t>Ladie's Textiles: yellow dress</t>
        </is>
      </c>
      <c r="I3695" s="9" t="n">
        <v>1</v>
      </c>
      <c r="J3695" s="9" t="inlineStr">
        <is>
          <t>cnt</t>
        </is>
      </c>
      <c r="K3695" s="9" t="n">
        <v>7.99</v>
      </c>
    </row>
    <row r="3696" ht="15" customFormat="1" customHeight="1" s="5">
      <c r="A3696" s="81" t="n">
        <v>45730</v>
      </c>
      <c r="B3696" s="82" t="n">
        <v>0.54375</v>
      </c>
      <c r="C3696" s="5" t="inlineStr">
        <is>
          <t>Goodwill</t>
        </is>
      </c>
      <c r="E3696" s="5" t="n">
        <v>1</v>
      </c>
      <c r="F3696" s="6" t="inlineStr">
        <is>
          <t>1032-01032031740978501248</t>
        </is>
      </c>
      <c r="G3696" s="10" t="n"/>
      <c r="H3696" s="9" t="inlineStr">
        <is>
          <t>Ladie's Textiles: white sheer pullover shawl</t>
        </is>
      </c>
      <c r="I3696" s="9" t="n">
        <v>1</v>
      </c>
      <c r="J3696" s="9" t="inlineStr">
        <is>
          <t>cnt</t>
        </is>
      </c>
      <c r="K3696" s="9" t="n">
        <v>6.99</v>
      </c>
    </row>
    <row r="3697" ht="15" customFormat="1" customHeight="1" s="5">
      <c r="A3697" s="81" t="n">
        <v>45730</v>
      </c>
      <c r="B3697" s="82" t="n">
        <v>0.54375</v>
      </c>
      <c r="C3697" s="5" t="inlineStr">
        <is>
          <t>Goodwill</t>
        </is>
      </c>
      <c r="E3697" s="5" t="n">
        <v>1</v>
      </c>
      <c r="F3697" s="6" t="inlineStr">
        <is>
          <t>1032-01032031740978501248</t>
        </is>
      </c>
      <c r="G3697" s="10" t="n"/>
      <c r="H3697" s="9" t="inlineStr">
        <is>
          <t>Ladie's Textiles: blue and white striped dress</t>
        </is>
      </c>
      <c r="I3697" s="9" t="n">
        <v>1</v>
      </c>
      <c r="J3697" s="9" t="inlineStr">
        <is>
          <t>cnt</t>
        </is>
      </c>
      <c r="K3697" s="9" t="n">
        <v>5.99</v>
      </c>
    </row>
    <row r="3698" ht="15" customFormat="1" customHeight="1" s="5">
      <c r="A3698" s="81" t="n">
        <v>45730</v>
      </c>
      <c r="B3698" s="82" t="n">
        <v>0.54375</v>
      </c>
      <c r="C3698" s="5" t="inlineStr">
        <is>
          <t>Goodwill</t>
        </is>
      </c>
      <c r="E3698" s="5" t="n">
        <v>1</v>
      </c>
      <c r="F3698" s="6" t="inlineStr">
        <is>
          <t>1032-01032031740978501248</t>
        </is>
      </c>
      <c r="G3698" s="10" t="n"/>
      <c r="H3698" s="9" t="inlineStr">
        <is>
          <t>Tax</t>
        </is>
      </c>
      <c r="I3698" s="9" t="n">
        <v>7</v>
      </c>
      <c r="J3698" s="9" t="inlineStr">
        <is>
          <t>cnt</t>
        </is>
      </c>
      <c r="K3698" s="9" t="n">
        <v>4.2</v>
      </c>
    </row>
    <row r="3699" ht="15" customFormat="1" customHeight="1" s="5">
      <c r="A3699" s="81" t="n">
        <v>45730</v>
      </c>
      <c r="B3699" s="82" t="n">
        <v>0.54375</v>
      </c>
      <c r="C3699" s="5" t="inlineStr">
        <is>
          <t>Goodwill</t>
        </is>
      </c>
      <c r="E3699" s="5" t="n">
        <v>1</v>
      </c>
      <c r="F3699" s="6" t="inlineStr">
        <is>
          <t>1032-01032031740978501248</t>
        </is>
      </c>
      <c r="G3699" s="10" t="n"/>
      <c r="H3699" s="9" t="inlineStr">
        <is>
          <t>Ladies Shorts: black and tight</t>
        </is>
      </c>
      <c r="I3699" s="9" t="n">
        <v>1</v>
      </c>
      <c r="J3699" s="9" t="inlineStr">
        <is>
          <t>cnt</t>
        </is>
      </c>
      <c r="K3699" s="9" t="n">
        <v>3.99</v>
      </c>
    </row>
    <row r="3700" ht="15" customFormat="1" customHeight="1" s="5">
      <c r="A3700" s="81" t="n">
        <v>45730</v>
      </c>
      <c r="B3700" s="82" t="n">
        <v>0.54375</v>
      </c>
      <c r="C3700" s="5" t="inlineStr">
        <is>
          <t>Goodwill</t>
        </is>
      </c>
      <c r="E3700" s="5" t="n">
        <v>1</v>
      </c>
      <c r="F3700" s="6" t="inlineStr">
        <is>
          <t>1032-01032031740978501248</t>
        </is>
      </c>
      <c r="G3700" s="10" t="n"/>
      <c r="H3700" s="9" t="inlineStr">
        <is>
          <t>Ladies Shorts: black and tight</t>
        </is>
      </c>
      <c r="I3700" s="9" t="n">
        <v>1</v>
      </c>
      <c r="J3700" s="9" t="inlineStr">
        <is>
          <t>cnt</t>
        </is>
      </c>
      <c r="K3700" s="9" t="n">
        <v>2.99</v>
      </c>
    </row>
    <row r="3701" ht="15" customFormat="1" customHeight="1" s="5">
      <c r="A3701" s="81" t="n">
        <v>45729</v>
      </c>
      <c r="B3701" s="82" t="n">
        <v>0.5125</v>
      </c>
      <c r="C3701" s="5" t="inlineStr">
        <is>
          <t>Denver Public Works</t>
        </is>
      </c>
      <c r="D3701" s="5" t="n">
        <v>1</v>
      </c>
      <c r="F3701" s="6" t="n"/>
      <c r="G3701" s="10" t="n"/>
      <c r="H3701" s="9" t="inlineStr">
        <is>
          <t>Meter Parking: 2.5 hours by the Leven Co. Bakery</t>
        </is>
      </c>
      <c r="I3701" s="9" t="n">
        <v>1</v>
      </c>
      <c r="J3701" s="9" t="inlineStr">
        <is>
          <t>cnt</t>
        </is>
      </c>
      <c r="K3701" s="9" t="n">
        <v>3</v>
      </c>
    </row>
    <row r="3702" ht="15" customFormat="1" customHeight="1" s="5">
      <c r="A3702" s="81" t="n">
        <v>45728</v>
      </c>
      <c r="B3702" s="82" t="n">
        <v>0.7042939814814815</v>
      </c>
      <c r="C3702" s="5" t="inlineStr">
        <is>
          <t>J's Noodles and New Thai</t>
        </is>
      </c>
      <c r="E3702" s="5" t="n">
        <v>1</v>
      </c>
      <c r="F3702" s="6" t="inlineStr">
        <is>
          <t>2 8 2 ##</t>
        </is>
      </c>
      <c r="G3702" s="10" t="n"/>
      <c r="H3702" s="9" t="inlineStr">
        <is>
          <t>Curry Pad Thai - Chicken - Medium Spice</t>
        </is>
      </c>
      <c r="I3702" s="9" t="n">
        <v>1</v>
      </c>
      <c r="J3702" s="9" t="inlineStr">
        <is>
          <t>cnt</t>
        </is>
      </c>
      <c r="K3702" s="9" t="n">
        <v>13.95</v>
      </c>
    </row>
    <row r="3703" ht="15" customFormat="1" customHeight="1" s="5">
      <c r="A3703" s="81" t="n">
        <v>45728</v>
      </c>
      <c r="B3703" s="82" t="n">
        <v>0.7042939814814815</v>
      </c>
      <c r="C3703" s="5" t="inlineStr">
        <is>
          <t>J's Noodles and New Thai</t>
        </is>
      </c>
      <c r="E3703" s="5" t="n">
        <v>1</v>
      </c>
      <c r="F3703" s="6" t="inlineStr">
        <is>
          <t>2 8 2 ##</t>
        </is>
      </c>
      <c r="G3703" s="10" t="n"/>
      <c r="H3703" s="9" t="inlineStr">
        <is>
          <t>Green Curry Chicken, Mild (didn't have eggplant!!! Or zucchini!!!)</t>
        </is>
      </c>
      <c r="I3703" s="9" t="n">
        <v>1</v>
      </c>
      <c r="J3703" s="9" t="inlineStr">
        <is>
          <t>cnt</t>
        </is>
      </c>
      <c r="K3703" s="9" t="n">
        <v>12.95</v>
      </c>
    </row>
    <row r="3704" ht="15" customFormat="1" customHeight="1" s="5">
      <c r="A3704" s="81" t="n">
        <v>45728</v>
      </c>
      <c r="B3704" s="82" t="n">
        <v>0.7042939814814815</v>
      </c>
      <c r="C3704" s="5" t="inlineStr">
        <is>
          <t>J's Noodles and New Thai</t>
        </is>
      </c>
      <c r="E3704" s="5" t="n">
        <v>1</v>
      </c>
      <c r="F3704" s="6" t="inlineStr">
        <is>
          <t>2 8 2 ##</t>
        </is>
      </c>
      <c r="G3704" s="10" t="n"/>
      <c r="H3704" s="9" t="inlineStr">
        <is>
          <t>Tax</t>
        </is>
      </c>
      <c r="I3704" s="9" t="n">
        <v>2</v>
      </c>
      <c r="J3704" s="9" t="inlineStr">
        <is>
          <t>cnt</t>
        </is>
      </c>
      <c r="K3704" s="9" t="n">
        <v>1.2</v>
      </c>
    </row>
    <row r="3705" ht="15" customFormat="1" customHeight="1" s="5">
      <c r="A3705" s="81" t="n">
        <v>45728</v>
      </c>
      <c r="B3705" s="82" t="n">
        <v>0.5208333333333334</v>
      </c>
      <c r="C3705" s="5" t="inlineStr">
        <is>
          <t>Costco</t>
        </is>
      </c>
      <c r="E3705" s="5" t="n">
        <v>1</v>
      </c>
      <c r="F3705" s="6" t="inlineStr">
        <is>
          <t>439 206 67 706</t>
        </is>
      </c>
      <c r="G3705" s="15" t="inlineStr">
        <is>
          <t>87745</t>
        </is>
      </c>
      <c r="H3705" s="9" t="inlineStr">
        <is>
          <t>KS Rotisserie Chicken</t>
        </is>
      </c>
      <c r="I3705" s="9" t="n">
        <v>3</v>
      </c>
      <c r="J3705" s="9" t="inlineStr">
        <is>
          <t>lb</t>
        </is>
      </c>
      <c r="K3705" s="9" t="inlineStr">
        <is>
          <t>4.99 A</t>
        </is>
      </c>
    </row>
    <row r="3706" ht="15" customFormat="1" customHeight="1" s="5">
      <c r="A3706" s="81" t="n">
        <v>45728</v>
      </c>
      <c r="B3706" s="82" t="n">
        <v>0.5208333333333334</v>
      </c>
      <c r="C3706" s="5" t="inlineStr">
        <is>
          <t>Costco</t>
        </is>
      </c>
      <c r="E3706" s="5" t="n">
        <v>1</v>
      </c>
      <c r="F3706" s="6" t="inlineStr">
        <is>
          <t>439 206 67 706</t>
        </is>
      </c>
      <c r="G3706" s="15" t="inlineStr">
        <is>
          <t>E 9440</t>
        </is>
      </c>
      <c r="H3706" s="9" t="inlineStr">
        <is>
          <t>Organic Coconut Milk Unsweetened, Thai Kitchen 6 cans</t>
        </is>
      </c>
      <c r="I3706" s="9" t="n">
        <v>81.95999999999999</v>
      </c>
      <c r="J3706" s="9" t="inlineStr">
        <is>
          <t>fl oz</t>
        </is>
      </c>
      <c r="K3706" s="9" t="n">
        <v>10.99</v>
      </c>
    </row>
    <row r="3707" ht="15" customFormat="1" customHeight="1" s="5">
      <c r="A3707" s="81" t="n">
        <v>45728</v>
      </c>
      <c r="B3707" s="82" t="n">
        <v>0.5208333333333334</v>
      </c>
      <c r="C3707" s="5" t="inlineStr">
        <is>
          <t>Costco</t>
        </is>
      </c>
      <c r="E3707" s="5" t="n">
        <v>1</v>
      </c>
      <c r="F3707" s="6" t="inlineStr">
        <is>
          <t>439 206 67 706</t>
        </is>
      </c>
      <c r="G3707" s="15" t="inlineStr">
        <is>
          <t>1789130</t>
        </is>
      </c>
      <c r="H3707" s="9" t="inlineStr">
        <is>
          <t>Kirkland Ultra Shine Blue Dish Soap</t>
        </is>
      </c>
      <c r="I3707" s="9" t="n">
        <v>90</v>
      </c>
      <c r="J3707" s="9" t="inlineStr">
        <is>
          <t>fl oz</t>
        </is>
      </c>
      <c r="K3707" s="9" t="inlineStr">
        <is>
          <t>7.99 A</t>
        </is>
      </c>
    </row>
    <row r="3708" ht="15" customFormat="1" customHeight="1" s="5">
      <c r="A3708" s="81" t="n">
        <v>45728</v>
      </c>
      <c r="B3708" s="82" t="n">
        <v>0.5208333333333334</v>
      </c>
      <c r="C3708" s="5" t="inlineStr">
        <is>
          <t>Costco</t>
        </is>
      </c>
      <c r="E3708" s="5" t="n">
        <v>1</v>
      </c>
      <c r="F3708" s="6" t="inlineStr">
        <is>
          <t>439 206 67 706</t>
        </is>
      </c>
      <c r="G3708" s="15" t="n"/>
      <c r="H3708" s="9" t="inlineStr">
        <is>
          <t>TAX A 8.000%</t>
        </is>
      </c>
      <c r="I3708" s="9" t="n">
        <v>2</v>
      </c>
      <c r="J3708" s="9" t="inlineStr">
        <is>
          <t>cnt</t>
        </is>
      </c>
      <c r="K3708" s="9" t="n">
        <v>1.04</v>
      </c>
    </row>
    <row r="3709" ht="15" customFormat="1" customHeight="1" s="5">
      <c r="A3709" s="81" t="n">
        <v>45728</v>
      </c>
      <c r="B3709" s="82" t="n">
        <v>0.5043171296296296</v>
      </c>
      <c r="C3709" s="5" t="inlineStr">
        <is>
          <t>H-Mart</t>
        </is>
      </c>
      <c r="E3709" s="5" t="n">
        <v>1</v>
      </c>
      <c r="F3709" s="6" t="inlineStr">
        <is>
          <t>#16205</t>
        </is>
      </c>
      <c r="G3709" s="15" t="n"/>
      <c r="H3709" s="9" t="inlineStr">
        <is>
          <t>Thai Basil @$10.99/lb</t>
        </is>
      </c>
      <c r="I3709" s="9" t="n">
        <v>0.455</v>
      </c>
      <c r="J3709" s="9" t="inlineStr">
        <is>
          <t>lb</t>
        </is>
      </c>
      <c r="K3709" s="9" t="n">
        <v>5</v>
      </c>
    </row>
    <row r="3710" ht="15" customFormat="1" customHeight="1" s="5">
      <c r="A3710" s="81" t="n">
        <v>45728</v>
      </c>
      <c r="B3710" s="82" t="n">
        <v>0.5043171296296296</v>
      </c>
      <c r="C3710" s="5" t="inlineStr">
        <is>
          <t>H-Mart</t>
        </is>
      </c>
      <c r="E3710" s="5" t="n">
        <v>1</v>
      </c>
      <c r="F3710" s="6" t="inlineStr">
        <is>
          <t>#16205</t>
        </is>
      </c>
      <c r="G3710" s="15" t="n"/>
      <c r="H3710" s="9" t="inlineStr">
        <is>
          <t>Naturipe Blueberries @$1.99/18oz box</t>
        </is>
      </c>
      <c r="I3710" s="9" t="n">
        <v>36</v>
      </c>
      <c r="J3710" s="9" t="inlineStr">
        <is>
          <t>oz</t>
        </is>
      </c>
      <c r="K3710" s="9" t="n">
        <v>3.98</v>
      </c>
    </row>
    <row r="3711" ht="15" customFormat="1" customHeight="1" s="5">
      <c r="A3711" s="81" t="n">
        <v>45728</v>
      </c>
      <c r="B3711" s="82" t="n">
        <v>0.5043171296296296</v>
      </c>
      <c r="C3711" s="5" t="inlineStr">
        <is>
          <t>H-Mart</t>
        </is>
      </c>
      <c r="E3711" s="5" t="n">
        <v>1</v>
      </c>
      <c r="F3711" s="6" t="inlineStr">
        <is>
          <t>#16205</t>
        </is>
      </c>
      <c r="G3711" s="15" t="n"/>
      <c r="H3711" s="9" t="inlineStr">
        <is>
          <t>Green Bell Pepper USA/MEXICO @$2.99/lb</t>
        </is>
      </c>
      <c r="I3711" s="9" t="n">
        <v>1.18</v>
      </c>
      <c r="J3711" s="9" t="inlineStr">
        <is>
          <t>lb</t>
        </is>
      </c>
      <c r="K3711" s="9" t="n">
        <v>3.53</v>
      </c>
    </row>
    <row r="3712" ht="15" customFormat="1" customHeight="1" s="5">
      <c r="A3712" s="81" t="n">
        <v>45728</v>
      </c>
      <c r="B3712" s="82" t="n">
        <v>0.5043171296296296</v>
      </c>
      <c r="C3712" s="5" t="inlineStr">
        <is>
          <t>H-Mart</t>
        </is>
      </c>
      <c r="E3712" s="5" t="n">
        <v>1</v>
      </c>
      <c r="F3712" s="6" t="inlineStr">
        <is>
          <t>#16205</t>
        </is>
      </c>
      <c r="G3712" s="15" t="n"/>
      <c r="H3712" s="9" t="inlineStr">
        <is>
          <t>MP Green Curry Paste Tub</t>
        </is>
      </c>
      <c r="I3712" s="9" t="n">
        <v>14</v>
      </c>
      <c r="J3712" s="9" t="inlineStr">
        <is>
          <t>oz</t>
        </is>
      </c>
      <c r="K3712" s="9" t="n">
        <v>3.29</v>
      </c>
    </row>
    <row r="3713" ht="15" customFormat="1" customHeight="1" s="5">
      <c r="A3713" s="81" t="n">
        <v>45728</v>
      </c>
      <c r="B3713" s="82" t="n">
        <v>0.5043171296296296</v>
      </c>
      <c r="C3713" s="5" t="inlineStr">
        <is>
          <t>H-Mart</t>
        </is>
      </c>
      <c r="E3713" s="5" t="n">
        <v>1</v>
      </c>
      <c r="F3713" s="6" t="inlineStr">
        <is>
          <t>#16205</t>
        </is>
      </c>
      <c r="G3713" s="15" t="n"/>
      <c r="H3713" s="9" t="inlineStr">
        <is>
          <t>Shanghai Bok Choy USA @$1.79/lb</t>
        </is>
      </c>
      <c r="I3713" s="9" t="n">
        <v>1.21</v>
      </c>
      <c r="J3713" s="9" t="inlineStr">
        <is>
          <t>lb</t>
        </is>
      </c>
      <c r="K3713" s="9" t="n">
        <v>2.17</v>
      </c>
    </row>
    <row r="3714" ht="15" customFormat="1" customHeight="1" s="5">
      <c r="A3714" s="81" t="n">
        <v>45728</v>
      </c>
      <c r="B3714" s="82" t="n">
        <v>0.5043171296296296</v>
      </c>
      <c r="C3714" s="5" t="inlineStr">
        <is>
          <t>H-Mart</t>
        </is>
      </c>
      <c r="E3714" s="5" t="n">
        <v>1</v>
      </c>
      <c r="F3714" s="6" t="inlineStr">
        <is>
          <t>#16205</t>
        </is>
      </c>
      <c r="G3714" s="15" t="n"/>
      <c r="H3714" s="9" t="inlineStr">
        <is>
          <t>Lemon Grass USA @$4.99/lb</t>
        </is>
      </c>
      <c r="I3714" s="9" t="n">
        <v>0.3</v>
      </c>
      <c r="J3714" s="9" t="inlineStr">
        <is>
          <t>lb</t>
        </is>
      </c>
      <c r="K3714" s="9" t="n">
        <v>1.5</v>
      </c>
    </row>
    <row r="3715" ht="15" customFormat="1" customHeight="1" s="5">
      <c r="A3715" s="81" t="n">
        <v>45728</v>
      </c>
      <c r="B3715" s="82" t="n">
        <v>0.5043171296296296</v>
      </c>
      <c r="C3715" s="5" t="inlineStr">
        <is>
          <t>H-Mart</t>
        </is>
      </c>
      <c r="E3715" s="5" t="n">
        <v>1</v>
      </c>
      <c r="F3715" s="6" t="inlineStr">
        <is>
          <t>#16205</t>
        </is>
      </c>
      <c r="G3715" s="15" t="n"/>
      <c r="H3715" s="9" t="inlineStr">
        <is>
          <t>Lime @$0.35/cnt</t>
        </is>
      </c>
      <c r="I3715" s="9" t="n">
        <v>1</v>
      </c>
      <c r="J3715" s="9" t="inlineStr">
        <is>
          <t>cnt</t>
        </is>
      </c>
      <c r="K3715" s="9" t="n">
        <v>0.35</v>
      </c>
    </row>
    <row r="3716" ht="15" customFormat="1" customHeight="1" s="5">
      <c r="A3716" s="81" t="n">
        <v>45728</v>
      </c>
      <c r="B3716" s="82" t="n">
        <v>0.5043171296296296</v>
      </c>
      <c r="C3716" s="5" t="inlineStr">
        <is>
          <t>H-Mart</t>
        </is>
      </c>
      <c r="E3716" s="5" t="n">
        <v>1</v>
      </c>
      <c r="F3716" s="6" t="inlineStr">
        <is>
          <t>#16205</t>
        </is>
      </c>
      <c r="G3716" s="10" t="n"/>
      <c r="H3716" s="9" t="inlineStr">
        <is>
          <t>Tax</t>
        </is>
      </c>
      <c r="I3716" s="9" t="n">
        <v>8</v>
      </c>
      <c r="J3716" s="9" t="inlineStr">
        <is>
          <t>cnt</t>
        </is>
      </c>
      <c r="K3716" s="9" t="n">
        <v>0</v>
      </c>
    </row>
    <row r="3717" ht="15" customFormat="1" customHeight="1" s="5">
      <c r="A3717" s="81" t="n">
        <v>45728</v>
      </c>
      <c r="B3717" s="82" t="n">
        <v>0.5043171296296296</v>
      </c>
      <c r="C3717" s="5" t="inlineStr">
        <is>
          <t>H-Mart</t>
        </is>
      </c>
      <c r="E3717" s="5" t="n">
        <v>1</v>
      </c>
      <c r="F3717" s="6" t="inlineStr">
        <is>
          <t>#16205</t>
        </is>
      </c>
      <c r="G3717" s="15" t="n"/>
      <c r="H3717" s="9" t="inlineStr">
        <is>
          <t>**DISCOUNT** Shanghai Bok Choy @$1.38/lb</t>
        </is>
      </c>
      <c r="I3717" s="9" t="n">
        <v>1.21</v>
      </c>
      <c r="J3717" s="9" t="inlineStr">
        <is>
          <t>lb</t>
        </is>
      </c>
      <c r="K3717" s="9" t="n">
        <v>-0.5</v>
      </c>
    </row>
    <row r="3718" ht="15" customFormat="1" customHeight="1" s="5">
      <c r="A3718" s="81" t="n">
        <v>45728</v>
      </c>
      <c r="B3718" s="82" t="n">
        <v>0.5043171296296296</v>
      </c>
      <c r="C3718" s="5" t="inlineStr">
        <is>
          <t>H-Mart</t>
        </is>
      </c>
      <c r="E3718" s="5" t="n">
        <v>1</v>
      </c>
      <c r="F3718" s="6" t="inlineStr">
        <is>
          <t>#16205</t>
        </is>
      </c>
      <c r="G3718" s="15" t="n"/>
      <c r="H3718" s="9" t="inlineStr">
        <is>
          <t>**DISCOUNT** $1.50 per 18oz box</t>
        </is>
      </c>
      <c r="I3718" s="9" t="n">
        <v>36</v>
      </c>
      <c r="J3718" s="9" t="inlineStr">
        <is>
          <t>oz</t>
        </is>
      </c>
      <c r="K3718" s="9" t="n">
        <v>-0.98</v>
      </c>
    </row>
    <row r="3719" ht="15" customFormat="1" customHeight="1" s="5">
      <c r="A3719" s="81" t="n">
        <v>45728</v>
      </c>
      <c r="B3719" s="82" t="n">
        <v>0.5043171296296296</v>
      </c>
      <c r="C3719" s="5" t="inlineStr">
        <is>
          <t>H-Mart</t>
        </is>
      </c>
      <c r="E3719" s="5" t="n">
        <v>1</v>
      </c>
      <c r="F3719" s="6" t="inlineStr">
        <is>
          <t>#16205</t>
        </is>
      </c>
      <c r="G3719" s="15" t="n"/>
      <c r="H3719" s="9" t="inlineStr">
        <is>
          <t>**DISCOUNT** Green Bell Pepper @$1.28/lb</t>
        </is>
      </c>
      <c r="I3719" s="9" t="n">
        <v>1.18</v>
      </c>
      <c r="J3719" s="9" t="inlineStr">
        <is>
          <t>lb</t>
        </is>
      </c>
      <c r="K3719" s="9" t="n">
        <v>-2.02</v>
      </c>
    </row>
    <row r="3720" ht="15" customFormat="1" customHeight="1" s="5">
      <c r="A3720" s="81" t="n">
        <v>45727</v>
      </c>
      <c r="B3720" s="82" t="n">
        <v>0.18125</v>
      </c>
      <c r="C3720" s="5" t="inlineStr">
        <is>
          <t>Overland Missions</t>
        </is>
      </c>
      <c r="D3720" s="5" t="n">
        <v>1</v>
      </c>
      <c r="F3720" s="6" t="inlineStr">
        <is>
          <t>3538</t>
        </is>
      </c>
      <c r="G3720" s="10" t="n"/>
      <c r="H3720" s="9" t="inlineStr">
        <is>
          <t>Pelletier - Monthly missions donation</t>
        </is>
      </c>
      <c r="I3720" s="9" t="n">
        <v>1</v>
      </c>
      <c r="J3720" s="9" t="inlineStr">
        <is>
          <t>cnt</t>
        </is>
      </c>
      <c r="K3720" s="9" t="n">
        <v>250</v>
      </c>
    </row>
    <row r="3721" ht="15" customFormat="1" customHeight="1" s="5">
      <c r="A3721" s="81" t="n">
        <v>45726</v>
      </c>
      <c r="B3721" s="82" t="n">
        <v>0.7583333333333333</v>
      </c>
      <c r="C3721" s="5" t="inlineStr">
        <is>
          <t>Venmo</t>
        </is>
      </c>
      <c r="D3721" s="5" t="n">
        <v>1</v>
      </c>
      <c r="F3721" s="6" t="inlineStr">
        <is>
          <t>4285605369366234393</t>
        </is>
      </c>
      <c r="G3721" s="10" t="inlineStr">
        <is>
          <t>Carly-Watkins-1</t>
        </is>
      </c>
      <c r="H3721" s="9" t="inlineStr">
        <is>
          <t xml:space="preserve">Mint and oat milk </t>
        </is>
      </c>
      <c r="I3721" s="9" t="n"/>
      <c r="J3721" s="9" t="n"/>
      <c r="K3721" s="9" t="n">
        <v>7.5</v>
      </c>
    </row>
    <row r="3722" ht="15" customFormat="1" customHeight="1" s="5">
      <c r="A3722" s="81" t="n">
        <v>45726</v>
      </c>
      <c r="B3722" s="82" t="n">
        <v>0.7076388888888889</v>
      </c>
      <c r="C3722" s="5" t="inlineStr">
        <is>
          <t>Safeway</t>
        </is>
      </c>
      <c r="E3722" s="5" t="n">
        <v>1</v>
      </c>
      <c r="F3722" s="6" t="inlineStr">
        <is>
          <t>2612 51 150 8851</t>
        </is>
      </c>
      <c r="G3722" s="15" t="inlineStr">
        <is>
          <t>85392300210</t>
        </is>
      </c>
      <c r="H3722" s="9" t="inlineStr">
        <is>
          <t>Noosa Yoghurt Lemon</t>
        </is>
      </c>
      <c r="I3722" s="9" t="n">
        <v>8</v>
      </c>
      <c r="J3722" s="9" t="inlineStr">
        <is>
          <t>oz</t>
        </is>
      </c>
      <c r="K3722" s="9" t="n">
        <v>2.49</v>
      </c>
    </row>
    <row r="3723" ht="15" customFormat="1" customHeight="1" s="5">
      <c r="A3723" s="81" t="n">
        <v>45726</v>
      </c>
      <c r="B3723" s="82" t="n">
        <v>0.7076388888888889</v>
      </c>
      <c r="C3723" s="5" t="inlineStr">
        <is>
          <t>Safeway</t>
        </is>
      </c>
      <c r="E3723" s="5" t="n">
        <v>1</v>
      </c>
      <c r="F3723" s="6" t="inlineStr">
        <is>
          <t>2612 51 150 8851</t>
        </is>
      </c>
      <c r="G3723" s="15" t="inlineStr">
        <is>
          <t>85392300230</t>
        </is>
      </c>
      <c r="H3723" s="9" t="inlineStr">
        <is>
          <t>Noosa Yogurt Mango</t>
        </is>
      </c>
      <c r="I3723" s="9" t="n">
        <v>8</v>
      </c>
      <c r="J3723" s="9" t="inlineStr">
        <is>
          <t>oz</t>
        </is>
      </c>
      <c r="K3723" s="9" t="n">
        <v>2.49</v>
      </c>
    </row>
    <row r="3724" ht="15" customFormat="1" customHeight="1" s="5">
      <c r="A3724" s="81" t="n">
        <v>45726</v>
      </c>
      <c r="B3724" s="82" t="n">
        <v>0.7076388888888889</v>
      </c>
      <c r="C3724" s="5" t="inlineStr">
        <is>
          <t>Safeway</t>
        </is>
      </c>
      <c r="E3724" s="5" t="n">
        <v>1</v>
      </c>
      <c r="F3724" s="6" t="inlineStr">
        <is>
          <t>2612 51 150 8851</t>
        </is>
      </c>
      <c r="G3724" s="15" t="inlineStr">
        <is>
          <t>85392300250</t>
        </is>
      </c>
      <c r="H3724" s="9" t="inlineStr">
        <is>
          <t>Noose Ygorut Strawberry Rhubarb</t>
        </is>
      </c>
      <c r="I3724" s="9" t="n">
        <v>8</v>
      </c>
      <c r="J3724" s="9" t="inlineStr">
        <is>
          <t>oz</t>
        </is>
      </c>
      <c r="K3724" s="9" t="n">
        <v>2.49</v>
      </c>
    </row>
    <row r="3725" ht="15" customFormat="1" customHeight="1" s="5">
      <c r="A3725" s="81" t="n">
        <v>45726</v>
      </c>
      <c r="B3725" s="82" t="n">
        <v>0.7076388888888889</v>
      </c>
      <c r="C3725" s="5" t="inlineStr">
        <is>
          <t>Safeway</t>
        </is>
      </c>
      <c r="E3725" s="5" t="n">
        <v>1</v>
      </c>
      <c r="F3725" s="6" t="inlineStr">
        <is>
          <t>2612 51 150 8851</t>
        </is>
      </c>
      <c r="G3725" s="15" t="inlineStr">
        <is>
          <t>85392300290</t>
        </is>
      </c>
      <c r="H3725" s="9" t="inlineStr">
        <is>
          <t>Noosa Yogurt Tart Cherry</t>
        </is>
      </c>
      <c r="I3725" s="9" t="n">
        <v>8</v>
      </c>
      <c r="J3725" s="9" t="inlineStr">
        <is>
          <t>oz</t>
        </is>
      </c>
      <c r="K3725" s="9" t="n">
        <v>2.49</v>
      </c>
    </row>
    <row r="3726" ht="15" customFormat="1" customHeight="1" s="5">
      <c r="A3726" s="81" t="n">
        <v>45726</v>
      </c>
      <c r="B3726" s="82" t="n">
        <v>0.7076388888888889</v>
      </c>
      <c r="C3726" s="5" t="inlineStr">
        <is>
          <t>Safeway</t>
        </is>
      </c>
      <c r="E3726" s="5" t="n">
        <v>1</v>
      </c>
      <c r="F3726" s="6" t="inlineStr">
        <is>
          <t>2612 51 150 8851</t>
        </is>
      </c>
      <c r="G3726" s="15" t="n"/>
      <c r="H3726" s="9" t="inlineStr">
        <is>
          <t>**DISCOUNT** Noosa</t>
        </is>
      </c>
      <c r="I3726" s="9" t="n">
        <v>8</v>
      </c>
      <c r="J3726" s="9" t="inlineStr">
        <is>
          <t>oz</t>
        </is>
      </c>
      <c r="K3726" s="9" t="n">
        <v>-0.5</v>
      </c>
    </row>
    <row r="3727" ht="15" customFormat="1" customHeight="1" s="5">
      <c r="A3727" s="81" t="n">
        <v>45726</v>
      </c>
      <c r="B3727" s="82" t="n">
        <v>0.7076388888888889</v>
      </c>
      <c r="C3727" s="5" t="inlineStr">
        <is>
          <t>Safeway</t>
        </is>
      </c>
      <c r="E3727" s="5" t="n">
        <v>1</v>
      </c>
      <c r="F3727" s="6" t="inlineStr">
        <is>
          <t>2612 51 150 8851</t>
        </is>
      </c>
      <c r="G3727" s="15" t="n"/>
      <c r="H3727" s="9" t="inlineStr">
        <is>
          <t>**DISCOUNT** Noosa</t>
        </is>
      </c>
      <c r="I3727" s="9" t="n">
        <v>8</v>
      </c>
      <c r="J3727" s="9" t="inlineStr">
        <is>
          <t>oz</t>
        </is>
      </c>
      <c r="K3727" s="9" t="n">
        <v>-0.5</v>
      </c>
    </row>
    <row r="3728" ht="15" customFormat="1" customHeight="1" s="5">
      <c r="A3728" s="81" t="n">
        <v>45726</v>
      </c>
      <c r="B3728" s="82" t="n">
        <v>0.7076388888888889</v>
      </c>
      <c r="C3728" s="5" t="inlineStr">
        <is>
          <t>Safeway</t>
        </is>
      </c>
      <c r="E3728" s="5" t="n">
        <v>1</v>
      </c>
      <c r="F3728" s="6" t="inlineStr">
        <is>
          <t>2612 51 150 8851</t>
        </is>
      </c>
      <c r="G3728" s="15" t="n"/>
      <c r="H3728" s="9" t="inlineStr">
        <is>
          <t>**DISCOUNT** Noosa</t>
        </is>
      </c>
      <c r="I3728" s="9" t="n">
        <v>8</v>
      </c>
      <c r="J3728" s="9" t="inlineStr">
        <is>
          <t>oz</t>
        </is>
      </c>
      <c r="K3728" s="9" t="n">
        <v>-0.5</v>
      </c>
    </row>
    <row r="3729" ht="15" customFormat="1" customHeight="1" s="5">
      <c r="A3729" s="81" t="n">
        <v>45726</v>
      </c>
      <c r="B3729" s="82" t="n">
        <v>0.7076388888888889</v>
      </c>
      <c r="C3729" s="5" t="inlineStr">
        <is>
          <t>Safeway</t>
        </is>
      </c>
      <c r="E3729" s="5" t="n">
        <v>1</v>
      </c>
      <c r="F3729" s="6" t="inlineStr">
        <is>
          <t>2612 51 150 8851</t>
        </is>
      </c>
      <c r="G3729" s="15" t="n"/>
      <c r="H3729" s="9" t="inlineStr">
        <is>
          <t>**DISCOUNT** Noosa</t>
        </is>
      </c>
      <c r="I3729" s="9" t="n">
        <v>8</v>
      </c>
      <c r="J3729" s="9" t="inlineStr">
        <is>
          <t>oz</t>
        </is>
      </c>
      <c r="K3729" s="9" t="n">
        <v>-0.5</v>
      </c>
    </row>
    <row r="3730" ht="15" customFormat="1" customHeight="1" s="5">
      <c r="A3730" s="81" t="n">
        <v>45726</v>
      </c>
      <c r="B3730" s="82" t="n">
        <v>0.7076388888888889</v>
      </c>
      <c r="C3730" s="5" t="inlineStr">
        <is>
          <t>Safeway</t>
        </is>
      </c>
      <c r="E3730" s="5" t="n">
        <v>1</v>
      </c>
      <c r="F3730" s="6" t="inlineStr">
        <is>
          <t>2612 51 150 8851</t>
        </is>
      </c>
      <c r="G3730" s="15" t="inlineStr">
        <is>
          <t>8425324424</t>
        </is>
      </c>
      <c r="H3730" s="13" t="inlineStr">
        <is>
          <t>2@ Imagine Brother Chicken Stock, 32 fl oz each</t>
        </is>
      </c>
      <c r="I3730" s="9" t="n">
        <v>64</v>
      </c>
      <c r="J3730" s="9" t="inlineStr">
        <is>
          <t>fl oz</t>
        </is>
      </c>
      <c r="K3730" s="9" t="n">
        <v>12.98</v>
      </c>
    </row>
    <row r="3731" ht="15" customFormat="1" customHeight="1" s="5">
      <c r="A3731" s="81" t="n">
        <v>45726</v>
      </c>
      <c r="B3731" s="82" t="n">
        <v>0.7076388888888889</v>
      </c>
      <c r="C3731" s="5" t="inlineStr">
        <is>
          <t>Safeway</t>
        </is>
      </c>
      <c r="E3731" s="5" t="n">
        <v>1</v>
      </c>
      <c r="F3731" s="6" t="inlineStr">
        <is>
          <t>2612 51 150 8851</t>
        </is>
      </c>
      <c r="G3731" s="15" t="inlineStr">
        <is>
          <t>2113015866</t>
        </is>
      </c>
      <c r="H3731" s="9" t="inlineStr">
        <is>
          <t>2 Signature Pork Sausage 1pound rolls</t>
        </is>
      </c>
      <c r="I3731" s="9" t="n">
        <v>2</v>
      </c>
      <c r="J3731" s="9" t="inlineStr">
        <is>
          <t>lb</t>
        </is>
      </c>
      <c r="K3731" s="9" t="n">
        <v>7.58</v>
      </c>
    </row>
    <row r="3732" ht="15" customFormat="1" customHeight="1" s="5">
      <c r="A3732" s="81" t="n">
        <v>45726</v>
      </c>
      <c r="B3732" s="82" t="n">
        <v>0.7076388888888889</v>
      </c>
      <c r="C3732" s="5" t="inlineStr">
        <is>
          <t>Safeway</t>
        </is>
      </c>
      <c r="E3732" s="5" t="n">
        <v>1</v>
      </c>
      <c r="F3732" s="6" t="inlineStr">
        <is>
          <t>2612 51 150 8851</t>
        </is>
      </c>
      <c r="G3732" s="15" t="inlineStr">
        <is>
          <t>5000027444</t>
        </is>
      </c>
      <c r="H3732" s="9" t="inlineStr">
        <is>
          <t>Nestle Chocolate Chip Cookie Dough</t>
        </is>
      </c>
      <c r="I3732" s="9" t="n">
        <v>30</v>
      </c>
      <c r="J3732" s="9" t="inlineStr">
        <is>
          <t>oz</t>
        </is>
      </c>
      <c r="K3732" s="9" t="n">
        <v>7.49</v>
      </c>
    </row>
    <row r="3733" ht="15" customFormat="1" customHeight="1" s="5">
      <c r="A3733" s="81" t="n">
        <v>45726</v>
      </c>
      <c r="B3733" s="82" t="n">
        <v>0.7076388888888889</v>
      </c>
      <c r="C3733" s="5" t="inlineStr">
        <is>
          <t>Safeway</t>
        </is>
      </c>
      <c r="E3733" s="5" t="n">
        <v>1</v>
      </c>
      <c r="F3733" s="6" t="inlineStr">
        <is>
          <t>2612 51 150 8851</t>
        </is>
      </c>
      <c r="G3733" s="15" t="inlineStr">
        <is>
          <t>7756726530</t>
        </is>
      </c>
      <c r="H3733" s="9" t="inlineStr">
        <is>
          <t>Breyers Snickers Frozen Dairy Dessert</t>
        </is>
      </c>
      <c r="I3733" s="9" t="n">
        <v>1.5</v>
      </c>
      <c r="J3733" s="9" t="inlineStr">
        <is>
          <t>quart</t>
        </is>
      </c>
      <c r="K3733" s="9" t="n">
        <v>7.49</v>
      </c>
    </row>
    <row r="3734" ht="15" customFormat="1" customHeight="1" s="5">
      <c r="A3734" s="81" t="n">
        <v>45726</v>
      </c>
      <c r="B3734" s="82" t="n">
        <v>0.7076388888888889</v>
      </c>
      <c r="C3734" s="5" t="inlineStr">
        <is>
          <t>Safeway</t>
        </is>
      </c>
      <c r="E3734" s="5" t="n">
        <v>1</v>
      </c>
      <c r="F3734" s="6" t="inlineStr">
        <is>
          <t>2612 51 150 8851</t>
        </is>
      </c>
      <c r="G3734" s="15" t="inlineStr">
        <is>
          <t>2113028498</t>
        </is>
      </c>
      <c r="H3734" s="9" t="inlineStr">
        <is>
          <t>Signature Kale Pre Chopped</t>
        </is>
      </c>
      <c r="I3734" s="9" t="n">
        <v>10</v>
      </c>
      <c r="J3734" s="9" t="inlineStr">
        <is>
          <t>oz</t>
        </is>
      </c>
      <c r="K3734" s="9" t="n">
        <v>3.49</v>
      </c>
    </row>
    <row r="3735" ht="15" customFormat="1" customHeight="1" s="5">
      <c r="A3735" s="81" t="n">
        <v>45726</v>
      </c>
      <c r="B3735" s="82" t="n">
        <v>0.7076388888888889</v>
      </c>
      <c r="C3735" s="5" t="inlineStr">
        <is>
          <t>Safeway</t>
        </is>
      </c>
      <c r="E3735" s="5" t="n">
        <v>1</v>
      </c>
      <c r="F3735" s="6" t="inlineStr">
        <is>
          <t>2612 51 150 8851</t>
        </is>
      </c>
      <c r="G3735" s="15" t="inlineStr">
        <is>
          <t>2113098335</t>
        </is>
      </c>
      <c r="H3735" s="9" t="inlineStr">
        <is>
          <t>Singature Select Baby Carrots Washed and peeled</t>
        </is>
      </c>
      <c r="I3735" s="9" t="n">
        <v>1</v>
      </c>
      <c r="J3735" s="9" t="inlineStr">
        <is>
          <t>lb</t>
        </is>
      </c>
      <c r="K3735" s="9" t="n">
        <v>1.69</v>
      </c>
    </row>
    <row r="3736" ht="15" customFormat="1" customHeight="1" s="5">
      <c r="A3736" s="81" t="n">
        <v>45726</v>
      </c>
      <c r="B3736" s="82" t="n">
        <v>0.7076388888888889</v>
      </c>
      <c r="C3736" s="5" t="inlineStr">
        <is>
          <t>Safeway</t>
        </is>
      </c>
      <c r="E3736" s="5" t="n">
        <v>1</v>
      </c>
      <c r="F3736" s="6" t="inlineStr">
        <is>
          <t>2612 51 150 8851</t>
        </is>
      </c>
      <c r="G3736" s="15" t="inlineStr">
        <is>
          <t>2113034100</t>
        </is>
      </c>
      <c r="H3736" s="9" t="inlineStr">
        <is>
          <t>Signature Select Kidney Beans</t>
        </is>
      </c>
      <c r="I3736" s="9" t="n">
        <v>15</v>
      </c>
      <c r="J3736" s="9" t="inlineStr">
        <is>
          <t>oz</t>
        </is>
      </c>
      <c r="K3736" s="9" t="n">
        <v>0.99</v>
      </c>
    </row>
    <row r="3737" ht="15" customFormat="1" customHeight="1" s="5">
      <c r="A3737" s="81" t="n">
        <v>45726</v>
      </c>
      <c r="B3737" s="82" t="n">
        <v>0.7076388888888889</v>
      </c>
      <c r="C3737" s="5" t="inlineStr">
        <is>
          <t>Safeway</t>
        </is>
      </c>
      <c r="E3737" s="5" t="n">
        <v>1</v>
      </c>
      <c r="F3737" s="6" t="inlineStr">
        <is>
          <t>2612 51 150 8851</t>
        </is>
      </c>
      <c r="G3737" s="15" t="inlineStr">
        <is>
          <t>2113034122</t>
        </is>
      </c>
      <c r="H3737" s="9" t="inlineStr">
        <is>
          <t>Signature Select Cannellini Beans</t>
        </is>
      </c>
      <c r="I3737" s="9" t="n">
        <v>15.5</v>
      </c>
      <c r="J3737" s="9" t="inlineStr">
        <is>
          <t>oz</t>
        </is>
      </c>
      <c r="K3737" s="9" t="n">
        <v>0.99</v>
      </c>
    </row>
    <row r="3738" ht="15" customFormat="1" customHeight="1" s="5">
      <c r="A3738" s="81" t="n">
        <v>45726</v>
      </c>
      <c r="B3738" s="82" t="n">
        <v>0.7076388888888889</v>
      </c>
      <c r="C3738" s="5" t="inlineStr">
        <is>
          <t>Safeway</t>
        </is>
      </c>
      <c r="E3738" s="5" t="n">
        <v>1</v>
      </c>
      <c r="F3738" s="6" t="inlineStr">
        <is>
          <t>2612 51 150 8851</t>
        </is>
      </c>
      <c r="G3738" s="10" t="n"/>
      <c r="H3738" s="9" t="inlineStr">
        <is>
          <t>Tax</t>
        </is>
      </c>
      <c r="I3738" s="9" t="n">
        <v>14</v>
      </c>
      <c r="J3738" s="9" t="inlineStr">
        <is>
          <t>cnt</t>
        </is>
      </c>
      <c r="K3738" s="9" t="n">
        <v>0</v>
      </c>
    </row>
    <row r="3739" ht="15" customFormat="1" customHeight="1" s="5">
      <c r="A3739" s="81" t="n">
        <v>45726</v>
      </c>
      <c r="B3739" s="82" t="n">
        <v>0.7076388888888889</v>
      </c>
      <c r="C3739" s="5" t="inlineStr">
        <is>
          <t>Safeway</t>
        </is>
      </c>
      <c r="E3739" s="5" t="n">
        <v>1</v>
      </c>
      <c r="F3739" s="6" t="inlineStr">
        <is>
          <t>2612 51 150 8851</t>
        </is>
      </c>
      <c r="G3739" s="15" t="n"/>
      <c r="H3739" s="9" t="inlineStr">
        <is>
          <t>**DISCOUNT** Sausage</t>
        </is>
      </c>
      <c r="I3739" s="9" t="n">
        <v>2</v>
      </c>
      <c r="J3739" s="9" t="inlineStr">
        <is>
          <t>lb</t>
        </is>
      </c>
      <c r="K3739" s="9" t="n">
        <v>-1.74</v>
      </c>
    </row>
    <row r="3740" ht="15" customFormat="1" customHeight="1" s="5">
      <c r="A3740" s="81" t="n">
        <v>45726</v>
      </c>
      <c r="B3740" s="82" t="n">
        <v>0.7076388888888889</v>
      </c>
      <c r="C3740" s="5" t="inlineStr">
        <is>
          <t>Safeway</t>
        </is>
      </c>
      <c r="E3740" s="5" t="n">
        <v>1</v>
      </c>
      <c r="F3740" s="6" t="inlineStr">
        <is>
          <t>2612 51 150 8851</t>
        </is>
      </c>
      <c r="G3740" s="15" t="n"/>
      <c r="H3740" s="9" t="inlineStr">
        <is>
          <t>**DISCOUNT** Ice cream sale</t>
        </is>
      </c>
      <c r="I3740" s="9" t="n">
        <v>1.5</v>
      </c>
      <c r="J3740" s="9" t="inlineStr">
        <is>
          <t>quart</t>
        </is>
      </c>
      <c r="K3740" s="9" t="n">
        <v>-3.5</v>
      </c>
    </row>
    <row r="3741" ht="15" customFormat="1" customHeight="1" s="5">
      <c r="A3741" s="81" t="n">
        <v>45726</v>
      </c>
      <c r="B3741" s="82" t="n">
        <v>0.4361111111111111</v>
      </c>
      <c r="C3741" s="5" t="inlineStr">
        <is>
          <t>Costco</t>
        </is>
      </c>
      <c r="E3741" s="5" t="n">
        <v>1</v>
      </c>
      <c r="F3741" s="6" t="inlineStr">
        <is>
          <t>439 1 36 75</t>
        </is>
      </c>
      <c r="G3741" s="15" t="inlineStr">
        <is>
          <t>E 1320300</t>
        </is>
      </c>
      <c r="H3741" s="9" t="inlineStr">
        <is>
          <t>Proscuitto Di Parma of Italy</t>
        </is>
      </c>
      <c r="I3741" s="9" t="n">
        <v>12</v>
      </c>
      <c r="J3741" s="9" t="inlineStr">
        <is>
          <t>oz</t>
        </is>
      </c>
      <c r="K3741" s="9" t="n">
        <v>11.99</v>
      </c>
    </row>
    <row r="3742" ht="15" customFormat="1" customHeight="1" s="5">
      <c r="A3742" s="81" t="n">
        <v>45726</v>
      </c>
      <c r="B3742" s="82" t="n">
        <v>0.4361111111111111</v>
      </c>
      <c r="C3742" s="5" t="inlineStr">
        <is>
          <t>Costco</t>
        </is>
      </c>
      <c r="E3742" s="5" t="n">
        <v>1</v>
      </c>
      <c r="F3742" s="6" t="inlineStr">
        <is>
          <t>439 1 36 75</t>
        </is>
      </c>
      <c r="G3742" s="15" t="inlineStr">
        <is>
          <t>E 1335089</t>
        </is>
      </c>
      <c r="H3742" s="9" t="inlineStr">
        <is>
          <t>Bagels, 12 plain</t>
        </is>
      </c>
      <c r="I3742" s="9" t="n">
        <v>3</v>
      </c>
      <c r="J3742" s="9" t="inlineStr">
        <is>
          <t>lb</t>
        </is>
      </c>
      <c r="K3742" s="9" t="n">
        <v>7.99</v>
      </c>
    </row>
    <row r="3743" ht="15" customFormat="1" customHeight="1" s="5">
      <c r="A3743" s="81" t="n">
        <v>45726</v>
      </c>
      <c r="B3743" s="82" t="n">
        <v>0.4361111111111111</v>
      </c>
      <c r="C3743" s="5" t="inlineStr">
        <is>
          <t>Costco</t>
        </is>
      </c>
      <c r="E3743" s="5" t="n">
        <v>1</v>
      </c>
      <c r="F3743" s="6" t="inlineStr">
        <is>
          <t>439 1 36 75</t>
        </is>
      </c>
      <c r="G3743" s="15" t="inlineStr">
        <is>
          <t>E 2</t>
        </is>
      </c>
      <c r="H3743" s="9" t="inlineStr">
        <is>
          <t>Whole Milk, Homogenized</t>
        </is>
      </c>
      <c r="I3743" s="9" t="n">
        <v>2</v>
      </c>
      <c r="J3743" s="9" t="inlineStr">
        <is>
          <t>gal</t>
        </is>
      </c>
      <c r="K3743" s="9" t="n">
        <v>6.99</v>
      </c>
    </row>
    <row r="3744" ht="15" customFormat="1" customHeight="1" s="5">
      <c r="A3744" s="81" t="n">
        <v>45726</v>
      </c>
      <c r="B3744" s="82" t="n">
        <v>0.4361111111111111</v>
      </c>
      <c r="C3744" s="5" t="inlineStr">
        <is>
          <t>Costco</t>
        </is>
      </c>
      <c r="E3744" s="5" t="n">
        <v>1</v>
      </c>
      <c r="F3744" s="6" t="inlineStr">
        <is>
          <t>439 1 36 75</t>
        </is>
      </c>
      <c r="G3744" s="15" t="inlineStr">
        <is>
          <t>E 1048072</t>
        </is>
      </c>
      <c r="H3744" s="9" t="inlineStr">
        <is>
          <t>Greek Yogurt KS Plain NonFat Yogurt rBST-Free Grade A</t>
        </is>
      </c>
      <c r="I3744" s="9" t="n">
        <v>48</v>
      </c>
      <c r="J3744" s="9" t="inlineStr">
        <is>
          <t>oz</t>
        </is>
      </c>
      <c r="K3744" s="9" t="n">
        <v>6.89</v>
      </c>
    </row>
    <row r="3745" ht="15" customFormat="1" customHeight="1" s="5">
      <c r="A3745" s="81" t="n">
        <v>45726</v>
      </c>
      <c r="B3745" s="82" t="n">
        <v>0.4361111111111111</v>
      </c>
      <c r="C3745" s="5" t="inlineStr">
        <is>
          <t>Costco</t>
        </is>
      </c>
      <c r="E3745" s="5" t="n">
        <v>1</v>
      </c>
      <c r="F3745" s="6" t="inlineStr">
        <is>
          <t>439 1 36 75</t>
        </is>
      </c>
      <c r="G3745" s="15" t="inlineStr">
        <is>
          <t>E 1014484</t>
        </is>
      </c>
      <c r="H3745" s="9" t="inlineStr">
        <is>
          <t xml:space="preserve">Cantaloupe </t>
        </is>
      </c>
      <c r="I3745" s="9" t="n">
        <v>2</v>
      </c>
      <c r="J3745" s="9" t="inlineStr">
        <is>
          <t>cnt</t>
        </is>
      </c>
      <c r="K3745" s="9" t="n">
        <v>5.69</v>
      </c>
    </row>
    <row r="3746" ht="15" customFormat="1" customHeight="1" s="5">
      <c r="A3746" s="81" t="n">
        <v>45726</v>
      </c>
      <c r="B3746" s="82" t="n">
        <v>0.4361111111111111</v>
      </c>
      <c r="C3746" s="5" t="inlineStr">
        <is>
          <t>Costco</t>
        </is>
      </c>
      <c r="E3746" s="5" t="n">
        <v>1</v>
      </c>
      <c r="F3746" s="6" t="inlineStr">
        <is>
          <t>439 1 36 75</t>
        </is>
      </c>
      <c r="G3746" s="15" t="inlineStr">
        <is>
          <t>E 96716</t>
        </is>
      </c>
      <c r="H3746" s="9" t="inlineStr">
        <is>
          <t>Organic Spinach</t>
        </is>
      </c>
      <c r="I3746" s="9" t="n">
        <v>16</v>
      </c>
      <c r="J3746" s="9" t="inlineStr">
        <is>
          <t>oz</t>
        </is>
      </c>
      <c r="K3746" s="9" t="n">
        <v>3.89</v>
      </c>
    </row>
    <row r="3747" ht="15" customFormat="1" customHeight="1" s="5">
      <c r="A3747" s="81" t="n">
        <v>45726</v>
      </c>
      <c r="B3747" s="82" t="n">
        <v>0.4361111111111111</v>
      </c>
      <c r="C3747" s="5" t="inlineStr">
        <is>
          <t>Costco</t>
        </is>
      </c>
      <c r="E3747" s="5" t="n">
        <v>1</v>
      </c>
      <c r="F3747" s="6" t="inlineStr">
        <is>
          <t>439 1 36 75</t>
        </is>
      </c>
      <c r="G3747" s="15" t="n"/>
      <c r="H3747" s="9" t="inlineStr">
        <is>
          <t>Tax</t>
        </is>
      </c>
      <c r="I3747" s="9" t="n">
        <v>6</v>
      </c>
      <c r="J3747" s="9" t="inlineStr">
        <is>
          <t>cnt</t>
        </is>
      </c>
      <c r="K3747" s="9" t="n">
        <v>0</v>
      </c>
    </row>
    <row r="3748" ht="15" customFormat="1" customHeight="1" s="5">
      <c r="A3748" s="81" t="n">
        <v>45726</v>
      </c>
      <c r="B3748" s="82" t="n">
        <v>0.4361111111111111</v>
      </c>
      <c r="C3748" s="5" t="inlineStr">
        <is>
          <t>Costco</t>
        </is>
      </c>
      <c r="E3748" s="5" t="n">
        <v>1</v>
      </c>
      <c r="F3748" s="6" t="inlineStr">
        <is>
          <t>439 1 36 75</t>
        </is>
      </c>
      <c r="G3748" s="15" t="n"/>
      <c r="H3748" s="9" t="inlineStr">
        <is>
          <t>Costco shop card</t>
        </is>
      </c>
      <c r="I3748" s="9" t="n"/>
      <c r="J3748" s="9" t="n"/>
      <c r="K3748" s="9" t="n">
        <v>-5.4</v>
      </c>
    </row>
    <row r="3749" ht="15" customFormat="1" customHeight="1" s="5">
      <c r="A3749" s="81" t="n">
        <v>45726</v>
      </c>
      <c r="B3749" s="82" t="n">
        <v>0.4361111111111111</v>
      </c>
      <c r="C3749" s="5" t="inlineStr">
        <is>
          <t>Costco</t>
        </is>
      </c>
      <c r="E3749" s="5" t="n">
        <v>1</v>
      </c>
      <c r="F3749" s="6" t="inlineStr">
        <is>
          <t>439 1 36 75</t>
        </is>
      </c>
      <c r="G3749" s="15" t="n"/>
      <c r="H3749" s="9" t="inlineStr">
        <is>
          <t>COSTCO REWARDS (Lydia) Paid</t>
        </is>
      </c>
      <c r="I3749" s="9" t="n"/>
      <c r="J3749" s="9" t="n"/>
      <c r="K3749" s="9" t="n">
        <v>-38.04</v>
      </c>
    </row>
    <row r="3750" ht="15" customFormat="1" customHeight="1" s="5">
      <c r="A3750" s="81" t="n">
        <v>45726</v>
      </c>
      <c r="B3750" s="82" t="n">
        <v>0.4361111111111111</v>
      </c>
      <c r="C3750" s="5" t="inlineStr">
        <is>
          <t>Costco</t>
        </is>
      </c>
      <c r="E3750" s="5" t="n">
        <v>1</v>
      </c>
      <c r="F3750" s="6" t="inlineStr">
        <is>
          <t>439 1 36 75</t>
        </is>
      </c>
      <c r="G3750" s="15" t="n"/>
      <c r="H3750" s="9" t="inlineStr">
        <is>
          <t>COSTCO REWARDS (Lydia) Cashback</t>
        </is>
      </c>
      <c r="I3750" s="9" t="n"/>
      <c r="J3750" s="9" t="n"/>
      <c r="K3750" s="9" t="n">
        <v>-44.58</v>
      </c>
    </row>
    <row r="3751" ht="15" customFormat="1" customHeight="1" s="5">
      <c r="A3751" s="81" t="n">
        <v>45725</v>
      </c>
      <c r="B3751" s="82" t="n">
        <v>0.4270833333333333</v>
      </c>
      <c r="C3751" s="5" t="inlineStr">
        <is>
          <t>Amazon</t>
        </is>
      </c>
      <c r="D3751" s="5" t="n">
        <v>1</v>
      </c>
      <c r="F3751" s="6" t="inlineStr">
        <is>
          <t>111-1632653-5033847</t>
        </is>
      </c>
      <c r="G3751" s="10" t="n"/>
      <c r="H3751" s="9" t="inlineStr">
        <is>
          <t>**CANCELLED** Slumberpod</t>
        </is>
      </c>
      <c r="I3751" s="9" t="n"/>
      <c r="J3751" s="9" t="n"/>
      <c r="K3751" s="9" t="n">
        <v>-159.99</v>
      </c>
    </row>
    <row r="3752" ht="15" customFormat="1" customHeight="1" s="5">
      <c r="A3752" s="81" t="n">
        <v>45725</v>
      </c>
      <c r="B3752" s="82" t="n">
        <v>0.4263888888888889</v>
      </c>
      <c r="C3752" s="5" t="inlineStr">
        <is>
          <t>Amazon</t>
        </is>
      </c>
      <c r="D3752" s="5" t="n">
        <v>1</v>
      </c>
      <c r="F3752" s="6" t="inlineStr">
        <is>
          <t>111-9354150-4404239</t>
        </is>
      </c>
      <c r="G3752" s="10" t="n"/>
      <c r="H3752" s="9" t="inlineStr">
        <is>
          <t>**REFUNDED** Stroller Tax</t>
        </is>
      </c>
      <c r="I3752" s="9" t="n">
        <v>1</v>
      </c>
      <c r="J3752" s="9" t="inlineStr">
        <is>
          <t>cnt</t>
        </is>
      </c>
      <c r="K3752" s="9" t="n">
        <v>-2.1</v>
      </c>
    </row>
    <row r="3753" ht="15" customFormat="1" customHeight="1" s="5">
      <c r="A3753" s="81" t="n">
        <v>45725</v>
      </c>
      <c r="B3753" s="82" t="n">
        <v>0.4263888888888889</v>
      </c>
      <c r="C3753" s="5" t="inlineStr">
        <is>
          <t>Amazon</t>
        </is>
      </c>
      <c r="D3753" s="5" t="n">
        <v>1</v>
      </c>
      <c r="F3753" s="6" t="inlineStr">
        <is>
          <t>111-9354150-4404239</t>
        </is>
      </c>
      <c r="G3753" s="10" t="n"/>
      <c r="H3753" s="9" t="inlineStr">
        <is>
          <t>**REFUNDED** Stroller Bag for Airplane, Large Stroller Bag for Airplane Travel, Jogger &amp; Double Stroller Travel Bag - Fits Most Sizes, Gate Check Stroller Bag, Dou</t>
        </is>
      </c>
      <c r="I3753" s="9" t="n">
        <v>1</v>
      </c>
      <c r="J3753" s="9" t="inlineStr">
        <is>
          <t>cnt</t>
        </is>
      </c>
      <c r="K3753" s="9" t="n">
        <v>-29.99</v>
      </c>
    </row>
    <row r="3754" ht="15" customFormat="1" customHeight="1" s="5">
      <c r="A3754" s="81" t="n">
        <v>45725</v>
      </c>
      <c r="B3754" s="82" t="n">
        <v>0.3208333333333334</v>
      </c>
      <c r="C3754" s="5" t="inlineStr">
        <is>
          <t>Amazon</t>
        </is>
      </c>
      <c r="D3754" s="5" t="n">
        <v>1</v>
      </c>
      <c r="F3754" s="6" t="inlineStr">
        <is>
          <t>111-1632653-5033847</t>
        </is>
      </c>
      <c r="G3754" s="10" t="n"/>
      <c r="H3754" s="9" t="inlineStr">
        <is>
          <t>Slumberpod</t>
        </is>
      </c>
      <c r="I3754" s="9" t="n"/>
      <c r="J3754" s="9" t="n"/>
      <c r="K3754" s="9" t="n">
        <v>159.99</v>
      </c>
    </row>
    <row r="3755" ht="15" customFormat="1" customHeight="1" s="5">
      <c r="A3755" s="81" t="n">
        <v>45724</v>
      </c>
      <c r="B3755" s="82" t="n">
        <v>0.9916666666666667</v>
      </c>
      <c r="C3755" s="5" t="inlineStr">
        <is>
          <t>Lyft</t>
        </is>
      </c>
      <c r="D3755" s="5" t="n">
        <v>1</v>
      </c>
      <c r="F3755" s="6" t="n"/>
      <c r="G3755" s="10" t="n"/>
      <c r="H3755" s="9" t="inlineStr">
        <is>
          <t>Standard fare (21.19mi, 28m 53s)</t>
        </is>
      </c>
      <c r="I3755" s="9" t="n"/>
      <c r="J3755" s="9" t="n"/>
      <c r="K3755" s="9" t="n">
        <v>32.99</v>
      </c>
    </row>
    <row r="3756" ht="15" customFormat="1" customHeight="1" s="5">
      <c r="A3756" s="81" t="n">
        <v>45724</v>
      </c>
      <c r="B3756" s="82" t="n">
        <v>0.9916666666666667</v>
      </c>
      <c r="C3756" s="5" t="inlineStr">
        <is>
          <t>Lyft</t>
        </is>
      </c>
      <c r="D3756" s="5" t="n">
        <v>1</v>
      </c>
      <c r="F3756" s="6" t="n"/>
      <c r="G3756" s="10" t="n"/>
      <c r="H3756" s="9" t="inlineStr">
        <is>
          <t>Tip</t>
        </is>
      </c>
      <c r="I3756" s="9" t="n"/>
      <c r="J3756" s="9" t="n"/>
      <c r="K3756" s="9" t="n">
        <v>6</v>
      </c>
    </row>
    <row r="3757" ht="15" customFormat="1" customHeight="1" s="5">
      <c r="A3757" s="81" t="n">
        <v>45724</v>
      </c>
      <c r="B3757" s="82" t="n">
        <v>0.9916666666666667</v>
      </c>
      <c r="C3757" s="5" t="inlineStr">
        <is>
          <t>Lyft</t>
        </is>
      </c>
      <c r="D3757" s="5" t="n">
        <v>1</v>
      </c>
      <c r="F3757" s="6" t="n"/>
      <c r="G3757" s="10" t="n"/>
      <c r="H3757" s="9" t="inlineStr">
        <is>
          <t>LYFT Promotion</t>
        </is>
      </c>
      <c r="I3757" s="9" t="n"/>
      <c r="J3757" s="9" t="n"/>
      <c r="K3757" s="9" t="n">
        <v>-5</v>
      </c>
    </row>
    <row r="3758" ht="15" customFormat="1" customHeight="1" s="5">
      <c r="A3758" s="81" t="n">
        <v>45723</v>
      </c>
      <c r="B3758" s="82" t="n">
        <v>0.9583333333333334</v>
      </c>
      <c r="C3758" s="5" t="inlineStr">
        <is>
          <t>Amazon</t>
        </is>
      </c>
      <c r="D3758" s="5" t="n">
        <v>1</v>
      </c>
      <c r="F3758" s="6" t="inlineStr">
        <is>
          <t>111-9354150-4404239</t>
        </is>
      </c>
      <c r="G3758" s="10" t="n"/>
      <c r="H3758" s="9" t="inlineStr">
        <is>
          <t>Stroller bag</t>
        </is>
      </c>
      <c r="I3758" s="9" t="n">
        <v>1</v>
      </c>
      <c r="J3758" s="9" t="inlineStr">
        <is>
          <t>cnt</t>
        </is>
      </c>
      <c r="K3758" s="9" t="n">
        <v>29.99</v>
      </c>
    </row>
    <row r="3759" ht="15" customFormat="1" customHeight="1" s="5">
      <c r="A3759" s="81" t="n">
        <v>45723</v>
      </c>
      <c r="B3759" s="82" t="n">
        <v>0.9583333333333334</v>
      </c>
      <c r="C3759" s="5" t="inlineStr">
        <is>
          <t>Amazon</t>
        </is>
      </c>
      <c r="D3759" s="5" t="n">
        <v>1</v>
      </c>
      <c r="F3759" s="6" t="inlineStr">
        <is>
          <t>111-9354150-4404239</t>
        </is>
      </c>
      <c r="G3759" s="10" t="n"/>
      <c r="H3759" s="9" t="inlineStr">
        <is>
          <t>Tax</t>
        </is>
      </c>
      <c r="I3759" s="9" t="n">
        <v>1</v>
      </c>
      <c r="J3759" s="9" t="inlineStr">
        <is>
          <t>cnt</t>
        </is>
      </c>
      <c r="K3759" s="9" t="n">
        <v>2.1</v>
      </c>
    </row>
    <row r="3760" ht="15" customFormat="1" customHeight="1" s="5">
      <c r="A3760" s="81" t="n">
        <v>45723</v>
      </c>
      <c r="B3760" s="82" t="n">
        <v>0.7319444444444444</v>
      </c>
      <c r="C3760" s="5" t="inlineStr">
        <is>
          <t>Venmo</t>
        </is>
      </c>
      <c r="D3760" s="5" t="n">
        <v>1</v>
      </c>
      <c r="F3760" s="6" t="inlineStr">
        <is>
          <t>4283442150879411775</t>
        </is>
      </c>
      <c r="G3760" s="10" t="n"/>
      <c r="H3760" s="9" t="inlineStr">
        <is>
          <t>Shooting with Christian: $25 (390 ammo) + $25 (38 special ammo) + $20 (range fee)</t>
        </is>
      </c>
      <c r="I3760" s="9" t="n">
        <v>3</v>
      </c>
      <c r="J3760" s="9" t="inlineStr">
        <is>
          <t>cnt</t>
        </is>
      </c>
      <c r="K3760" s="9" t="n">
        <v>70</v>
      </c>
    </row>
    <row r="3761" ht="15" customFormat="1" customHeight="1" s="5">
      <c r="A3761" s="81" t="n">
        <v>45723</v>
      </c>
      <c r="B3761" s="82" t="n">
        <v>0.5631481481481482</v>
      </c>
      <c r="C3761" s="5" t="inlineStr">
        <is>
          <t>Thai Sawatdee</t>
        </is>
      </c>
      <c r="E3761" s="5" t="n">
        <v>1</v>
      </c>
      <c r="F3761" s="6" t="inlineStr">
        <is>
          <t>201862</t>
        </is>
      </c>
      <c r="G3761" s="10" t="n"/>
      <c r="H3761" s="9" t="inlineStr">
        <is>
          <t>Spicy Catfish</t>
        </is>
      </c>
      <c r="I3761" s="9" t="n"/>
      <c r="J3761" s="9" t="n"/>
      <c r="K3761" s="9" t="n">
        <v>11.95</v>
      </c>
    </row>
    <row r="3762" ht="15" customFormat="1" customHeight="1" s="5">
      <c r="A3762" s="81" t="n">
        <v>45723</v>
      </c>
      <c r="B3762" s="82" t="n">
        <v>0.5631481481481482</v>
      </c>
      <c r="C3762" s="5" t="inlineStr">
        <is>
          <t>Thai Sawatdee</t>
        </is>
      </c>
      <c r="E3762" s="5" t="n">
        <v>1</v>
      </c>
      <c r="F3762" s="6" t="inlineStr">
        <is>
          <t>201862</t>
        </is>
      </c>
      <c r="G3762" s="10" t="n"/>
      <c r="H3762" s="9" t="inlineStr">
        <is>
          <t>Chicken Green Cury, Mild</t>
        </is>
      </c>
      <c r="I3762" s="9" t="n"/>
      <c r="J3762" s="9" t="n"/>
      <c r="K3762" s="9" t="n">
        <v>10.95</v>
      </c>
    </row>
    <row r="3763" ht="15" customFormat="1" customHeight="1" s="5">
      <c r="A3763" s="81" t="n">
        <v>45723</v>
      </c>
      <c r="B3763" s="82" t="n">
        <v>0.5631481481481482</v>
      </c>
      <c r="C3763" s="5" t="inlineStr">
        <is>
          <t>Thai Sawatdee</t>
        </is>
      </c>
      <c r="E3763" s="5" t="n">
        <v>1</v>
      </c>
      <c r="F3763" s="6" t="inlineStr">
        <is>
          <t>201862</t>
        </is>
      </c>
      <c r="G3763" s="10" t="n"/>
      <c r="H3763" s="9" t="inlineStr">
        <is>
          <t>Roasted Pork Pad Thai, Medium Spicy</t>
        </is>
      </c>
      <c r="I3763" s="9" t="n"/>
      <c r="J3763" s="9" t="n"/>
      <c r="K3763" s="9" t="n">
        <v>10.95</v>
      </c>
    </row>
    <row r="3764" ht="15" customFormat="1" customHeight="1" s="5">
      <c r="A3764" s="81" t="n">
        <v>45723</v>
      </c>
      <c r="B3764" s="82" t="n">
        <v>0.5631481481481482</v>
      </c>
      <c r="C3764" s="5" t="inlineStr">
        <is>
          <t>Thai Sawatdee</t>
        </is>
      </c>
      <c r="E3764" s="5" t="n">
        <v>1</v>
      </c>
      <c r="F3764" s="6" t="inlineStr">
        <is>
          <t>201862</t>
        </is>
      </c>
      <c r="G3764" s="10" t="n"/>
      <c r="H3764" s="9" t="inlineStr">
        <is>
          <t>Sales Tax 7%</t>
        </is>
      </c>
      <c r="I3764" s="9" t="n">
        <v>3</v>
      </c>
      <c r="J3764" s="9" t="inlineStr">
        <is>
          <t>cnt</t>
        </is>
      </c>
      <c r="K3764" s="9" t="n">
        <v>2.44</v>
      </c>
    </row>
    <row r="3765" ht="15" customFormat="1" customHeight="1" s="5">
      <c r="A3765" s="81" t="n">
        <v>45723</v>
      </c>
      <c r="B3765" s="82" t="n">
        <v>0.5631481481481482</v>
      </c>
      <c r="C3765" s="5" t="inlineStr">
        <is>
          <t>Thai Sawatdee</t>
        </is>
      </c>
      <c r="E3765" s="5" t="n">
        <v>1</v>
      </c>
      <c r="F3765" s="6" t="inlineStr">
        <is>
          <t>201862</t>
        </is>
      </c>
      <c r="G3765" s="10" t="n"/>
      <c r="H3765" s="9" t="inlineStr">
        <is>
          <t>Extra Veg (Eggplant)</t>
        </is>
      </c>
      <c r="I3765" s="9" t="n"/>
      <c r="J3765" s="9" t="n"/>
      <c r="K3765" s="9" t="n">
        <v>1</v>
      </c>
    </row>
    <row r="3766" ht="15" customFormat="1" customHeight="1" s="5">
      <c r="A3766" s="81" t="n">
        <v>45723</v>
      </c>
      <c r="B3766" s="82" t="n">
        <v>0.5631481481481482</v>
      </c>
      <c r="C3766" s="5" t="inlineStr">
        <is>
          <t>Thai Sawatdee</t>
        </is>
      </c>
      <c r="E3766" s="5" t="n">
        <v>1</v>
      </c>
      <c r="F3766" s="6" t="inlineStr">
        <is>
          <t>201862</t>
        </is>
      </c>
      <c r="G3766" s="10" t="n"/>
      <c r="H3766" s="9" t="inlineStr">
        <is>
          <t>Mary Wu TREAT lunch after hike</t>
        </is>
      </c>
      <c r="I3766" s="9" t="n">
        <v>3</v>
      </c>
      <c r="J3766" s="9" t="inlineStr">
        <is>
          <t>cnt</t>
        </is>
      </c>
      <c r="K3766" s="9" t="n">
        <v>-37.29</v>
      </c>
    </row>
    <row r="3767" ht="15" customFormat="1" customHeight="1" s="5">
      <c r="A3767" s="81" t="n">
        <v>45722</v>
      </c>
      <c r="B3767" s="82" t="n">
        <v>0.3569444444444445</v>
      </c>
      <c r="C3767" s="5" t="inlineStr">
        <is>
          <t>Discover</t>
        </is>
      </c>
      <c r="D3767" s="5" t="n">
        <v>1</v>
      </c>
      <c r="F3767" s="6" t="inlineStr">
        <is>
          <t>871892111</t>
        </is>
      </c>
      <c r="G3767" s="10" t="n"/>
      <c r="H3767" s="9" t="inlineStr">
        <is>
          <t>CashBack for Eli's discover card</t>
        </is>
      </c>
      <c r="I3767" s="9" t="n">
        <v>1</v>
      </c>
      <c r="J3767" s="9" t="inlineStr">
        <is>
          <t>cnt</t>
        </is>
      </c>
      <c r="K3767" s="9" t="n">
        <v>-2.11</v>
      </c>
    </row>
    <row r="3768" ht="15" customFormat="1" customHeight="1" s="5">
      <c r="A3768" s="81" t="n">
        <v>45722</v>
      </c>
      <c r="B3768" s="82" t="n">
        <v>0.2916666666666667</v>
      </c>
      <c r="C3768" s="5" t="inlineStr">
        <is>
          <t>US Tax Witholding</t>
        </is>
      </c>
      <c r="D3768" s="5" t="n">
        <v>1</v>
      </c>
      <c r="F3768" s="6" t="inlineStr">
        <is>
          <t>RTX_Paycheck_25_32</t>
        </is>
      </c>
      <c r="G3768" s="7" t="n"/>
      <c r="H3768" s="9" t="inlineStr">
        <is>
          <t>Social Security Tax</t>
        </is>
      </c>
      <c r="I3768" s="9" t="n"/>
      <c r="J3768" s="9" t="n"/>
      <c r="K3768" s="9" t="n">
        <v>237.25</v>
      </c>
    </row>
    <row r="3769" ht="15" customFormat="1" customHeight="1" s="5">
      <c r="A3769" s="81" t="n">
        <v>45722</v>
      </c>
      <c r="B3769" s="82" t="n">
        <v>0.2916666666666667</v>
      </c>
      <c r="C3769" s="5" t="inlineStr">
        <is>
          <t>US Tax Witholding</t>
        </is>
      </c>
      <c r="D3769" s="5" t="n">
        <v>1</v>
      </c>
      <c r="F3769" s="6" t="inlineStr">
        <is>
          <t>RTX_Paycheck_25_32</t>
        </is>
      </c>
      <c r="G3769" s="7" t="n"/>
      <c r="H3769" s="9" t="inlineStr">
        <is>
          <t>Medicare Tax</t>
        </is>
      </c>
      <c r="I3769" s="9" t="n"/>
      <c r="J3769" s="9" t="n"/>
      <c r="K3769" s="9" t="n">
        <v>55.49</v>
      </c>
    </row>
    <row r="3770" ht="15" customFormat="1" customHeight="1" s="5">
      <c r="A3770" s="81" t="n">
        <v>45722</v>
      </c>
      <c r="B3770" s="82" t="n">
        <v>0.2916666666666667</v>
      </c>
      <c r="C3770" s="5" t="inlineStr">
        <is>
          <t>Raytheon</t>
        </is>
      </c>
      <c r="D3770" s="5" t="n">
        <v>1</v>
      </c>
      <c r="F3770" s="6" t="inlineStr">
        <is>
          <t>RTX_Paycheck_25_32</t>
        </is>
      </c>
      <c r="G3770" s="17" t="inlineStr">
        <is>
          <t>XXXX3523</t>
        </is>
      </c>
      <c r="H3770" s="9" t="inlineStr">
        <is>
          <t>Net Paycheck [Feb 15 - Feb 28]</t>
        </is>
      </c>
      <c r="I3770" s="9" t="n"/>
      <c r="J3770" s="9" t="n"/>
      <c r="K3770" s="9" t="n">
        <v>3123.4</v>
      </c>
    </row>
    <row r="3771" ht="15" customFormat="1" customHeight="1" s="5">
      <c r="A3771" s="81" t="n">
        <v>45722</v>
      </c>
      <c r="B3771" s="82" t="n">
        <v>0.2916666666666667</v>
      </c>
      <c r="C3771" s="5" t="inlineStr">
        <is>
          <t>Raytheon</t>
        </is>
      </c>
      <c r="D3771" s="5" t="n">
        <v>1</v>
      </c>
      <c r="F3771" s="6" t="inlineStr">
        <is>
          <t>RTX_Paycheck_25_32</t>
        </is>
      </c>
      <c r="G3771" s="7" t="n"/>
      <c r="H3771" s="9" t="inlineStr">
        <is>
          <t>RTX Direct Deposit -- cancelling offset</t>
        </is>
      </c>
      <c r="I3771" s="9" t="n"/>
      <c r="J3771" s="9" t="n"/>
      <c r="K3771" s="9" t="n">
        <v>-3123.41</v>
      </c>
    </row>
    <row r="3772" ht="15" customFormat="1" customHeight="1" s="5">
      <c r="A3772" s="81" t="n">
        <v>45722</v>
      </c>
      <c r="B3772" s="82" t="n">
        <v>0.2916666666666667</v>
      </c>
      <c r="C3772" s="5" t="inlineStr">
        <is>
          <t>Raytheon</t>
        </is>
      </c>
      <c r="D3772" s="5" t="n">
        <v>1</v>
      </c>
      <c r="F3772" s="6" t="inlineStr">
        <is>
          <t>RTX_Paycheck_25_32</t>
        </is>
      </c>
      <c r="G3772" s="7" t="n"/>
      <c r="H3772" s="9" t="inlineStr">
        <is>
          <t>Gross Paycheck [Feb 15 - Feb 28]</t>
        </is>
      </c>
      <c r="I3772" s="9" t="n"/>
      <c r="J3772" s="9" t="n"/>
      <c r="K3772" s="9" t="n">
        <v>-4040.95</v>
      </c>
    </row>
    <row r="3773" ht="15" customFormat="1" customHeight="1" s="5">
      <c r="A3773" s="81" t="n">
        <v>45722</v>
      </c>
      <c r="B3773" s="82" t="n">
        <v>0.2916666666666667</v>
      </c>
      <c r="C3773" s="5" t="inlineStr">
        <is>
          <t>Parents Gift Account</t>
        </is>
      </c>
      <c r="D3773" s="5" t="n">
        <v>1</v>
      </c>
      <c r="F3773" s="6" t="inlineStr">
        <is>
          <t>RTX_Paycheck_25_32</t>
        </is>
      </c>
      <c r="G3773" s="17" t="inlineStr">
        <is>
          <t>XXXX7146</t>
        </is>
      </c>
      <c r="H3773" s="9" t="inlineStr">
        <is>
          <t>Contribution to Parents Gift Account</t>
        </is>
      </c>
      <c r="I3773" s="9" t="n"/>
      <c r="J3773" s="9" t="n"/>
      <c r="K3773" s="9" t="n">
        <v>0.01</v>
      </c>
    </row>
    <row r="3774" ht="15" customFormat="1" customHeight="1" s="5">
      <c r="A3774" s="81" t="n">
        <v>45722</v>
      </c>
      <c r="B3774" s="82" t="n">
        <v>0.2916666666666667</v>
      </c>
      <c r="C3774" s="5" t="inlineStr">
        <is>
          <t>HSA</t>
        </is>
      </c>
      <c r="D3774" s="5" t="n">
        <v>1</v>
      </c>
      <c r="F3774" s="6" t="inlineStr">
        <is>
          <t>RTX_Paycheck_25_32</t>
        </is>
      </c>
      <c r="G3774" s="7" t="n"/>
      <c r="H3774" s="9" t="inlineStr">
        <is>
          <t>Personal contribution to HSA</t>
        </is>
      </c>
      <c r="I3774" s="9" t="n"/>
      <c r="J3774" s="9" t="n"/>
      <c r="K3774" s="9" t="n">
        <v>142.31</v>
      </c>
    </row>
    <row r="3775" ht="15" customFormat="1" customHeight="1" s="5">
      <c r="A3775" s="81" t="n">
        <v>45722</v>
      </c>
      <c r="B3775" s="82" t="n">
        <v>0.2916666666666667</v>
      </c>
      <c r="C3775" s="5" t="inlineStr">
        <is>
          <t>Delta Dental</t>
        </is>
      </c>
      <c r="D3775" s="5" t="n">
        <v>1</v>
      </c>
      <c r="F3775" s="6" t="inlineStr">
        <is>
          <t>RTX_Paycheck_25_32</t>
        </is>
      </c>
      <c r="G3775" s="10" t="n"/>
      <c r="H3775" s="9" t="inlineStr">
        <is>
          <t>Dental Insurance</t>
        </is>
      </c>
      <c r="I3775" s="9" t="n"/>
      <c r="J3775" s="9" t="n"/>
      <c r="K3775" s="9" t="n">
        <v>4.26</v>
      </c>
    </row>
    <row r="3776" ht="15" customFormat="1" customHeight="1" s="5">
      <c r="A3776" s="81" t="n">
        <v>45722</v>
      </c>
      <c r="B3776" s="82" t="n">
        <v>0.2916666666666667</v>
      </c>
      <c r="C3776" s="5" t="inlineStr">
        <is>
          <t>CO Tax Witholding</t>
        </is>
      </c>
      <c r="D3776" s="5" t="n">
        <v>1</v>
      </c>
      <c r="F3776" s="6" t="inlineStr">
        <is>
          <t>RTX_Paycheck_25_32</t>
        </is>
      </c>
      <c r="G3776" s="7" t="n"/>
      <c r="H3776" s="9" t="inlineStr">
        <is>
          <t>CO State Income Tax</t>
        </is>
      </c>
      <c r="I3776" s="9" t="n"/>
      <c r="J3776" s="9" t="n"/>
      <c r="K3776" s="9" t="n">
        <v>142.49</v>
      </c>
    </row>
    <row r="3777" ht="15" customFormat="1" customHeight="1" s="5">
      <c r="A3777" s="81" t="n">
        <v>45722</v>
      </c>
      <c r="B3777" s="82" t="n">
        <v>0.2916666666666667</v>
      </c>
      <c r="C3777" s="5" t="inlineStr">
        <is>
          <t>CO Tax Witholding</t>
        </is>
      </c>
      <c r="D3777" s="5" t="n">
        <v>1</v>
      </c>
      <c r="F3777" s="6" t="inlineStr">
        <is>
          <t>RTX_Paycheck_25_32</t>
        </is>
      </c>
      <c r="G3777" s="7" t="n"/>
      <c r="H3777" s="9" t="inlineStr">
        <is>
          <t>CO Paid Family Leave Insurance</t>
        </is>
      </c>
      <c r="I3777" s="9" t="n"/>
      <c r="J3777" s="9" t="n"/>
      <c r="K3777" s="9" t="n">
        <v>18.18</v>
      </c>
    </row>
    <row r="3778" ht="15" customFormat="1" customHeight="1" s="5">
      <c r="A3778" s="81" t="n">
        <v>45722</v>
      </c>
      <c r="B3778" s="82" t="n">
        <v>0.2916666666666667</v>
      </c>
      <c r="C3778" s="5" t="inlineStr">
        <is>
          <t>CO Tax Witholding</t>
        </is>
      </c>
      <c r="D3778" s="5" t="n">
        <v>1</v>
      </c>
      <c r="F3778" s="6" t="inlineStr">
        <is>
          <t>RTX_Paycheck_25_32</t>
        </is>
      </c>
      <c r="G3778" s="7" t="n"/>
      <c r="H3778" s="9" t="inlineStr">
        <is>
          <t xml:space="preserve">"POSTAX INS MRSH" ? </t>
        </is>
      </c>
      <c r="I3778" s="9" t="n"/>
      <c r="J3778" s="9" t="n"/>
      <c r="K3778" s="9" t="n">
        <v>5.9</v>
      </c>
    </row>
    <row r="3779" ht="15" customFormat="1" customHeight="1" s="5">
      <c r="A3779" s="81" t="n">
        <v>45722</v>
      </c>
      <c r="B3779" s="82" t="n">
        <v>0.2916666666666667</v>
      </c>
      <c r="C3779" s="5" t="inlineStr">
        <is>
          <t>Anthem BcBs</t>
        </is>
      </c>
      <c r="D3779" s="5" t="n">
        <v>1</v>
      </c>
      <c r="F3779" s="6" t="inlineStr">
        <is>
          <t>RTX_Paycheck_25_32</t>
        </is>
      </c>
      <c r="G3779" s="7" t="n"/>
      <c r="H3779" s="9" t="inlineStr">
        <is>
          <t>Medical Insurance</t>
        </is>
      </c>
      <c r="I3779" s="9" t="n"/>
      <c r="J3779" s="9" t="n"/>
      <c r="K3779" s="9" t="n">
        <v>69.2</v>
      </c>
    </row>
    <row r="3780" ht="15" customFormat="1" customHeight="1" s="5">
      <c r="A3780" s="81" t="n">
        <v>45722</v>
      </c>
      <c r="B3780" s="82" t="n">
        <v>0.2916666666666667</v>
      </c>
      <c r="C3780" s="5" t="inlineStr">
        <is>
          <t>Alight</t>
        </is>
      </c>
      <c r="D3780" s="5" t="n">
        <v>1</v>
      </c>
      <c r="F3780" s="6" t="inlineStr">
        <is>
          <t>RTX_Paycheck_25_32</t>
        </is>
      </c>
      <c r="G3780" s="7" t="n"/>
      <c r="H3780" s="9" t="inlineStr">
        <is>
          <t>401k Basic -- Traditional</t>
        </is>
      </c>
      <c r="I3780" s="9" t="n"/>
      <c r="J3780" s="9" t="n"/>
      <c r="K3780" s="9" t="n">
        <v>202.05</v>
      </c>
    </row>
    <row r="3781" ht="15" customFormat="1" customHeight="1" s="5">
      <c r="A3781" s="81" t="n">
        <v>45722</v>
      </c>
      <c r="B3781" s="82" t="n">
        <v>0.2916666666666667</v>
      </c>
      <c r="C3781" s="5" t="inlineStr">
        <is>
          <t>Alight</t>
        </is>
      </c>
      <c r="D3781" s="5" t="n">
        <v>1</v>
      </c>
      <c r="F3781" s="6" t="inlineStr">
        <is>
          <t>RTX_Paycheck_25_32</t>
        </is>
      </c>
      <c r="G3781" s="7" t="n"/>
      <c r="H3781" s="9" t="inlineStr">
        <is>
          <t>Roth 401k Basic</t>
        </is>
      </c>
      <c r="I3781" s="9" t="n"/>
      <c r="J3781" s="9" t="n"/>
      <c r="K3781" s="9" t="n">
        <v>40.41</v>
      </c>
    </row>
    <row r="3782" ht="15" customFormat="1" customHeight="1" s="5">
      <c r="A3782" s="81" t="n">
        <v>45721</v>
      </c>
      <c r="B3782" s="82" t="n">
        <v>0.8138888888888889</v>
      </c>
      <c r="C3782" s="5" t="inlineStr">
        <is>
          <t>Harris Teeter</t>
        </is>
      </c>
      <c r="E3782" s="5" t="n">
        <v>1</v>
      </c>
      <c r="F3782" s="6" t="inlineStr">
        <is>
          <t>IDK</t>
        </is>
      </c>
      <c r="G3782" s="10" t="n"/>
      <c r="H3782" s="9" t="inlineStr">
        <is>
          <t>1 Quart Butter Pecan (guess because I know the total and am guessing the tax rate)</t>
        </is>
      </c>
      <c r="I3782" s="9" t="n">
        <v>1</v>
      </c>
      <c r="J3782" s="9" t="inlineStr">
        <is>
          <t>quart</t>
        </is>
      </c>
      <c r="K3782" s="9" t="n">
        <v>3.96</v>
      </c>
    </row>
    <row r="3783" ht="15" customFormat="1" customHeight="1" s="5">
      <c r="A3783" s="81" t="n">
        <v>45721</v>
      </c>
      <c r="B3783" s="82" t="n">
        <v>0.8138888888888889</v>
      </c>
      <c r="C3783" s="5" t="inlineStr">
        <is>
          <t>Harris Teeter</t>
        </is>
      </c>
      <c r="E3783" s="5" t="n">
        <v>1</v>
      </c>
      <c r="F3783" s="6" t="inlineStr">
        <is>
          <t>IDK</t>
        </is>
      </c>
      <c r="G3783" s="10" t="n"/>
      <c r="H3783" s="9" t="inlineStr">
        <is>
          <t>1 Pint Kilmon Cherry Bomb Non-Dairy</t>
        </is>
      </c>
      <c r="I3783" s="9" t="n">
        <v>1</v>
      </c>
      <c r="J3783" s="9" t="inlineStr">
        <is>
          <t>pint</t>
        </is>
      </c>
      <c r="K3783" s="9" t="n">
        <v>3.49</v>
      </c>
    </row>
    <row r="3784" ht="15" customFormat="1" customHeight="1" s="5">
      <c r="A3784" s="81" t="n">
        <v>45721</v>
      </c>
      <c r="B3784" s="82" t="n">
        <v>0.8138888888888889</v>
      </c>
      <c r="C3784" s="5" t="inlineStr">
        <is>
          <t>Harris Teeter</t>
        </is>
      </c>
      <c r="E3784" s="5" t="n">
        <v>1</v>
      </c>
      <c r="F3784" s="6" t="inlineStr">
        <is>
          <t>IDK</t>
        </is>
      </c>
      <c r="G3784" s="10" t="n"/>
      <c r="H3784" s="9" t="inlineStr">
        <is>
          <t>1 Pint Kilmon Coffee Non-Dairy</t>
        </is>
      </c>
      <c r="I3784" s="9" t="n">
        <v>1</v>
      </c>
      <c r="J3784" s="9" t="inlineStr">
        <is>
          <t>pint</t>
        </is>
      </c>
      <c r="K3784" s="9" t="n">
        <v>3.49</v>
      </c>
    </row>
    <row r="3785" ht="15" customFormat="1" customHeight="1" s="5">
      <c r="A3785" s="81" t="n">
        <v>45721</v>
      </c>
      <c r="B3785" s="82" t="n">
        <v>0.8138888888888889</v>
      </c>
      <c r="C3785" s="5" t="inlineStr">
        <is>
          <t>Harris Teeter</t>
        </is>
      </c>
      <c r="E3785" s="5" t="n">
        <v>1</v>
      </c>
      <c r="F3785" s="6" t="inlineStr">
        <is>
          <t>IDK</t>
        </is>
      </c>
      <c r="G3785" s="10" t="n"/>
      <c r="H3785" s="9" t="inlineStr">
        <is>
          <t>Tax (7%? I'm guessing since I know the total is $11.71)</t>
        </is>
      </c>
      <c r="I3785" s="9" t="n">
        <v>3</v>
      </c>
      <c r="J3785" s="9" t="inlineStr">
        <is>
          <t>cnt</t>
        </is>
      </c>
      <c r="K3785" s="9" t="n">
        <v>0.77</v>
      </c>
    </row>
    <row r="3786" ht="15" customFormat="1" customHeight="1" s="5">
      <c r="A3786" s="81" t="n">
        <v>45721</v>
      </c>
      <c r="B3786" s="82" t="n">
        <v>0.6527777777777778</v>
      </c>
      <c r="C3786" s="5" t="inlineStr">
        <is>
          <t>Allegacy FCU</t>
        </is>
      </c>
      <c r="D3786" s="5" t="n">
        <v>1</v>
      </c>
      <c r="F3786" s="6" t="inlineStr">
        <is>
          <t>NA</t>
        </is>
      </c>
      <c r="G3786" s="10" t="n"/>
      <c r="H3786" s="9" t="inlineStr">
        <is>
          <t>Mary Wu flight transfer payment AA flights to NC</t>
        </is>
      </c>
      <c r="I3786" s="9" t="n"/>
      <c r="J3786" s="9" t="n"/>
      <c r="K3786" s="9" t="n">
        <v>-563.88</v>
      </c>
    </row>
    <row r="3787" ht="15" customFormat="1" customHeight="1" s="5">
      <c r="A3787" s="81" t="n">
        <v>45721</v>
      </c>
      <c r="B3787" s="82" t="n">
        <v>0.5381944444444444</v>
      </c>
      <c r="C3787" s="5" t="inlineStr">
        <is>
          <t>Lakeview Mortgage (??)</t>
        </is>
      </c>
      <c r="D3787" s="5" t="n">
        <v>1</v>
      </c>
      <c r="F3787" s="6" t="n"/>
      <c r="G3787" s="10" t="n"/>
      <c r="H3787" s="9" t="inlineStr">
        <is>
          <t>Interest</t>
        </is>
      </c>
      <c r="I3787" s="9" t="n"/>
      <c r="J3787" s="9" t="n"/>
      <c r="K3787" s="9" t="n">
        <v>1169.01</v>
      </c>
    </row>
    <row r="3788" ht="15" customFormat="1" customHeight="1" s="5">
      <c r="A3788" s="81" t="n">
        <v>45721</v>
      </c>
      <c r="B3788" s="82" t="n">
        <v>0.5381944444444444</v>
      </c>
      <c r="C3788" s="5" t="inlineStr">
        <is>
          <t>Lakeview Mortgage (??)</t>
        </is>
      </c>
      <c r="D3788" s="5" t="n">
        <v>1</v>
      </c>
      <c r="F3788" s="6" t="n"/>
      <c r="G3788" s="10" t="n"/>
      <c r="H3788" s="9" t="inlineStr">
        <is>
          <t>Principal</t>
        </is>
      </c>
      <c r="I3788" s="9" t="n"/>
      <c r="J3788" s="9" t="n"/>
      <c r="K3788" s="9" t="n">
        <v>245.47</v>
      </c>
    </row>
    <row r="3789" ht="15" customFormat="1" customHeight="1" s="5">
      <c r="A3789" s="81" t="n">
        <v>45721</v>
      </c>
      <c r="B3789" s="82" t="n">
        <v>0.5381944444444444</v>
      </c>
      <c r="C3789" s="5" t="inlineStr">
        <is>
          <t>Lakeview Mortgage (??)</t>
        </is>
      </c>
      <c r="D3789" s="5" t="n">
        <v>1</v>
      </c>
      <c r="F3789" s="6" t="n"/>
      <c r="G3789" s="10" t="n"/>
      <c r="H3789" s="9" t="inlineStr">
        <is>
          <t>Taxes and Insurance ESCROW</t>
        </is>
      </c>
      <c r="I3789" s="9" t="n"/>
      <c r="J3789" s="9" t="n"/>
      <c r="K3789" s="9" t="n">
        <v>156.8</v>
      </c>
    </row>
    <row r="3790" ht="15" customFormat="1" customHeight="1" s="5">
      <c r="A3790" s="81" t="n">
        <v>45721</v>
      </c>
      <c r="B3790" s="82" t="n">
        <v>0.4868055555555555</v>
      </c>
      <c r="C3790" s="5" t="inlineStr">
        <is>
          <t>Venmo</t>
        </is>
      </c>
      <c r="D3790" s="5" t="n">
        <v>1</v>
      </c>
      <c r="F3790" s="6" t="inlineStr">
        <is>
          <t>4281814499999400802</t>
        </is>
      </c>
      <c r="G3790" s="10" t="n"/>
      <c r="H3790" s="9" t="inlineStr">
        <is>
          <t xml:space="preserve">Kati to Eli embroidery kit payment </t>
        </is>
      </c>
      <c r="I3790" s="9" t="n"/>
      <c r="J3790" s="9" t="n"/>
      <c r="K3790" s="9" t="n">
        <v>-5</v>
      </c>
    </row>
    <row r="3791" ht="15" customFormat="1" customHeight="1" s="5">
      <c r="A3791" s="81" t="n">
        <v>45721</v>
      </c>
      <c r="B3791" s="82" t="n">
        <v>0.1895833333333333</v>
      </c>
      <c r="C3791" s="5" t="inlineStr">
        <is>
          <t>Xfinity</t>
        </is>
      </c>
      <c r="D3791" s="5" t="n">
        <v>1</v>
      </c>
      <c r="F3791" s="6" t="n"/>
      <c r="G3791" s="10" t="n"/>
      <c r="H3791" s="9" t="inlineStr">
        <is>
          <t>March internet bill</t>
        </is>
      </c>
      <c r="I3791" s="9" t="n"/>
      <c r="J3791" s="9" t="n"/>
      <c r="K3791" s="9" t="n">
        <v>60</v>
      </c>
    </row>
    <row r="3792" ht="15" customFormat="1" customHeight="1" s="5">
      <c r="A3792" s="81" t="n">
        <v>45720</v>
      </c>
      <c r="B3792" s="82" t="n">
        <v>0.6673611111111111</v>
      </c>
      <c r="C3792" s="5" t="inlineStr">
        <is>
          <t>Amazon</t>
        </is>
      </c>
      <c r="D3792" s="5" t="n">
        <v>1</v>
      </c>
      <c r="F3792" s="6" t="inlineStr">
        <is>
          <t>111-5673043-4148206</t>
        </is>
      </c>
      <c r="G3792" s="10" t="n"/>
      <c r="H3792" s="9" t="inlineStr">
        <is>
          <t>4 Sets Cross Stitch Embroidery Kits for Beginners Adults, Flower Stamped Pre Printed Cross Stitch Kits, Full Range of Embroidery Starter Kit with Instructions, 4PCS Embroidery Hoops, Threads and Tools Sold by: SUNSWE</t>
        </is>
      </c>
      <c r="I3792" s="9" t="n">
        <v>4</v>
      </c>
      <c r="J3792" s="9" t="inlineStr">
        <is>
          <t>cnt</t>
        </is>
      </c>
      <c r="K3792" s="9" t="n">
        <v>16.99</v>
      </c>
    </row>
    <row r="3793" ht="15" customFormat="1" customHeight="1" s="5">
      <c r="A3793" s="81" t="n">
        <v>45720</v>
      </c>
      <c r="B3793" s="82" t="n">
        <v>0.6673611111111111</v>
      </c>
      <c r="C3793" s="5" t="inlineStr">
        <is>
          <t>Amazon</t>
        </is>
      </c>
      <c r="D3793" s="5" t="n">
        <v>1</v>
      </c>
      <c r="F3793" s="6" t="inlineStr">
        <is>
          <t>111-5673043-4148206</t>
        </is>
      </c>
      <c r="G3793" s="10" t="n"/>
      <c r="H3793" s="9" t="inlineStr">
        <is>
          <t>Tax</t>
        </is>
      </c>
      <c r="I3793" s="9" t="n">
        <v>1</v>
      </c>
      <c r="J3793" s="9" t="inlineStr">
        <is>
          <t>cnt</t>
        </is>
      </c>
      <c r="K3793" s="9" t="n">
        <v>1.19</v>
      </c>
    </row>
    <row r="3794" ht="15" customFormat="1" customHeight="1" s="5">
      <c r="A3794" s="81" t="n">
        <v>45719</v>
      </c>
      <c r="B3794" s="82" t="n">
        <v>0.5381944444444444</v>
      </c>
      <c r="C3794" s="5" t="inlineStr">
        <is>
          <t>Chang Thai NC</t>
        </is>
      </c>
      <c r="E3794" s="5" t="n">
        <v>1</v>
      </c>
      <c r="F3794" s="6" t="inlineStr">
        <is>
          <t>#16 20 8 8 14</t>
        </is>
      </c>
      <c r="G3794" s="15" t="inlineStr">
        <is>
          <t>55</t>
        </is>
      </c>
      <c r="H3794" s="9" t="inlineStr">
        <is>
          <t>Duck Noodle Soup</t>
        </is>
      </c>
      <c r="I3794" s="9" t="n"/>
      <c r="J3794" s="9" t="n"/>
      <c r="K3794" s="9" t="n">
        <v>18</v>
      </c>
    </row>
    <row r="3795" ht="15" customFormat="1" customHeight="1" s="5">
      <c r="A3795" s="81" t="n">
        <v>45719</v>
      </c>
      <c r="B3795" s="82" t="n">
        <v>0.5381944444444444</v>
      </c>
      <c r="C3795" s="5" t="inlineStr">
        <is>
          <t>Chang Thai NC</t>
        </is>
      </c>
      <c r="E3795" s="5" t="n">
        <v>1</v>
      </c>
      <c r="F3795" s="6" t="inlineStr">
        <is>
          <t>#16 20 8 8 14</t>
        </is>
      </c>
      <c r="G3795" s="15" t="inlineStr">
        <is>
          <t>A</t>
        </is>
      </c>
      <c r="H3795" s="9" t="inlineStr">
        <is>
          <t>Bento Box A (Eli) - pad thai, california roll, fried dumpling, crab rangoon</t>
        </is>
      </c>
      <c r="I3795" s="9" t="n"/>
      <c r="J3795" s="9" t="n"/>
      <c r="K3795" s="9" t="n">
        <v>14</v>
      </c>
    </row>
    <row r="3796" ht="15" customFormat="1" customHeight="1" s="5">
      <c r="A3796" s="81" t="n">
        <v>45719</v>
      </c>
      <c r="B3796" s="82" t="n">
        <v>0.5381944444444444</v>
      </c>
      <c r="C3796" s="5" t="inlineStr">
        <is>
          <t>Chang Thai NC</t>
        </is>
      </c>
      <c r="E3796" s="5" t="n">
        <v>1</v>
      </c>
      <c r="F3796" s="6" t="inlineStr">
        <is>
          <t>#16 20 8 8 14</t>
        </is>
      </c>
      <c r="G3796" s="10" t="n"/>
      <c r="H3796" s="9" t="inlineStr">
        <is>
          <t>Tip (I wrote $9.20, but I summed it to $96, so they charged $96)</t>
        </is>
      </c>
      <c r="I3796" s="9" t="n">
        <v>8</v>
      </c>
      <c r="J3796" s="9" t="inlineStr">
        <is>
          <t>cnt</t>
        </is>
      </c>
      <c r="K3796" s="9" t="n">
        <v>10.2</v>
      </c>
    </row>
    <row r="3797" ht="15" customFormat="1" customHeight="1" s="5">
      <c r="A3797" s="81" t="n">
        <v>45719</v>
      </c>
      <c r="B3797" s="82" t="n">
        <v>0.5381944444444444</v>
      </c>
      <c r="C3797" s="5" t="inlineStr">
        <is>
          <t>Chang Thai NC</t>
        </is>
      </c>
      <c r="E3797" s="5" t="n">
        <v>1</v>
      </c>
      <c r="F3797" s="6" t="inlineStr">
        <is>
          <t>#16 20 8 8 14</t>
        </is>
      </c>
      <c r="G3797" s="15" t="inlineStr">
        <is>
          <t>44</t>
        </is>
      </c>
      <c r="H3797" s="9" t="inlineStr">
        <is>
          <t>Eggplant, Chicken, NO ONION, NO BROCCOLI, Mild</t>
        </is>
      </c>
      <c r="I3797" s="9" t="n"/>
      <c r="J3797" s="9" t="n"/>
      <c r="K3797" s="9" t="n">
        <v>10</v>
      </c>
    </row>
    <row r="3798" ht="15" customFormat="1" customHeight="1" s="5">
      <c r="A3798" s="81" t="n">
        <v>45719</v>
      </c>
      <c r="B3798" s="82" t="n">
        <v>0.5381944444444444</v>
      </c>
      <c r="C3798" s="5" t="inlineStr">
        <is>
          <t>Chang Thai NC</t>
        </is>
      </c>
      <c r="E3798" s="5" t="n">
        <v>1</v>
      </c>
      <c r="F3798" s="6" t="inlineStr">
        <is>
          <t>#16 20 8 8 14</t>
        </is>
      </c>
      <c r="G3798" s="15" t="inlineStr">
        <is>
          <t>31</t>
        </is>
      </c>
      <c r="H3798" s="9" t="inlineStr">
        <is>
          <t>Green Curry, Chicken, Mild</t>
        </is>
      </c>
      <c r="I3798" s="9" t="n"/>
      <c r="J3798" s="9" t="n"/>
      <c r="K3798" s="9" t="n">
        <v>10</v>
      </c>
    </row>
    <row r="3799" ht="15" customFormat="1" customHeight="1" s="5">
      <c r="A3799" s="81" t="n">
        <v>45719</v>
      </c>
      <c r="B3799" s="82" t="n">
        <v>0.5381944444444444</v>
      </c>
      <c r="C3799" s="5" t="inlineStr">
        <is>
          <t>Chang Thai NC</t>
        </is>
      </c>
      <c r="E3799" s="5" t="n">
        <v>1</v>
      </c>
      <c r="F3799" s="6" t="inlineStr">
        <is>
          <t>#16 20 8 8 14</t>
        </is>
      </c>
      <c r="G3799" s="15" t="inlineStr">
        <is>
          <t>31</t>
        </is>
      </c>
      <c r="H3799" s="9" t="inlineStr">
        <is>
          <t>Green Curry, Tofu, Spicy</t>
        </is>
      </c>
      <c r="I3799" s="9" t="n"/>
      <c r="J3799" s="9" t="n"/>
      <c r="K3799" s="9" t="n">
        <v>10</v>
      </c>
    </row>
    <row r="3800" ht="15" customFormat="1" customHeight="1" s="5">
      <c r="A3800" s="81" t="n">
        <v>45719</v>
      </c>
      <c r="B3800" s="82" t="n">
        <v>0.5381944444444444</v>
      </c>
      <c r="C3800" s="5" t="inlineStr">
        <is>
          <t>Chang Thai NC</t>
        </is>
      </c>
      <c r="E3800" s="5" t="n">
        <v>1</v>
      </c>
      <c r="F3800" s="6" t="inlineStr">
        <is>
          <t>#16 20 8 8 14</t>
        </is>
      </c>
      <c r="G3800" s="10" t="n"/>
      <c r="H3800" s="10" t="inlineStr">
        <is>
          <t>BBQ Eel Temaki</t>
        </is>
      </c>
      <c r="I3800" s="9" t="n"/>
      <c r="J3800" s="9" t="n"/>
      <c r="K3800" s="9" t="n">
        <v>6</v>
      </c>
    </row>
    <row r="3801" ht="15" customFormat="1" customHeight="1" s="5">
      <c r="A3801" s="81" t="n">
        <v>45719</v>
      </c>
      <c r="B3801" s="82" t="n">
        <v>0.5381944444444444</v>
      </c>
      <c r="C3801" s="5" t="inlineStr">
        <is>
          <t>Chang Thai NC</t>
        </is>
      </c>
      <c r="E3801" s="5" t="n">
        <v>1</v>
      </c>
      <c r="F3801" s="6" t="inlineStr">
        <is>
          <t>#16 20 8 8 14</t>
        </is>
      </c>
      <c r="G3801" s="10" t="n"/>
      <c r="H3801" s="9" t="inlineStr">
        <is>
          <t>Salmon Sin Temaki Hand Roll</t>
        </is>
      </c>
      <c r="I3801" s="9" t="n"/>
      <c r="J3801" s="9" t="n"/>
      <c r="K3801" s="9" t="n">
        <v>6</v>
      </c>
    </row>
    <row r="3802" ht="15" customFormat="1" customHeight="1" s="5">
      <c r="A3802" s="81" t="n">
        <v>45719</v>
      </c>
      <c r="B3802" s="82" t="n">
        <v>0.5381944444444444</v>
      </c>
      <c r="C3802" s="5" t="inlineStr">
        <is>
          <t>Chang Thai NC</t>
        </is>
      </c>
      <c r="E3802" s="5" t="n">
        <v>1</v>
      </c>
      <c r="F3802" s="6" t="inlineStr">
        <is>
          <t>#16 20 8 8 14</t>
        </is>
      </c>
      <c r="G3802" s="10" t="n"/>
      <c r="H3802" s="9" t="inlineStr">
        <is>
          <t>Spicy Tuna Temaki Hand Roll</t>
        </is>
      </c>
      <c r="I3802" s="9" t="n"/>
      <c r="J3802" s="9" t="n"/>
      <c r="K3802" s="9" t="n">
        <v>6</v>
      </c>
    </row>
    <row r="3803" ht="15" customFormat="1" customHeight="1" s="5">
      <c r="A3803" s="81" t="n">
        <v>45719</v>
      </c>
      <c r="B3803" s="82" t="n">
        <v>0.5381944444444444</v>
      </c>
      <c r="C3803" s="5" t="inlineStr">
        <is>
          <t>Chang Thai NC</t>
        </is>
      </c>
      <c r="E3803" s="5" t="n">
        <v>1</v>
      </c>
      <c r="F3803" s="6" t="inlineStr">
        <is>
          <t>#16 20 8 8 14</t>
        </is>
      </c>
      <c r="G3803" s="10" t="n"/>
      <c r="H3803" s="9" t="inlineStr">
        <is>
          <t>Sales Tax</t>
        </is>
      </c>
      <c r="I3803" s="9" t="n">
        <v>8</v>
      </c>
      <c r="J3803" s="9" t="inlineStr">
        <is>
          <t>cnt</t>
        </is>
      </c>
      <c r="K3803" s="9" t="n">
        <v>5.8</v>
      </c>
    </row>
    <row r="3804" ht="15" customFormat="1" customHeight="1" s="5">
      <c r="A3804" s="81" t="n">
        <v>45719</v>
      </c>
      <c r="B3804" s="82" t="n">
        <v>0.3555555555555556</v>
      </c>
      <c r="C3804" s="5" t="inlineStr">
        <is>
          <t>Amazon</t>
        </is>
      </c>
      <c r="D3804" s="5" t="n">
        <v>1</v>
      </c>
      <c r="F3804" s="6" t="inlineStr">
        <is>
          <t>111-7781776-2595404</t>
        </is>
      </c>
      <c r="G3804" s="10" t="n"/>
      <c r="H3804" s="9" t="inlineStr">
        <is>
          <t>Active Skin Repair Kids First Aid Spray - Non-Toxic &amp; Natural Antiseptic for Minor Cuts, Wounds, Scrapes, Rashes, Sunburns, and Other Irritations (3oz Spray) Sold by: Active Skin Repair</t>
        </is>
      </c>
      <c r="I3804" s="9" t="n">
        <v>3</v>
      </c>
      <c r="J3804" s="9" t="inlineStr">
        <is>
          <t>oz</t>
        </is>
      </c>
      <c r="K3804" s="9" t="n">
        <v>28.49</v>
      </c>
    </row>
    <row r="3805" ht="15" customFormat="1" customHeight="1" s="5">
      <c r="A3805" s="81" t="n">
        <v>45719</v>
      </c>
      <c r="B3805" s="82" t="n">
        <v>0.3555555555555556</v>
      </c>
      <c r="C3805" s="5" t="inlineStr">
        <is>
          <t>Amazon</t>
        </is>
      </c>
      <c r="D3805" s="5" t="n">
        <v>1</v>
      </c>
      <c r="F3805" s="6" t="inlineStr">
        <is>
          <t>111-7781776-2595404</t>
        </is>
      </c>
      <c r="G3805" s="10" t="n"/>
      <c r="H3805" s="9" t="inlineStr">
        <is>
          <t>Tax</t>
        </is>
      </c>
      <c r="I3805" s="9" t="n">
        <v>3</v>
      </c>
      <c r="J3805" s="9" t="inlineStr">
        <is>
          <t>oz</t>
        </is>
      </c>
      <c r="K3805" s="9" t="n">
        <v>1.99</v>
      </c>
    </row>
    <row r="3806" ht="15" customFormat="1" customHeight="1" s="5">
      <c r="A3806" s="81" t="n">
        <v>45718</v>
      </c>
      <c r="B3806" s="82" t="n">
        <v>0.3673611111111111</v>
      </c>
      <c r="C3806" s="5" t="inlineStr">
        <is>
          <t>Venmo</t>
        </is>
      </c>
      <c r="D3806" s="5" t="n">
        <v>1</v>
      </c>
      <c r="F3806" s="6" t="inlineStr">
        <is>
          <t>4279553780386428975</t>
        </is>
      </c>
      <c r="G3806" s="10" t="n"/>
      <c r="H3806" s="9" t="inlineStr">
        <is>
          <t>Bella $5 for lent books</t>
        </is>
      </c>
      <c r="I3806" s="9" t="n"/>
      <c r="J3806" s="9" t="n"/>
      <c r="K3806" s="9" t="n">
        <v>5</v>
      </c>
    </row>
    <row r="3807" ht="15" customFormat="1" customHeight="1" s="5">
      <c r="A3807" s="81" t="n">
        <v>45717</v>
      </c>
      <c r="B3807" s="82" t="n">
        <v>0.4819444444444445</v>
      </c>
      <c r="C3807" s="5" t="inlineStr">
        <is>
          <t>House Denver</t>
        </is>
      </c>
      <c r="D3807" s="5" t="n">
        <v>1</v>
      </c>
      <c r="F3807" s="6" t="n">
        <v>53852722946</v>
      </c>
      <c r="G3807" s="10" t="n"/>
      <c r="H3807" s="9" t="inlineStr">
        <is>
          <t>Monthly overflow chunk of 2025 tithe bunched into 2024. This transaction was actually made on 12/31/25, but it is logged against 2025 budget.</t>
        </is>
      </c>
      <c r="I3807" s="9" t="n"/>
      <c r="J3807" s="9" t="n"/>
      <c r="K3807" s="9">
        <f>(9500-8750.43)/12</f>
        <v/>
      </c>
    </row>
    <row r="3808" ht="15" customFormat="1" customHeight="1" s="5">
      <c r="A3808" s="81" t="n">
        <v>45717</v>
      </c>
      <c r="B3808" s="82" t="n">
        <v>0.4819444444444445</v>
      </c>
      <c r="C3808" s="5" t="inlineStr">
        <is>
          <t>House Denver</t>
        </is>
      </c>
      <c r="D3808" s="5" t="n">
        <v>1</v>
      </c>
      <c r="F3808" s="6" t="n">
        <v>53852722946</v>
      </c>
      <c r="G3808" s="10" t="n"/>
      <c r="H3808" s="9" t="inlineStr">
        <is>
          <t>Monthly chunk of 2025 tithe bunched into 2024. This transaction was actually made on 12/31/25, but it is logged against 2025 budget.</t>
        </is>
      </c>
      <c r="I3808" s="9" t="n"/>
      <c r="J3808" s="9" t="n"/>
      <c r="K3808" s="9" t="n">
        <v>414.0880160747884</v>
      </c>
    </row>
    <row r="3809" ht="15" customFormat="1" customHeight="1" s="5">
      <c r="A3809" s="81" t="n">
        <v>45717</v>
      </c>
      <c r="B3809" s="82" t="n">
        <v>0.4423611111111111</v>
      </c>
      <c r="C3809" s="5" t="inlineStr">
        <is>
          <t>Venmo</t>
        </is>
      </c>
      <c r="D3809" s="5" t="n">
        <v>1</v>
      </c>
      <c r="F3809" s="6" t="inlineStr">
        <is>
          <t>4278883439003581610</t>
        </is>
      </c>
      <c r="G3809" s="10" t="n"/>
      <c r="H3809" s="9" t="inlineStr">
        <is>
          <t>Venmo from Kari for target dress pajamas</t>
        </is>
      </c>
      <c r="I3809" s="9" t="n"/>
      <c r="J3809" s="9" t="n"/>
      <c r="K3809" s="9" t="n">
        <v>-20</v>
      </c>
    </row>
    <row r="3810" ht="15" customFormat="1" customHeight="1" s="5">
      <c r="A3810" s="81" t="n">
        <v>45717</v>
      </c>
      <c r="B3810" s="82" t="n">
        <v>0.4402777777777778</v>
      </c>
      <c r="C3810" s="5" t="inlineStr">
        <is>
          <t>Target</t>
        </is>
      </c>
      <c r="E3810" s="5" t="n">
        <v>1</v>
      </c>
      <c r="F3810" s="6" t="inlineStr">
        <is>
          <t>5060-1086-0077-0063</t>
        </is>
      </c>
      <c r="G3810" s="10" t="n"/>
      <c r="H3810" s="9" t="inlineStr">
        <is>
          <t>Women's Satin Pajama Chemise - Auden™ Black XXL</t>
        </is>
      </c>
      <c r="I3810" s="9" t="n">
        <v>1</v>
      </c>
      <c r="J3810" s="9" t="inlineStr">
        <is>
          <t>cnt</t>
        </is>
      </c>
      <c r="K3810" s="9" t="n">
        <v>20</v>
      </c>
    </row>
    <row r="3811" ht="15" customFormat="1" customHeight="1" s="5">
      <c r="A3811" s="81" t="n">
        <v>45717</v>
      </c>
      <c r="B3811" s="82" t="n">
        <v>0.4402777777777778</v>
      </c>
      <c r="C3811" s="5" t="inlineStr">
        <is>
          <t>Target</t>
        </is>
      </c>
      <c r="E3811" s="5" t="n">
        <v>1</v>
      </c>
      <c r="F3811" s="6" t="inlineStr">
        <is>
          <t>5060-1086-0077-0063</t>
        </is>
      </c>
      <c r="G3811" s="10" t="n"/>
      <c r="H3811" s="9" t="inlineStr">
        <is>
          <t>Women's 20D Sheer Tights - A New Day™ Honey Beige M/L</t>
        </is>
      </c>
      <c r="I3811" s="9" t="n">
        <v>1</v>
      </c>
      <c r="J3811" s="9" t="inlineStr">
        <is>
          <t>cnt</t>
        </is>
      </c>
      <c r="K3811" s="9" t="n">
        <v>9</v>
      </c>
    </row>
    <row r="3812" ht="15" customFormat="1" customHeight="1" s="5">
      <c r="A3812" s="81" t="n">
        <v>45717</v>
      </c>
      <c r="B3812" s="82" t="n">
        <v>0.4402777777777778</v>
      </c>
      <c r="C3812" s="5" t="inlineStr">
        <is>
          <t>Target</t>
        </is>
      </c>
      <c r="E3812" s="5" t="n">
        <v>1</v>
      </c>
      <c r="F3812" s="6" t="inlineStr">
        <is>
          <t>5060-1086-0077-0063</t>
        </is>
      </c>
      <c r="G3812" s="10" t="n"/>
      <c r="H3812" s="9" t="inlineStr">
        <is>
          <t>Tax</t>
        </is>
      </c>
      <c r="I3812" s="9" t="n">
        <v>2</v>
      </c>
      <c r="J3812" s="9" t="inlineStr">
        <is>
          <t>cnt</t>
        </is>
      </c>
      <c r="K3812" s="9" t="n">
        <v>1.81</v>
      </c>
    </row>
    <row r="3813" ht="15" customFormat="1" customHeight="1" s="5">
      <c r="A3813" s="81" t="n">
        <v>45717</v>
      </c>
      <c r="B3813" s="82" t="n">
        <v>0.4402777777777778</v>
      </c>
      <c r="C3813" s="5" t="inlineStr">
        <is>
          <t>Target</t>
        </is>
      </c>
      <c r="E3813" s="5" t="n">
        <v>1</v>
      </c>
      <c r="F3813" s="6" t="inlineStr">
        <is>
          <t>5060-1086-0077-0063</t>
        </is>
      </c>
      <c r="G3813" s="10" t="n"/>
      <c r="H3813" s="9" t="inlineStr">
        <is>
          <t>**DISCOUNT** Target Circle Rewards</t>
        </is>
      </c>
      <c r="I3813" s="9" t="n">
        <v>2</v>
      </c>
      <c r="J3813" s="9" t="inlineStr">
        <is>
          <t>cnt</t>
        </is>
      </c>
      <c r="K3813" s="9" t="n">
        <v>-0.29</v>
      </c>
    </row>
    <row r="3814" ht="15" customFormat="1" customHeight="1" s="5">
      <c r="A3814" s="81" t="n">
        <v>45717</v>
      </c>
      <c r="B3814" s="82" t="n">
        <v>0.4402777777777778</v>
      </c>
      <c r="C3814" s="5" t="inlineStr">
        <is>
          <t>Target</t>
        </is>
      </c>
      <c r="E3814" s="5" t="n">
        <v>1</v>
      </c>
      <c r="F3814" s="6" t="inlineStr">
        <is>
          <t>5060-1086-0077-0063</t>
        </is>
      </c>
      <c r="G3814" s="10" t="n"/>
      <c r="H3814" s="9" t="inlineStr">
        <is>
          <t>**DISCOUNT** Save 10% on one in-store/online purchase</t>
        </is>
      </c>
      <c r="I3814" s="9" t="n">
        <v>2</v>
      </c>
      <c r="J3814" s="9" t="inlineStr">
        <is>
          <t>cnt</t>
        </is>
      </c>
      <c r="K3814" s="9" t="n">
        <v>-2.9</v>
      </c>
    </row>
    <row r="3815" ht="15" customFormat="1" customHeight="1" s="5">
      <c r="A3815" s="81" t="n">
        <v>45716</v>
      </c>
      <c r="B3815" s="82" t="n">
        <v>0.7826388888888889</v>
      </c>
      <c r="C3815" s="5" t="inlineStr">
        <is>
          <t>Tyndall Green</t>
        </is>
      </c>
      <c r="D3815" s="5" t="n">
        <v>1</v>
      </c>
      <c r="F3815" s="6" t="inlineStr">
        <is>
          <t>369480393</t>
        </is>
      </c>
      <c r="G3815" s="10" t="n"/>
      <c r="H3815" s="9" t="inlineStr">
        <is>
          <t>HOA Tyndall Green Feb Payment</t>
        </is>
      </c>
      <c r="I3815" s="9" t="n"/>
      <c r="J3815" s="9" t="n"/>
      <c r="K3815" s="9" t="n">
        <v>306.59</v>
      </c>
    </row>
    <row r="3816" ht="15" customFormat="1" customHeight="1" s="5">
      <c r="A3816" s="81" t="n">
        <v>45716</v>
      </c>
      <c r="B3816" s="82" t="n">
        <v>0.4791666666666667</v>
      </c>
      <c r="C3816" s="5" t="inlineStr">
        <is>
          <t>Priceline</t>
        </is>
      </c>
      <c r="D3816" s="5" t="n">
        <v>1</v>
      </c>
      <c r="F3816" s="6" t="inlineStr">
        <is>
          <t>752-394-875-18</t>
        </is>
      </c>
      <c r="G3816" s="10" t="n"/>
      <c r="H3816" s="9" t="inlineStr">
        <is>
          <t>3 tickets $118.41/person</t>
        </is>
      </c>
      <c r="I3816" s="9" t="n"/>
      <c r="J3816" s="9" t="n"/>
      <c r="K3816" s="9" t="n">
        <v>355.23</v>
      </c>
    </row>
    <row r="3817" ht="15" customFormat="1" customHeight="1" s="5">
      <c r="A3817" s="81" t="n">
        <v>45716</v>
      </c>
      <c r="B3817" s="82" t="n">
        <v>0.4791666666666667</v>
      </c>
      <c r="C3817" s="5" t="inlineStr">
        <is>
          <t>Priceline</t>
        </is>
      </c>
      <c r="D3817" s="5" t="n">
        <v>1</v>
      </c>
      <c r="F3817" s="6" t="inlineStr">
        <is>
          <t>752-394-875-18</t>
        </is>
      </c>
      <c r="G3817" s="10" t="n"/>
      <c r="H3817" s="9" t="inlineStr">
        <is>
          <t>Tax and fees</t>
        </is>
      </c>
      <c r="I3817" s="9" t="n"/>
      <c r="J3817" s="9" t="n"/>
      <c r="K3817" s="9" t="n">
        <v>67.68000000000001</v>
      </c>
    </row>
    <row r="3818" ht="15" customFormat="1" customHeight="1" s="5">
      <c r="A3818" s="81" t="n">
        <v>45716</v>
      </c>
      <c r="B3818" s="82" t="n">
        <v>0.4791666666666667</v>
      </c>
      <c r="C3818" s="5" t="inlineStr">
        <is>
          <t>Priceline</t>
        </is>
      </c>
      <c r="D3818" s="5" t="n">
        <v>1</v>
      </c>
      <c r="F3818" s="6" t="inlineStr">
        <is>
          <t>752-394-875-18</t>
        </is>
      </c>
      <c r="G3818" s="10" t="n"/>
      <c r="H3818" s="9" t="inlineStr">
        <is>
          <t>Mary Wu TREAT later flights</t>
        </is>
      </c>
      <c r="I3818" s="9" t="n"/>
      <c r="J3818" s="9" t="n"/>
      <c r="K3818" s="9" t="n">
        <v>-422.91</v>
      </c>
    </row>
    <row r="3819" ht="15" customFormat="1" customHeight="1" s="5">
      <c r="A3819" s="81" t="n">
        <v>45716</v>
      </c>
      <c r="B3819" s="82" t="n">
        <v>0.2916666666666667</v>
      </c>
      <c r="C3819" s="5" t="inlineStr">
        <is>
          <t>Amazon</t>
        </is>
      </c>
      <c r="D3819" s="5" t="n">
        <v>1</v>
      </c>
      <c r="F3819" s="16" t="inlineStr">
        <is>
          <t>D01-1028802-6352211</t>
        </is>
      </c>
      <c r="G3819" s="10" t="n"/>
      <c r="H3819" s="9" t="inlineStr">
        <is>
          <t>Amazon Prime*3B5659O43 Amzn.com/bill WA</t>
        </is>
      </c>
      <c r="I3819" s="9" t="n">
        <v>1</v>
      </c>
      <c r="J3819" s="9" t="inlineStr">
        <is>
          <t>cnt</t>
        </is>
      </c>
      <c r="K3819" s="9" t="n">
        <v>7.68</v>
      </c>
    </row>
    <row r="3820" ht="15" customFormat="1" customHeight="1" s="5">
      <c r="A3820" s="81" t="n">
        <v>45716</v>
      </c>
      <c r="B3820" s="82" t="n">
        <v>0.2916666666666667</v>
      </c>
      <c r="C3820" s="5" t="inlineStr">
        <is>
          <t>US Tax Witholding</t>
        </is>
      </c>
      <c r="D3820" s="5" t="n">
        <v>1</v>
      </c>
      <c r="F3820" s="6" t="inlineStr">
        <is>
          <t>GM_Paycheck_051</t>
        </is>
      </c>
      <c r="G3820" s="7" t="n"/>
      <c r="H3820" s="9" t="inlineStr">
        <is>
          <t>Tax Deductions: Federal Witholding Tax</t>
        </is>
      </c>
      <c r="I3820" s="9" t="n"/>
      <c r="J3820" s="9" t="n"/>
      <c r="K3820" s="9" t="n">
        <v>0</v>
      </c>
    </row>
    <row r="3821" ht="15" customFormat="1" customHeight="1" s="5">
      <c r="A3821" s="81" t="n">
        <v>45716</v>
      </c>
      <c r="B3821" s="82" t="n">
        <v>0.2916666666666667</v>
      </c>
      <c r="C3821" s="5" t="inlineStr">
        <is>
          <t>US Tax Witholding</t>
        </is>
      </c>
      <c r="D3821" s="5" t="n">
        <v>1</v>
      </c>
      <c r="F3821" s="6" t="inlineStr">
        <is>
          <t>GM_Paycheck_051</t>
        </is>
      </c>
      <c r="G3821" s="7" t="n"/>
      <c r="H3821" s="9" t="inlineStr">
        <is>
          <t>EE Social Security Tax</t>
        </is>
      </c>
      <c r="I3821" s="9" t="n"/>
      <c r="J3821" s="9" t="n"/>
      <c r="K3821" s="9" t="n">
        <v>0</v>
      </c>
    </row>
    <row r="3822" ht="15" customFormat="1" customHeight="1" s="5">
      <c r="A3822" s="81" t="n">
        <v>45716</v>
      </c>
      <c r="B3822" s="82" t="n">
        <v>0.2916666666666667</v>
      </c>
      <c r="C3822" s="5" t="inlineStr">
        <is>
          <t>US Tax Witholding</t>
        </is>
      </c>
      <c r="D3822" s="5" t="n">
        <v>1</v>
      </c>
      <c r="F3822" s="6" t="inlineStr">
        <is>
          <t>GM_Paycheck_051</t>
        </is>
      </c>
      <c r="G3822" s="7" t="n"/>
      <c r="H3822" s="9" t="inlineStr">
        <is>
          <t>EE Medicare Tax</t>
        </is>
      </c>
      <c r="I3822" s="9" t="n"/>
      <c r="J3822" s="9" t="n"/>
      <c r="K3822" s="9" t="n">
        <v>0</v>
      </c>
    </row>
    <row r="3823" ht="15" customFormat="1" customHeight="1" s="5">
      <c r="A3823" s="81" t="n">
        <v>45716</v>
      </c>
      <c r="B3823" s="82" t="n">
        <v>0.2916666666666667</v>
      </c>
      <c r="C3823" s="5" t="inlineStr">
        <is>
          <t>NFCU</t>
        </is>
      </c>
      <c r="D3823" s="5" t="n">
        <v>1</v>
      </c>
      <c r="F3823" s="6" t="inlineStr">
        <is>
          <t>GM_Paycheck_051</t>
        </is>
      </c>
      <c r="G3823" s="17" t="inlineStr">
        <is>
          <t>245074974</t>
        </is>
      </c>
      <c r="H3823" s="9" t="inlineStr">
        <is>
          <t>NFCU Direct Deposit</t>
        </is>
      </c>
      <c r="I3823" s="9" t="n"/>
      <c r="J3823" s="9" t="n"/>
      <c r="K3823" s="9" t="n">
        <v>0</v>
      </c>
    </row>
    <row r="3824" ht="15" customFormat="1" customHeight="1" s="5">
      <c r="A3824" s="81" t="n">
        <v>45716</v>
      </c>
      <c r="B3824" s="82" t="n">
        <v>0.2916666666666667</v>
      </c>
      <c r="C3824" s="5" t="inlineStr">
        <is>
          <t>GM</t>
        </is>
      </c>
      <c r="D3824" s="5" t="n">
        <v>1</v>
      </c>
      <c r="F3824" s="6" t="inlineStr">
        <is>
          <t>GM_Paycheck_051</t>
        </is>
      </c>
      <c r="G3824" s="7" t="n"/>
      <c r="H3824" s="9" t="inlineStr">
        <is>
          <t>Deposit Offset [Feb 16 - Feb 28]</t>
        </is>
      </c>
      <c r="I3824" s="9" t="n"/>
      <c r="J3824" s="9" t="n"/>
      <c r="K3824" s="9" t="n">
        <v>0</v>
      </c>
    </row>
    <row r="3825" ht="15" customFormat="1" customHeight="1" s="5">
      <c r="A3825" s="81" t="n">
        <v>45716</v>
      </c>
      <c r="B3825" s="82" t="n">
        <v>0.2916666666666667</v>
      </c>
      <c r="C3825" s="5" t="inlineStr">
        <is>
          <t>GM</t>
        </is>
      </c>
      <c r="D3825" s="5" t="n">
        <v>1</v>
      </c>
      <c r="F3825" s="6" t="inlineStr">
        <is>
          <t>GM_Paycheck_051</t>
        </is>
      </c>
      <c r="G3825" s="7" t="n"/>
      <c r="H3825" s="9" t="inlineStr">
        <is>
          <t>Gross Paycheck [Feb 16 - Feb 28]</t>
        </is>
      </c>
      <c r="I3825" s="9" t="n"/>
      <c r="J3825" s="9" t="n"/>
      <c r="K3825" s="9" t="n">
        <v>0</v>
      </c>
    </row>
    <row r="3826" ht="15" customFormat="1" customHeight="1" s="5">
      <c r="A3826" s="81" t="n">
        <v>45716</v>
      </c>
      <c r="B3826" s="82" t="n">
        <v>0.2916666666666667</v>
      </c>
      <c r="C3826" s="5" t="inlineStr">
        <is>
          <t>Fidelity</t>
        </is>
      </c>
      <c r="D3826" s="5" t="n">
        <v>1</v>
      </c>
      <c r="F3826" s="6" t="inlineStr">
        <is>
          <t>GM_Paycheck_051</t>
        </is>
      </c>
      <c r="G3826" s="7" t="n"/>
      <c r="H3826" s="9" t="inlineStr">
        <is>
          <t>RSP Roth Basic</t>
        </is>
      </c>
      <c r="I3826" s="9" t="n"/>
      <c r="J3826" s="9" t="n"/>
      <c r="K3826" s="9" t="n">
        <v>0</v>
      </c>
    </row>
    <row r="3827" ht="15" customFormat="1" customHeight="1" s="5">
      <c r="A3827" s="81" t="n">
        <v>45716</v>
      </c>
      <c r="B3827" s="82" t="n">
        <v>0.2916666666666667</v>
      </c>
      <c r="C3827" s="5" t="inlineStr">
        <is>
          <t>CO Tax Witholding</t>
        </is>
      </c>
      <c r="D3827" s="5" t="n">
        <v>1</v>
      </c>
      <c r="F3827" s="6" t="inlineStr">
        <is>
          <t>GM_Paycheck_051</t>
        </is>
      </c>
      <c r="G3827" s="7" t="n"/>
      <c r="H3827" s="9" t="inlineStr">
        <is>
          <t>Tax Deductions: Colorado Withholding Tax</t>
        </is>
      </c>
      <c r="I3827" s="9" t="n"/>
      <c r="J3827" s="9" t="n"/>
      <c r="K3827" s="9" t="n">
        <v>0</v>
      </c>
    </row>
    <row r="3828" ht="15" customFormat="1" customHeight="1" s="5">
      <c r="A3828" s="81" t="n">
        <v>45716</v>
      </c>
      <c r="B3828" s="82" t="n">
        <v>0.2916666666666667</v>
      </c>
      <c r="C3828" s="5" t="inlineStr">
        <is>
          <t>CO Tax Witholding</t>
        </is>
      </c>
      <c r="D3828" s="5" t="n">
        <v>1</v>
      </c>
      <c r="F3828" s="6" t="inlineStr">
        <is>
          <t>GM_Paycheck_051</t>
        </is>
      </c>
      <c r="G3828" s="7" t="n"/>
      <c r="H3828" s="9" t="inlineStr">
        <is>
          <t>EE PFML TAX STATE</t>
        </is>
      </c>
      <c r="I3828" s="9" t="n"/>
      <c r="J3828" s="9" t="n"/>
      <c r="K3828" s="9" t="n">
        <v>0</v>
      </c>
    </row>
    <row r="3829" ht="15" customFormat="1" customHeight="1" s="5">
      <c r="A3829" s="81" t="n">
        <v>45716</v>
      </c>
      <c r="B3829" s="82" t="n">
        <v>0.2916666666666667</v>
      </c>
      <c r="C3829" s="5" t="inlineStr">
        <is>
          <t>CIT</t>
        </is>
      </c>
      <c r="D3829" s="5" t="n">
        <v>1</v>
      </c>
      <c r="F3829" s="6" t="inlineStr">
        <is>
          <t>GM_Paycheck_051</t>
        </is>
      </c>
      <c r="G3829" s="17" t="inlineStr">
        <is>
          <t>124084834</t>
        </is>
      </c>
      <c r="H3829" s="9" t="inlineStr">
        <is>
          <t>CIT Direct Deposit</t>
        </is>
      </c>
      <c r="I3829" s="9" t="n"/>
      <c r="J3829" s="9" t="n"/>
      <c r="K3829" s="9" t="n">
        <v>0</v>
      </c>
    </row>
    <row r="3830" ht="15" customFormat="1" customHeight="1" s="5">
      <c r="A3830" s="81" t="n">
        <v>45716</v>
      </c>
      <c r="B3830" s="82" t="n">
        <v>0.2916666666666667</v>
      </c>
      <c r="C3830" s="5" t="inlineStr">
        <is>
          <t>BcBs</t>
        </is>
      </c>
      <c r="D3830" s="5" t="n">
        <v>1</v>
      </c>
      <c r="F3830" s="6" t="inlineStr">
        <is>
          <t>GM_Paycheck_051</t>
        </is>
      </c>
      <c r="G3830" s="7" t="n"/>
      <c r="H3830" s="9" t="inlineStr">
        <is>
          <t>Health Care (minus vision) — $130/mo</t>
        </is>
      </c>
      <c r="I3830" s="9" t="n"/>
      <c r="J3830" s="9" t="n"/>
      <c r="K3830" s="9" t="n">
        <v>0</v>
      </c>
    </row>
    <row r="3831" ht="15" customFormat="1" customHeight="1" s="5">
      <c r="A3831" s="81" t="n">
        <v>45716</v>
      </c>
      <c r="B3831" s="82" t="n">
        <v>0.2916666666666667</v>
      </c>
      <c r="C3831" s="5" t="inlineStr">
        <is>
          <t>BcBs</t>
        </is>
      </c>
      <c r="D3831" s="5" t="n">
        <v>1</v>
      </c>
      <c r="F3831" s="6" t="inlineStr">
        <is>
          <t>GM_Paycheck_051</t>
        </is>
      </c>
      <c r="G3831" s="7" t="n"/>
      <c r="H3831" s="9" t="inlineStr">
        <is>
          <t>Vision Insurance ($14.98/mo)</t>
        </is>
      </c>
      <c r="I3831" s="9" t="n"/>
      <c r="J3831" s="9" t="n"/>
      <c r="K3831" s="9" t="n">
        <v>0</v>
      </c>
    </row>
    <row r="3832" ht="15" customFormat="1" customHeight="1" s="5">
      <c r="A3832" s="81" t="n">
        <v>45716</v>
      </c>
      <c r="B3832" s="82" t="n">
        <v>0.2916666666666667</v>
      </c>
      <c r="C3832" s="5" t="inlineStr">
        <is>
          <t>Bank of America</t>
        </is>
      </c>
      <c r="D3832" s="5" t="n">
        <v>1</v>
      </c>
      <c r="F3832" s="6" t="inlineStr">
        <is>
          <t>GM_Paycheck_051</t>
        </is>
      </c>
      <c r="G3832" s="7" t="n"/>
      <c r="H3832" s="9" t="inlineStr">
        <is>
          <t>Health Savings ACCT</t>
        </is>
      </c>
      <c r="I3832" s="9" t="n"/>
      <c r="J3832" s="9" t="n"/>
      <c r="K3832" s="9" t="n">
        <v>0</v>
      </c>
    </row>
    <row r="3833" ht="15" customFormat="1" customHeight="1" s="5">
      <c r="A3833" s="81" t="n">
        <v>45715</v>
      </c>
      <c r="B3833" s="82" t="n">
        <v>0.7819444444444444</v>
      </c>
      <c r="C3833" s="5" t="inlineStr">
        <is>
          <t>Cookout</t>
        </is>
      </c>
      <c r="E3833" s="5" t="n">
        <v>1</v>
      </c>
      <c r="F3833" s="6" t="n"/>
      <c r="G3833" s="10" t="n"/>
      <c r="H3833" s="9" t="inlineStr">
        <is>
          <t xml:space="preserve">Cook out after civic orchestra </t>
        </is>
      </c>
      <c r="I3833" s="9" t="n"/>
      <c r="J3833" s="9" t="n"/>
      <c r="K3833" s="9" t="n">
        <v>14.96</v>
      </c>
    </row>
    <row r="3834" ht="15" customFormat="1" customHeight="1" s="5">
      <c r="A3834" s="81" t="n">
        <v>45713</v>
      </c>
      <c r="B3834" s="82" t="n">
        <v>0.2916666666666667</v>
      </c>
      <c r="C3834" s="5" t="inlineStr">
        <is>
          <t>CDLE FAMLI</t>
        </is>
      </c>
      <c r="D3834" s="5" t="n">
        <v>1</v>
      </c>
      <c r="F3834" s="6" t="inlineStr">
        <is>
          <t>NA_Fam4</t>
        </is>
      </c>
      <c r="G3834" s="10" t="n"/>
      <c r="H3834" s="9" t="inlineStr">
        <is>
          <t>RTX ELI Deposit CDLE FAMLI_2 Benefits</t>
        </is>
      </c>
      <c r="I3834" s="9" t="n"/>
      <c r="J3834" s="9" t="n"/>
      <c r="K3834" s="9" t="n">
        <v>-529.6799999999999</v>
      </c>
    </row>
    <row r="3835" ht="15" customFormat="1" customHeight="1" s="5">
      <c r="A3835" s="81" t="n">
        <v>45712</v>
      </c>
      <c r="B3835" s="82" t="n">
        <v>0.43125</v>
      </c>
      <c r="C3835" s="5" t="inlineStr">
        <is>
          <t>Costco</t>
        </is>
      </c>
      <c r="E3835" s="5" t="n">
        <v>1</v>
      </c>
      <c r="F3835" s="6" t="inlineStr">
        <is>
          <t>45276</t>
        </is>
      </c>
      <c r="G3835" s="15" t="inlineStr">
        <is>
          <t>10</t>
        </is>
      </c>
      <c r="H3835" s="9" t="inlineStr">
        <is>
          <t>WS Trax gas 10.448 gallons @ $2.569/gal</t>
        </is>
      </c>
      <c r="I3835" s="9" t="n">
        <v>10.448</v>
      </c>
      <c r="J3835" s="9" t="inlineStr">
        <is>
          <t>gal</t>
        </is>
      </c>
      <c r="K3835" s="9" t="n">
        <v>26.84</v>
      </c>
    </row>
    <row r="3836" ht="15" customFormat="1" customHeight="1" s="5">
      <c r="A3836" s="81" t="n">
        <v>45712</v>
      </c>
      <c r="B3836" s="82" t="n">
        <v>0.2548611111111111</v>
      </c>
      <c r="C3836" s="5" t="inlineStr">
        <is>
          <t>Venmo</t>
        </is>
      </c>
      <c r="D3836" s="5" t="n">
        <v>1</v>
      </c>
      <c r="F3836" s="6" t="inlineStr">
        <is>
          <t>4275123841108842062</t>
        </is>
      </c>
      <c r="G3836" s="10" t="n"/>
      <c r="H3836" s="9" t="inlineStr">
        <is>
          <t>Facebook mirror baby mirror (Amanda Burnette, NC)</t>
        </is>
      </c>
      <c r="I3836" s="9" t="n"/>
      <c r="J3836" s="9" t="n"/>
      <c r="K3836" s="9" t="n">
        <v>5</v>
      </c>
    </row>
    <row r="3837" ht="15" customFormat="1" customHeight="1" s="5">
      <c r="A3837" s="81" t="n">
        <v>45712</v>
      </c>
      <c r="B3837" s="82" t="n">
        <v>0.01388888888888889</v>
      </c>
      <c r="C3837" s="5" t="inlineStr">
        <is>
          <t>Amazon</t>
        </is>
      </c>
      <c r="D3837" s="5" t="n">
        <v>1</v>
      </c>
      <c r="F3837" s="6" t="inlineStr">
        <is>
          <t>‫111-7333614-7279419</t>
        </is>
      </c>
      <c r="G3837" s="10" t="n"/>
      <c r="H3837" s="9" t="inlineStr">
        <is>
          <t>Chloefairy Big Sister Little Sister Matching Outfits Lil Sis Bubble Romper Big Sis Shirt Sweatshirt Top Sibling Outfits (Apricot-Big SIS, 12-18 Months) Sold by: weiweimao</t>
        </is>
      </c>
      <c r="I3837" s="9" t="n">
        <v>1</v>
      </c>
      <c r="J3837" s="9" t="inlineStr">
        <is>
          <t>cnt</t>
        </is>
      </c>
      <c r="K3837" s="9" t="n">
        <v>9.99</v>
      </c>
    </row>
    <row r="3838" ht="15" customFormat="1" customHeight="1" s="5">
      <c r="A3838" s="81" t="n">
        <v>45712</v>
      </c>
      <c r="B3838" s="82" t="n">
        <v>0.01388888888888889</v>
      </c>
      <c r="C3838" s="5" t="inlineStr">
        <is>
          <t>Amazon</t>
        </is>
      </c>
      <c r="D3838" s="5" t="n">
        <v>1</v>
      </c>
      <c r="F3838" s="6" t="inlineStr">
        <is>
          <t>‫111-7333614-7279419</t>
        </is>
      </c>
      <c r="G3838" s="10" t="n"/>
      <c r="H3838" s="9" t="inlineStr">
        <is>
          <t>Tax</t>
        </is>
      </c>
      <c r="I3838" s="9" t="n">
        <v>1</v>
      </c>
      <c r="J3838" s="9" t="inlineStr">
        <is>
          <t>cnt</t>
        </is>
      </c>
      <c r="K3838" s="9" t="n">
        <v>0.66</v>
      </c>
    </row>
    <row r="3839" ht="15" customFormat="1" customHeight="1" s="5">
      <c r="A3839" s="81" t="n">
        <v>45712</v>
      </c>
      <c r="B3839" s="82" t="n">
        <v>0.01388888888888889</v>
      </c>
      <c r="C3839" s="5" t="inlineStr">
        <is>
          <t>Amazon</t>
        </is>
      </c>
      <c r="D3839" s="5" t="n">
        <v>1</v>
      </c>
      <c r="F3839" s="6" t="inlineStr">
        <is>
          <t>‫111-7333614-7279419</t>
        </is>
      </c>
      <c r="G3839" s="10" t="n"/>
      <c r="H3839" s="9" t="inlineStr">
        <is>
          <t>**DISCOUNT** Big Sister Shirt</t>
        </is>
      </c>
      <c r="I3839" s="9" t="n">
        <v>1</v>
      </c>
      <c r="J3839" s="9" t="inlineStr">
        <is>
          <t>cnt</t>
        </is>
      </c>
      <c r="K3839" s="9" t="n">
        <v>-0.5</v>
      </c>
    </row>
    <row r="3840" ht="15" customFormat="1" customHeight="1" s="5">
      <c r="A3840" s="81" t="n">
        <v>45711</v>
      </c>
      <c r="B3840" s="82" t="n">
        <v>0.5694444444444444</v>
      </c>
      <c r="C3840" s="5" t="inlineStr">
        <is>
          <t>Lot 63 Winston-Salem</t>
        </is>
      </c>
      <c r="E3840" s="5" t="n">
        <v>1</v>
      </c>
      <c r="F3840" s="6" t="inlineStr">
        <is>
          <t>#bLtf</t>
        </is>
      </c>
      <c r="G3840" s="10" t="n"/>
      <c r="H3840" s="9" t="inlineStr">
        <is>
          <t xml:space="preserve">Lot 63 latte: cookie spice special </t>
        </is>
      </c>
      <c r="I3840" s="9" t="n"/>
      <c r="J3840" s="9" t="n"/>
      <c r="K3840" s="9" t="n">
        <v>6</v>
      </c>
    </row>
    <row r="3841" ht="15" customFormat="1" customHeight="1" s="5">
      <c r="A3841" s="81" t="n">
        <v>45711</v>
      </c>
      <c r="B3841" s="82" t="n">
        <v>0.5694444444444444</v>
      </c>
      <c r="C3841" s="5" t="inlineStr">
        <is>
          <t>Lot 63 Winston-Salem</t>
        </is>
      </c>
      <c r="E3841" s="5" t="n">
        <v>1</v>
      </c>
      <c r="F3841" s="6" t="inlineStr">
        <is>
          <t>#bLtf</t>
        </is>
      </c>
      <c r="G3841" s="10" t="n"/>
      <c r="H3841" s="9" t="inlineStr">
        <is>
          <t>NC Sales Tax (4.75%)</t>
        </is>
      </c>
      <c r="I3841" s="9" t="n"/>
      <c r="J3841" s="9" t="n"/>
      <c r="K3841" s="9" t="n">
        <v>0.21</v>
      </c>
    </row>
    <row r="3842" ht="15" customFormat="1" customHeight="1" s="5">
      <c r="A3842" s="81" t="n">
        <v>45711</v>
      </c>
      <c r="B3842" s="82" t="n">
        <v>0.5694444444444444</v>
      </c>
      <c r="C3842" s="5" t="inlineStr">
        <is>
          <t>Lot 63 Winston-Salem</t>
        </is>
      </c>
      <c r="E3842" s="5" t="n">
        <v>1</v>
      </c>
      <c r="F3842" s="6" t="inlineStr">
        <is>
          <t>#bLtf</t>
        </is>
      </c>
      <c r="G3842" s="10" t="n"/>
      <c r="H3842" s="9" t="inlineStr">
        <is>
          <t>Forsyth County Sales Tax (2.25%)</t>
        </is>
      </c>
      <c r="I3842" s="9" t="n"/>
      <c r="J3842" s="9" t="n"/>
      <c r="K3842" s="9" t="n">
        <v>0.1</v>
      </c>
    </row>
    <row r="3843" ht="15" customFormat="1" customHeight="1" s="5">
      <c r="A3843" s="81" t="n">
        <v>45711</v>
      </c>
      <c r="B3843" s="82" t="n">
        <v>0.5694444444444444</v>
      </c>
      <c r="C3843" s="5" t="inlineStr">
        <is>
          <t>Lot 63 Winston-Salem</t>
        </is>
      </c>
      <c r="E3843" s="5" t="n">
        <v>1</v>
      </c>
      <c r="F3843" s="6" t="inlineStr">
        <is>
          <t>#bLtf</t>
        </is>
      </c>
      <c r="G3843" s="10" t="n"/>
      <c r="H3843" s="9" t="inlineStr">
        <is>
          <t>**DISCOUNT** employee, Jen Sanders</t>
        </is>
      </c>
      <c r="I3843" s="9" t="n"/>
      <c r="J3843" s="9" t="n"/>
      <c r="K3843" s="9" t="n">
        <v>-1.5</v>
      </c>
    </row>
    <row r="3844" ht="15" customFormat="1" customHeight="1" s="5">
      <c r="A3844" s="81" t="n">
        <v>45711</v>
      </c>
      <c r="B3844" s="82" t="n">
        <v>0.3694444444444445</v>
      </c>
      <c r="C3844" s="5" t="inlineStr">
        <is>
          <t>Amazon</t>
        </is>
      </c>
      <c r="D3844" s="5" t="n">
        <v>1</v>
      </c>
      <c r="F3844" s="6" t="inlineStr">
        <is>
          <t>111-2785817-1780235</t>
        </is>
      </c>
      <c r="G3844" s="10" t="n"/>
      <c r="H3844" s="9" t="inlineStr">
        <is>
          <t>**REFUNDED** GRAOSO Stroller Travel Bag with Wheels</t>
        </is>
      </c>
      <c r="I3844" s="9" t="n">
        <v>1</v>
      </c>
      <c r="J3844" s="9" t="inlineStr">
        <is>
          <t>cnt</t>
        </is>
      </c>
      <c r="K3844" s="9" t="n">
        <v>-95.25</v>
      </c>
    </row>
    <row r="3845" ht="15" customFormat="1" customHeight="1" s="5">
      <c r="A3845" s="81" t="n">
        <v>45710</v>
      </c>
      <c r="B3845" s="82" t="n">
        <v>0.7013888888888888</v>
      </c>
      <c r="C3845" s="5" t="inlineStr">
        <is>
          <t>Cookout</t>
        </is>
      </c>
      <c r="E3845" s="5" t="n">
        <v>1</v>
      </c>
      <c r="F3845" s="6" t="n"/>
      <c r="G3845" s="10" t="n"/>
      <c r="H3845" s="9" t="inlineStr">
        <is>
          <t>Cookout after brass concert (2 trays, 1 shake that was tossed)</t>
        </is>
      </c>
      <c r="I3845" s="9" t="n"/>
      <c r="J3845" s="9" t="n"/>
      <c r="K3845" s="9" t="n">
        <v>20.39</v>
      </c>
    </row>
    <row r="3846" ht="15" customFormat="1" customHeight="1" s="5">
      <c r="A3846" s="81" t="n">
        <v>45710</v>
      </c>
      <c r="B3846" s="82" t="n">
        <v>0.3277777777777778</v>
      </c>
      <c r="C3846" s="5" t="inlineStr">
        <is>
          <t>Amazon</t>
        </is>
      </c>
      <c r="D3846" s="5" t="n">
        <v>1</v>
      </c>
      <c r="F3846" s="6" t="inlineStr">
        <is>
          <t>111-9789351-8678664</t>
        </is>
      </c>
      <c r="G3846" s="10" t="n"/>
      <c r="H3846" s="9" t="inlineStr">
        <is>
          <t>Heating Pad for Back Pain Relief &amp; Cramps, KOT Heating Pads with Auto Shut Off Large, 6 Heat Settings Electric Heated Pad, Gifts for Women, Gifts for Men, 12" x 24" Sold by: KOT-A</t>
        </is>
      </c>
      <c r="I3846" s="9" t="n">
        <v>1</v>
      </c>
      <c r="J3846" s="9" t="inlineStr">
        <is>
          <t>cnt</t>
        </is>
      </c>
      <c r="K3846" s="9" t="n">
        <v>19.99</v>
      </c>
    </row>
    <row r="3847" ht="15" customFormat="1" customHeight="1" s="5">
      <c r="A3847" s="81" t="n">
        <v>45710</v>
      </c>
      <c r="B3847" s="82" t="n">
        <v>0.3277777777777778</v>
      </c>
      <c r="C3847" s="5" t="inlineStr">
        <is>
          <t>Amazon</t>
        </is>
      </c>
      <c r="D3847" s="5" t="n">
        <v>1</v>
      </c>
      <c r="F3847" s="6" t="inlineStr">
        <is>
          <t>111-9789351-8678664</t>
        </is>
      </c>
      <c r="G3847" s="10" t="n"/>
      <c r="H3847" s="9" t="inlineStr">
        <is>
          <t>Tax</t>
        </is>
      </c>
      <c r="I3847" s="9" t="n">
        <v>1</v>
      </c>
      <c r="J3847" s="9" t="inlineStr">
        <is>
          <t>cnt</t>
        </is>
      </c>
      <c r="K3847" s="9" t="n">
        <v>0</v>
      </c>
    </row>
    <row r="3848" ht="15" customFormat="1" customHeight="1" s="5">
      <c r="A3848" s="81" t="n">
        <v>45710</v>
      </c>
      <c r="B3848" s="82" t="n">
        <v>0.3277777777777778</v>
      </c>
      <c r="C3848" s="5" t="inlineStr">
        <is>
          <t>Amazon</t>
        </is>
      </c>
      <c r="D3848" s="5" t="n">
        <v>1</v>
      </c>
      <c r="F3848" s="6" t="inlineStr">
        <is>
          <t>111-9789351-8678664</t>
        </is>
      </c>
      <c r="G3848" s="10" t="n"/>
      <c r="H3848" s="9" t="inlineStr">
        <is>
          <t>**DISCOUNT** Heating Pad Promotional Credit</t>
        </is>
      </c>
      <c r="I3848" s="9" t="n">
        <v>1</v>
      </c>
      <c r="J3848" s="9" t="inlineStr">
        <is>
          <t>cnt</t>
        </is>
      </c>
      <c r="K3848" s="9" t="n">
        <v>-8</v>
      </c>
    </row>
    <row r="3849" ht="15" customFormat="1" customHeight="1" s="5">
      <c r="A3849" s="81" t="n">
        <v>45708</v>
      </c>
      <c r="B3849" s="82" t="n">
        <v>0.5115856481481481</v>
      </c>
      <c r="C3849" s="5" t="inlineStr">
        <is>
          <t>Chicken Bee</t>
        </is>
      </c>
      <c r="D3849" s="5" t="n">
        <v>1</v>
      </c>
      <c r="F3849" s="6" t="inlineStr">
        <is>
          <t>D1XN-2</t>
        </is>
      </c>
      <c r="G3849" s="10" t="n"/>
      <c r="H3849" s="9" t="inlineStr">
        <is>
          <t>E Spicy Garlic Chiekn, WHOLE, write rice and pickled radish</t>
        </is>
      </c>
      <c r="I3849" s="9" t="n">
        <v>1</v>
      </c>
      <c r="J3849" s="9" t="n"/>
      <c r="K3849" s="9" t="n">
        <v>30</v>
      </c>
    </row>
    <row r="3850" ht="15" customFormat="1" customHeight="1" s="5">
      <c r="A3850" s="81" t="n">
        <v>45708</v>
      </c>
      <c r="B3850" s="82" t="n">
        <v>0.5115856481481481</v>
      </c>
      <c r="C3850" s="5" t="inlineStr">
        <is>
          <t>Chicken Bee</t>
        </is>
      </c>
      <c r="D3850" s="5" t="n">
        <v>1</v>
      </c>
      <c r="F3850" s="6" t="inlineStr">
        <is>
          <t>D1XN-2</t>
        </is>
      </c>
      <c r="G3850" s="10" t="n"/>
      <c r="H3850" s="9" t="inlineStr">
        <is>
          <t>B Korean Red Chicken, WHOLE, 2 wtie rice</t>
        </is>
      </c>
      <c r="I3850" s="9" t="n">
        <v>1</v>
      </c>
      <c r="J3850" s="9" t="n"/>
      <c r="K3850" s="9" t="n">
        <v>30</v>
      </c>
    </row>
    <row r="3851" ht="15" customFormat="1" customHeight="1" s="5">
      <c r="A3851" s="81" t="n">
        <v>45708</v>
      </c>
      <c r="B3851" s="82" t="n">
        <v>0.5115856481481481</v>
      </c>
      <c r="C3851" s="5" t="inlineStr">
        <is>
          <t>Chicken Bee</t>
        </is>
      </c>
      <c r="D3851" s="5" t="n">
        <v>1</v>
      </c>
      <c r="F3851" s="6" t="inlineStr">
        <is>
          <t>D1XN-2</t>
        </is>
      </c>
      <c r="G3851" s="10" t="n"/>
      <c r="H3851" s="9" t="inlineStr">
        <is>
          <t>Tax 6.75% Greensboro</t>
        </is>
      </c>
      <c r="I3851" s="9" t="n"/>
      <c r="J3851" s="9" t="n"/>
      <c r="K3851" s="9" t="n">
        <v>4.05</v>
      </c>
    </row>
    <row r="3852" ht="15" customFormat="1" customHeight="1" s="5">
      <c r="A3852" s="81" t="n">
        <v>45708</v>
      </c>
      <c r="B3852" s="82" t="n">
        <v>0.4881944444444444</v>
      </c>
      <c r="C3852" s="5" t="inlineStr">
        <is>
          <t>Venmo</t>
        </is>
      </c>
      <c r="D3852" s="5" t="n">
        <v>1</v>
      </c>
      <c r="F3852" s="6" t="inlineStr">
        <is>
          <t>4272393801560517095</t>
        </is>
      </c>
      <c r="G3852" s="10" t="n"/>
      <c r="H3852" s="9" t="inlineStr">
        <is>
          <t>Bruce Venmo top golf RESERVATION FEE</t>
        </is>
      </c>
      <c r="I3852" s="9" t="n"/>
      <c r="J3852" s="9" t="n"/>
      <c r="K3852" s="9" t="n">
        <v>6</v>
      </c>
    </row>
    <row r="3853" ht="15" customFormat="1" customHeight="1" s="5">
      <c r="A3853" s="81" t="n">
        <v>45708</v>
      </c>
      <c r="B3853" s="82" t="n">
        <v>0.4875</v>
      </c>
      <c r="C3853" s="5" t="inlineStr">
        <is>
          <t>Venmo</t>
        </is>
      </c>
      <c r="D3853" s="5" t="n">
        <v>1</v>
      </c>
      <c r="F3853" s="6" t="inlineStr">
        <is>
          <t>4272393364791013909</t>
        </is>
      </c>
      <c r="G3853" s="10" t="n"/>
      <c r="H3853" s="9" t="inlineStr">
        <is>
          <t>Kati reimbursement Chicken bee! $64.05/2=$32.025</t>
        </is>
      </c>
      <c r="I3853" s="9" t="n"/>
      <c r="J3853" s="9" t="n"/>
      <c r="K3853" s="9" t="n">
        <v>-32.02</v>
      </c>
    </row>
    <row r="3854" ht="15" customFormat="1" customHeight="1" s="5">
      <c r="A3854" s="81" t="n">
        <v>45708</v>
      </c>
      <c r="B3854" s="82" t="n">
        <v>0.4763888888888889</v>
      </c>
      <c r="C3854" s="5" t="inlineStr">
        <is>
          <t>Venmo</t>
        </is>
      </c>
      <c r="D3854" s="5" t="n">
        <v>1</v>
      </c>
      <c r="F3854" s="6" t="inlineStr">
        <is>
          <t>4272385247520841037</t>
        </is>
      </c>
      <c r="G3854" s="10" t="n"/>
      <c r="H3854" s="9" t="inlineStr">
        <is>
          <t>(41.85-5)/2+5=18.425+5=23.425 TOP GOLF ($5 new member fee factored in)</t>
        </is>
      </c>
      <c r="I3854" s="9" t="n"/>
      <c r="J3854" s="9" t="n"/>
      <c r="K3854" s="9" t="n">
        <v>23.43</v>
      </c>
    </row>
    <row r="3855" ht="15" customFormat="1" customHeight="1" s="5">
      <c r="A3855" s="81" t="n">
        <v>45708</v>
      </c>
      <c r="B3855" s="82" t="n">
        <v>0.2916666666666667</v>
      </c>
      <c r="C3855" s="5" t="inlineStr">
        <is>
          <t>Xcel Energy</t>
        </is>
      </c>
      <c r="D3855" s="5" t="n">
        <v>1</v>
      </c>
      <c r="F3855" s="6" t="inlineStr">
        <is>
          <t>913050318_</t>
        </is>
      </c>
      <c r="G3855" s="10" t="n"/>
      <c r="H3855" s="9" t="inlineStr">
        <is>
          <t>Natural Gas 12/31/24 - 01/30/25</t>
        </is>
      </c>
      <c r="I3855" s="9" t="n">
        <v>59</v>
      </c>
      <c r="J3855" s="9" t="inlineStr">
        <is>
          <t>therms</t>
        </is>
      </c>
      <c r="K3855" s="9" t="n">
        <v>63.79</v>
      </c>
    </row>
    <row r="3856" ht="15" customFormat="1" customHeight="1" s="5">
      <c r="A3856" s="81" t="n">
        <v>45708</v>
      </c>
      <c r="B3856" s="82" t="n">
        <v>0.2916666666666667</v>
      </c>
      <c r="C3856" s="5" t="inlineStr">
        <is>
          <t>Xcel Energy</t>
        </is>
      </c>
      <c r="D3856" s="5" t="n">
        <v>1</v>
      </c>
      <c r="F3856" s="6" t="inlineStr">
        <is>
          <t>913050318_</t>
        </is>
      </c>
      <c r="G3856" s="10" t="n"/>
      <c r="H3856" s="9" t="inlineStr">
        <is>
          <t>Electricity 12/29/24 - 01/29/25</t>
        </is>
      </c>
      <c r="I3856" s="9" t="n">
        <v>388</v>
      </c>
      <c r="J3856" s="9" t="inlineStr">
        <is>
          <t>kWh</t>
        </is>
      </c>
      <c r="K3856" s="9" t="n">
        <v>60.07</v>
      </c>
    </row>
    <row r="3857" ht="15" customFormat="1" customHeight="1" s="5">
      <c r="A3857" s="81" t="n">
        <v>45708</v>
      </c>
      <c r="B3857" s="82" t="n">
        <v>0.2916666666666667</v>
      </c>
      <c r="C3857" s="5" t="inlineStr">
        <is>
          <t>Xcel Energy</t>
        </is>
      </c>
      <c r="D3857" s="5" t="n">
        <v>1</v>
      </c>
      <c r="F3857" s="6" t="inlineStr">
        <is>
          <t>913050318_</t>
        </is>
      </c>
      <c r="G3857" s="10" t="n"/>
      <c r="H3857" s="9" t="inlineStr">
        <is>
          <t>Sales Tax</t>
        </is>
      </c>
      <c r="I3857" s="9" t="n">
        <v>2</v>
      </c>
      <c r="J3857" s="9" t="inlineStr">
        <is>
          <t>cnt</t>
        </is>
      </c>
      <c r="K3857" s="9">
        <f>2.32+2.46</f>
        <v/>
      </c>
    </row>
    <row r="3858" ht="15" customFormat="1" customHeight="1" s="5">
      <c r="A3858" s="81" t="n">
        <v>45708</v>
      </c>
      <c r="B3858" s="82" t="n">
        <v>0.2916666666666667</v>
      </c>
      <c r="C3858" s="5" t="inlineStr">
        <is>
          <t>Xcel Energy</t>
        </is>
      </c>
      <c r="D3858" s="5" t="n">
        <v>1</v>
      </c>
      <c r="F3858" s="6" t="inlineStr">
        <is>
          <t>913050318_</t>
        </is>
      </c>
      <c r="G3858" s="10" t="n"/>
      <c r="H3858" s="9" t="inlineStr">
        <is>
          <t>Franchise Fee 3.00%</t>
        </is>
      </c>
      <c r="I3858" s="9" t="n">
        <v>2</v>
      </c>
      <c r="J3858" s="9" t="inlineStr">
        <is>
          <t>cnt</t>
        </is>
      </c>
      <c r="K3858" s="9">
        <f>1.81+1.92</f>
        <v/>
      </c>
    </row>
    <row r="3859" ht="15" customFormat="1" customHeight="1" s="5">
      <c r="A3859" s="81" t="n">
        <v>45708</v>
      </c>
      <c r="B3859" s="82" t="n">
        <v>0.2916666666666667</v>
      </c>
      <c r="C3859" s="5" t="inlineStr">
        <is>
          <t>US Tax Witholding</t>
        </is>
      </c>
      <c r="D3859" s="5" t="n">
        <v>1</v>
      </c>
      <c r="F3859" s="6" t="inlineStr">
        <is>
          <t>RTX_Paycheck_25_31</t>
        </is>
      </c>
      <c r="G3859" s="7" t="n"/>
      <c r="H3859" s="9" t="inlineStr">
        <is>
          <t>Social Security Tax</t>
        </is>
      </c>
      <c r="I3859" s="9" t="n"/>
      <c r="J3859" s="9" t="n"/>
      <c r="K3859" s="9" t="n">
        <v>237.26</v>
      </c>
    </row>
    <row r="3860" ht="15" customFormat="1" customHeight="1" s="5">
      <c r="A3860" s="81" t="n">
        <v>45708</v>
      </c>
      <c r="B3860" s="82" t="n">
        <v>0.2916666666666667</v>
      </c>
      <c r="C3860" s="5" t="inlineStr">
        <is>
          <t>US Tax Witholding</t>
        </is>
      </c>
      <c r="D3860" s="5" t="n">
        <v>1</v>
      </c>
      <c r="F3860" s="6" t="inlineStr">
        <is>
          <t>RTX_Paycheck_25_31</t>
        </is>
      </c>
      <c r="G3860" s="7" t="n"/>
      <c r="H3860" s="9" t="inlineStr">
        <is>
          <t>Medicare Tax</t>
        </is>
      </c>
      <c r="I3860" s="9" t="n"/>
      <c r="J3860" s="9" t="n"/>
      <c r="K3860" s="9" t="n">
        <v>55.49</v>
      </c>
    </row>
    <row r="3861" ht="15" customFormat="1" customHeight="1" s="5">
      <c r="A3861" s="81" t="n">
        <v>45708</v>
      </c>
      <c r="B3861" s="82" t="n">
        <v>0.2916666666666667</v>
      </c>
      <c r="C3861" s="5" t="inlineStr">
        <is>
          <t>Raytheon</t>
        </is>
      </c>
      <c r="D3861" s="5" t="n">
        <v>1</v>
      </c>
      <c r="F3861" s="6" t="inlineStr">
        <is>
          <t>RTX_Paycheck_25_31</t>
        </is>
      </c>
      <c r="G3861" s="17" t="inlineStr">
        <is>
          <t>XXXX3523</t>
        </is>
      </c>
      <c r="H3861" s="9" t="inlineStr">
        <is>
          <t>Net Paycheck [Feb 01 - Feb 14]</t>
        </is>
      </c>
      <c r="I3861" s="9" t="n"/>
      <c r="J3861" s="9" t="n"/>
      <c r="K3861" s="9" t="n">
        <v>3123.37</v>
      </c>
    </row>
    <row r="3862" ht="15" customFormat="1" customHeight="1" s="5">
      <c r="A3862" s="81" t="n">
        <v>45708</v>
      </c>
      <c r="B3862" s="82" t="n">
        <v>0.2916666666666667</v>
      </c>
      <c r="C3862" s="5" t="inlineStr">
        <is>
          <t>Raytheon</t>
        </is>
      </c>
      <c r="D3862" s="5" t="n">
        <v>1</v>
      </c>
      <c r="F3862" s="6" t="inlineStr">
        <is>
          <t>RTX_Paycheck_25_31</t>
        </is>
      </c>
      <c r="G3862" s="7" t="n"/>
      <c r="H3862" s="9" t="inlineStr">
        <is>
          <t>RTX Direct Deposit -- cancelling offset</t>
        </is>
      </c>
      <c r="I3862" s="9" t="n"/>
      <c r="J3862" s="9" t="n"/>
      <c r="K3862" s="9" t="n">
        <v>-3123.38</v>
      </c>
    </row>
    <row r="3863" ht="15" customFormat="1" customHeight="1" s="5">
      <c r="A3863" s="81" t="n">
        <v>45708</v>
      </c>
      <c r="B3863" s="82" t="n">
        <v>0.2916666666666667</v>
      </c>
      <c r="C3863" s="5" t="inlineStr">
        <is>
          <t>Raytheon</t>
        </is>
      </c>
      <c r="D3863" s="5" t="n">
        <v>1</v>
      </c>
      <c r="F3863" s="6" t="inlineStr">
        <is>
          <t>RTX_Paycheck_25_31</t>
        </is>
      </c>
      <c r="G3863" s="7" t="n"/>
      <c r="H3863" s="9" t="inlineStr">
        <is>
          <t>Gross Paycheck [Feb 01 - Feb 14]</t>
        </is>
      </c>
      <c r="I3863" s="9" t="n"/>
      <c r="J3863" s="9" t="n"/>
      <c r="K3863" s="9" t="n">
        <v>-4040.94</v>
      </c>
      <c r="M3863" s="5">
        <f>(5000-30-4537.09)/4</f>
        <v/>
      </c>
    </row>
    <row r="3864" ht="15" customFormat="1" customHeight="1" s="5">
      <c r="A3864" s="81" t="n">
        <v>45708</v>
      </c>
      <c r="B3864" s="82" t="n">
        <v>0.2916666666666667</v>
      </c>
      <c r="C3864" s="5" t="inlineStr">
        <is>
          <t>Parents Gift Account</t>
        </is>
      </c>
      <c r="D3864" s="5" t="n">
        <v>1</v>
      </c>
      <c r="F3864" s="6" t="inlineStr">
        <is>
          <t>RTX_Paycheck_25_31</t>
        </is>
      </c>
      <c r="G3864" s="17" t="inlineStr">
        <is>
          <t>XXXX7146</t>
        </is>
      </c>
      <c r="H3864" s="9" t="inlineStr">
        <is>
          <t>Contribution to Parents Gift Account</t>
        </is>
      </c>
      <c r="I3864" s="9" t="n"/>
      <c r="J3864" s="9" t="n"/>
      <c r="K3864" s="9" t="n">
        <v>0.01</v>
      </c>
    </row>
    <row r="3865" ht="15" customFormat="1" customHeight="1" s="5">
      <c r="A3865" s="81" t="n">
        <v>45708</v>
      </c>
      <c r="B3865" s="82" t="n">
        <v>0.2916666666666667</v>
      </c>
      <c r="C3865" s="5" t="inlineStr">
        <is>
          <t>HSA</t>
        </is>
      </c>
      <c r="D3865" s="5" t="n">
        <v>1</v>
      </c>
      <c r="F3865" s="6" t="inlineStr">
        <is>
          <t>RTX_Paycheck_25_31</t>
        </is>
      </c>
      <c r="G3865" s="7" t="n"/>
      <c r="H3865" s="9" t="inlineStr">
        <is>
          <t>Personal contribution to HSA</t>
        </is>
      </c>
      <c r="I3865" s="9" t="n"/>
      <c r="J3865" s="9" t="n"/>
      <c r="K3865" s="9" t="n">
        <v>142.31</v>
      </c>
    </row>
    <row r="3866" ht="15" customFormat="1" customHeight="1" s="5">
      <c r="A3866" s="81" t="n">
        <v>45708</v>
      </c>
      <c r="B3866" s="82" t="n">
        <v>0.2916666666666667</v>
      </c>
      <c r="C3866" s="5" t="inlineStr">
        <is>
          <t>Delta Dental</t>
        </is>
      </c>
      <c r="D3866" s="5" t="n">
        <v>1</v>
      </c>
      <c r="F3866" s="6" t="inlineStr">
        <is>
          <t>RTX_Paycheck_25_31</t>
        </is>
      </c>
      <c r="G3866" s="10" t="n"/>
      <c r="H3866" s="9" t="inlineStr">
        <is>
          <t>Dental Insurance</t>
        </is>
      </c>
      <c r="I3866" s="9" t="n"/>
      <c r="J3866" s="9" t="n"/>
      <c r="K3866" s="9" t="n">
        <v>4.26</v>
      </c>
    </row>
    <row r="3867" ht="15" customFormat="1" customHeight="1" s="5">
      <c r="A3867" s="81" t="n">
        <v>45708</v>
      </c>
      <c r="B3867" s="82" t="n">
        <v>0.2916666666666667</v>
      </c>
      <c r="C3867" s="5" t="inlineStr">
        <is>
          <t>CO Tax Witholding</t>
        </is>
      </c>
      <c r="D3867" s="5" t="n">
        <v>1</v>
      </c>
      <c r="F3867" s="6" t="inlineStr">
        <is>
          <t>RTX_Paycheck_25_31</t>
        </is>
      </c>
      <c r="G3867" s="7" t="n"/>
      <c r="H3867" s="9" t="inlineStr">
        <is>
          <t>CO State Income Tax</t>
        </is>
      </c>
      <c r="I3867" s="9" t="n"/>
      <c r="J3867" s="9" t="n"/>
      <c r="K3867" s="9" t="n">
        <v>142.49</v>
      </c>
    </row>
    <row r="3868" ht="15" customFormat="1" customHeight="1" s="5">
      <c r="A3868" s="81" t="n">
        <v>45708</v>
      </c>
      <c r="B3868" s="82" t="n">
        <v>0.2916666666666667</v>
      </c>
      <c r="C3868" s="5" t="inlineStr">
        <is>
          <t>CO Tax Witholding</t>
        </is>
      </c>
      <c r="D3868" s="5" t="n">
        <v>1</v>
      </c>
      <c r="F3868" s="6" t="inlineStr">
        <is>
          <t>RTX_Paycheck_25_31</t>
        </is>
      </c>
      <c r="G3868" s="7" t="n"/>
      <c r="H3868" s="9" t="inlineStr">
        <is>
          <t>CO Paid Family Leave Insurance</t>
        </is>
      </c>
      <c r="I3868" s="9" t="n"/>
      <c r="J3868" s="9" t="n"/>
      <c r="K3868" s="9" t="n">
        <v>18.19</v>
      </c>
    </row>
    <row r="3869" ht="15" customFormat="1" customHeight="1" s="5">
      <c r="A3869" s="81" t="n">
        <v>45708</v>
      </c>
      <c r="B3869" s="82" t="n">
        <v>0.2916666666666667</v>
      </c>
      <c r="C3869" s="5" t="inlineStr">
        <is>
          <t>CO Tax Witholding</t>
        </is>
      </c>
      <c r="D3869" s="5" t="n">
        <v>1</v>
      </c>
      <c r="F3869" s="6" t="inlineStr">
        <is>
          <t>RTX_Paycheck_25_31</t>
        </is>
      </c>
      <c r="G3869" s="7" t="n"/>
      <c r="H3869" s="9" t="inlineStr">
        <is>
          <t xml:space="preserve">"POSTAX INS MRSH" ? </t>
        </is>
      </c>
      <c r="I3869" s="9" t="n"/>
      <c r="J3869" s="9" t="n"/>
      <c r="K3869" s="9" t="n">
        <v>5.9</v>
      </c>
    </row>
    <row r="3870" ht="15" customFormat="1" customHeight="1" s="5">
      <c r="A3870" s="81" t="n">
        <v>45708</v>
      </c>
      <c r="B3870" s="82" t="n">
        <v>0.2916666666666667</v>
      </c>
      <c r="C3870" s="5" t="inlineStr">
        <is>
          <t>Anthem BcBs</t>
        </is>
      </c>
      <c r="D3870" s="5" t="n">
        <v>1</v>
      </c>
      <c r="F3870" s="6" t="inlineStr">
        <is>
          <t>RTX_Paycheck_25_31</t>
        </is>
      </c>
      <c r="G3870" s="7" t="n"/>
      <c r="H3870" s="9" t="inlineStr">
        <is>
          <t>Medical Insurance</t>
        </is>
      </c>
      <c r="I3870" s="9" t="n"/>
      <c r="J3870" s="9" t="n"/>
      <c r="K3870" s="9" t="n">
        <v>69.2</v>
      </c>
    </row>
    <row r="3871" ht="15" customFormat="1" customHeight="1" s="5">
      <c r="A3871" s="81" t="n">
        <v>45708</v>
      </c>
      <c r="B3871" s="82" t="n">
        <v>0.2916666666666667</v>
      </c>
      <c r="C3871" s="5" t="inlineStr">
        <is>
          <t>Alight</t>
        </is>
      </c>
      <c r="D3871" s="5" t="n">
        <v>1</v>
      </c>
      <c r="F3871" s="6" t="inlineStr">
        <is>
          <t>RTX_Paycheck_25_31</t>
        </is>
      </c>
      <c r="G3871" s="7" t="n"/>
      <c r="H3871" s="9" t="inlineStr">
        <is>
          <t>401k Basic -- Traditional</t>
        </is>
      </c>
      <c r="I3871" s="9" t="n"/>
      <c r="J3871" s="9" t="n"/>
      <c r="K3871" s="9" t="n">
        <v>202.05</v>
      </c>
    </row>
    <row r="3872" ht="15" customFormat="1" customHeight="1" s="5">
      <c r="A3872" s="81" t="n">
        <v>45708</v>
      </c>
      <c r="B3872" s="82" t="n">
        <v>0.2916666666666667</v>
      </c>
      <c r="C3872" s="5" t="inlineStr">
        <is>
          <t>Alight</t>
        </is>
      </c>
      <c r="D3872" s="5" t="n">
        <v>1</v>
      </c>
      <c r="F3872" s="6" t="inlineStr">
        <is>
          <t>RTX_Paycheck_25_31</t>
        </is>
      </c>
      <c r="G3872" s="7" t="n"/>
      <c r="H3872" s="9" t="inlineStr">
        <is>
          <t>Roth 401k Basic</t>
        </is>
      </c>
      <c r="I3872" s="9" t="n"/>
      <c r="J3872" s="9" t="n"/>
      <c r="K3872" s="9" t="n">
        <v>40.41</v>
      </c>
    </row>
    <row r="3873" ht="15" customFormat="1" customHeight="1" s="5">
      <c r="A3873" s="81" t="n">
        <v>45707</v>
      </c>
      <c r="B3873" s="82" t="n">
        <v>0.7173611111111111</v>
      </c>
      <c r="C3873" s="5" t="inlineStr">
        <is>
          <t>Aurora Water</t>
        </is>
      </c>
      <c r="D3873" s="5" t="n">
        <v>1</v>
      </c>
      <c r="F3873" s="6" t="inlineStr">
        <is>
          <t>0002688901_4125711136</t>
        </is>
      </c>
      <c r="G3873" s="10" t="n"/>
      <c r="H3873" s="9" t="inlineStr">
        <is>
          <t>First 5K GAL @$5.63/KGal</t>
        </is>
      </c>
      <c r="I3873" s="9" t="n">
        <v>2.382</v>
      </c>
      <c r="J3873" s="9" t="inlineStr">
        <is>
          <t>KGal</t>
        </is>
      </c>
      <c r="K3873" s="9" t="n">
        <v>13.41</v>
      </c>
    </row>
    <row r="3874" ht="15" customFormat="1" customHeight="1" s="5">
      <c r="A3874" s="81" t="n">
        <v>45707</v>
      </c>
      <c r="B3874" s="82" t="n">
        <v>0.7173611111111111</v>
      </c>
      <c r="C3874" s="5" t="inlineStr">
        <is>
          <t>Aurora Water</t>
        </is>
      </c>
      <c r="D3874" s="5" t="n">
        <v>1</v>
      </c>
      <c r="F3874" s="6" t="inlineStr">
        <is>
          <t>0002688901_4125711136</t>
        </is>
      </c>
      <c r="G3874" s="10" t="n"/>
      <c r="H3874" s="9" t="inlineStr">
        <is>
          <t>Water Monthly Svc Chg</t>
        </is>
      </c>
      <c r="I3874" s="9" t="n"/>
      <c r="J3874" s="9" t="n"/>
      <c r="K3874" s="9" t="n">
        <v>11.86</v>
      </c>
    </row>
    <row r="3875" ht="15" customFormat="1" customHeight="1" s="5">
      <c r="A3875" s="81" t="n">
        <v>45707</v>
      </c>
      <c r="B3875" s="82" t="n">
        <v>0.7173611111111111</v>
      </c>
      <c r="C3875" s="5" t="inlineStr">
        <is>
          <t>Aurora Water</t>
        </is>
      </c>
      <c r="D3875" s="5" t="n">
        <v>1</v>
      </c>
      <c r="F3875" s="6" t="inlineStr">
        <is>
          <t>0002688901_4125711136</t>
        </is>
      </c>
      <c r="G3875" s="10" t="n"/>
      <c r="H3875" s="9" t="inlineStr">
        <is>
          <t>Storm Drain Base</t>
        </is>
      </c>
      <c r="I3875" s="9" t="n"/>
      <c r="J3875" s="9" t="n"/>
      <c r="K3875" s="9" t="n">
        <v>9.210000000000001</v>
      </c>
    </row>
    <row r="3876" ht="15" customFormat="1" customHeight="1" s="5">
      <c r="A3876" s="81" t="n">
        <v>45707</v>
      </c>
      <c r="B3876" s="82" t="n">
        <v>0.7173611111111111</v>
      </c>
      <c r="C3876" s="5" t="inlineStr">
        <is>
          <t>Aurora Water</t>
        </is>
      </c>
      <c r="D3876" s="5" t="n">
        <v>1</v>
      </c>
      <c r="F3876" s="6" t="inlineStr">
        <is>
          <t>0002688901_4125711136</t>
        </is>
      </c>
      <c r="G3876" s="10" t="n"/>
      <c r="H3876" s="9" t="inlineStr">
        <is>
          <t>Sewer Usage Chg @$5.06/KGal</t>
        </is>
      </c>
      <c r="I3876" s="9" t="n">
        <v>1.326</v>
      </c>
      <c r="J3876" s="9" t="inlineStr">
        <is>
          <t>KGal</t>
        </is>
      </c>
      <c r="K3876" s="9" t="n">
        <v>6.71</v>
      </c>
    </row>
    <row r="3877" ht="15" customFormat="1" customHeight="1" s="5">
      <c r="A3877" s="81" t="n">
        <v>45707</v>
      </c>
      <c r="B3877" s="82" t="n">
        <v>0.7173611111111111</v>
      </c>
      <c r="C3877" s="5" t="inlineStr">
        <is>
          <t>Aurora Water</t>
        </is>
      </c>
      <c r="D3877" s="5" t="n">
        <v>1</v>
      </c>
      <c r="F3877" s="6" t="inlineStr">
        <is>
          <t>0002688901_4125711136</t>
        </is>
      </c>
      <c r="G3877" s="10" t="n"/>
      <c r="H3877" s="9" t="inlineStr">
        <is>
          <t>Sewer Monthly Svc Chg</t>
        </is>
      </c>
      <c r="I3877" s="9" t="n"/>
      <c r="J3877" s="9" t="n"/>
      <c r="K3877" s="9" t="n">
        <v>4.38</v>
      </c>
    </row>
    <row r="3878" ht="15" customFormat="1" customHeight="1" s="5">
      <c r="A3878" s="81" t="n">
        <v>45707</v>
      </c>
      <c r="B3878" s="82" t="n">
        <v>0.7173611111111111</v>
      </c>
      <c r="C3878" s="5" t="inlineStr">
        <is>
          <t>Aurora Water</t>
        </is>
      </c>
      <c r="D3878" s="5" t="n">
        <v>1</v>
      </c>
      <c r="F3878" s="6" t="inlineStr">
        <is>
          <t>0002688901_4125711136</t>
        </is>
      </c>
      <c r="G3878" s="10" t="n"/>
      <c r="H3878" s="9" t="inlineStr">
        <is>
          <t>First 5K GAL @$5.63/KGal</t>
        </is>
      </c>
      <c r="I3878" s="9" t="n">
        <v>0.618</v>
      </c>
      <c r="J3878" s="9" t="inlineStr">
        <is>
          <t>KGal</t>
        </is>
      </c>
      <c r="K3878" s="9" t="n">
        <v>3.48</v>
      </c>
    </row>
    <row r="3879" ht="15" customFormat="1" customHeight="1" s="5">
      <c r="A3879" s="81" t="n">
        <v>45707</v>
      </c>
      <c r="B3879" s="82" t="n">
        <v>0.7173611111111111</v>
      </c>
      <c r="C3879" s="5" t="inlineStr">
        <is>
          <t>Aurora Water</t>
        </is>
      </c>
      <c r="D3879" s="5" t="n">
        <v>1</v>
      </c>
      <c r="F3879" s="6" t="inlineStr">
        <is>
          <t>0002688901_4125711136</t>
        </is>
      </c>
      <c r="G3879" s="10" t="n"/>
      <c r="H3879" s="9" t="inlineStr">
        <is>
          <t>Water Monthly Svc Chg</t>
        </is>
      </c>
      <c r="I3879" s="9" t="n"/>
      <c r="J3879" s="9" t="n"/>
      <c r="K3879" s="9" t="n">
        <v>2.92</v>
      </c>
    </row>
    <row r="3880" ht="15" customFormat="1" customHeight="1" s="5">
      <c r="A3880" s="81" t="n">
        <v>45707</v>
      </c>
      <c r="B3880" s="82" t="n">
        <v>0.7173611111111111</v>
      </c>
      <c r="C3880" s="5" t="inlineStr">
        <is>
          <t>Aurora Water</t>
        </is>
      </c>
      <c r="D3880" s="5" t="n">
        <v>1</v>
      </c>
      <c r="F3880" s="6" t="inlineStr">
        <is>
          <t>0002688901_4125711136</t>
        </is>
      </c>
      <c r="G3880" s="10" t="n"/>
      <c r="H3880" s="9" t="inlineStr">
        <is>
          <t>Storm Drain Base</t>
        </is>
      </c>
      <c r="I3880" s="9" t="n"/>
      <c r="J3880" s="9" t="n"/>
      <c r="K3880" s="9" t="n">
        <v>2.31</v>
      </c>
    </row>
    <row r="3881" ht="15" customFormat="1" customHeight="1" s="5">
      <c r="A3881" s="81" t="n">
        <v>45707</v>
      </c>
      <c r="B3881" s="82" t="n">
        <v>0.7173611111111111</v>
      </c>
      <c r="C3881" s="5" t="inlineStr">
        <is>
          <t>Aurora Water</t>
        </is>
      </c>
      <c r="D3881" s="5" t="n">
        <v>1</v>
      </c>
      <c r="F3881" s="6" t="inlineStr">
        <is>
          <t>0002688901_4125711136</t>
        </is>
      </c>
      <c r="G3881" s="10" t="n"/>
      <c r="H3881" s="9" t="inlineStr">
        <is>
          <t>Sewer Usage Chg @$4.60/KGal</t>
        </is>
      </c>
      <c r="I3881" s="9" t="n">
        <v>0.344</v>
      </c>
      <c r="J3881" s="9" t="inlineStr">
        <is>
          <t>KGal</t>
        </is>
      </c>
      <c r="K3881" s="9" t="n">
        <v>1.58</v>
      </c>
    </row>
    <row r="3882" ht="15" customFormat="1" customHeight="1" s="5">
      <c r="A3882" s="81" t="n">
        <v>45707</v>
      </c>
      <c r="B3882" s="82" t="n">
        <v>0.7173611111111111</v>
      </c>
      <c r="C3882" s="5" t="inlineStr">
        <is>
          <t>Aurora Water</t>
        </is>
      </c>
      <c r="D3882" s="5" t="n">
        <v>1</v>
      </c>
      <c r="F3882" s="6" t="inlineStr">
        <is>
          <t>0002688901_4125711136</t>
        </is>
      </c>
      <c r="G3882" s="10" t="n"/>
      <c r="H3882" s="9" t="inlineStr">
        <is>
          <t>Sewer Monthly Svc Chg</t>
        </is>
      </c>
      <c r="I3882" s="9" t="n"/>
      <c r="J3882" s="9" t="n"/>
      <c r="K3882" s="9" t="n">
        <v>1.03</v>
      </c>
    </row>
    <row r="3883" ht="15" customFormat="1" customHeight="1" s="5">
      <c r="A3883" s="81" t="n">
        <v>45707</v>
      </c>
      <c r="B3883" s="82" t="n">
        <v>0.525</v>
      </c>
      <c r="C3883" s="5" t="inlineStr">
        <is>
          <t>Lakeview Mortgage (??)</t>
        </is>
      </c>
      <c r="D3883" s="5" t="n">
        <v>1</v>
      </c>
      <c r="F3883" s="6" t="n"/>
      <c r="G3883" s="10" t="n"/>
      <c r="H3883" s="9" t="inlineStr">
        <is>
          <t>MyLoanCare Arapahoe County Property Taxes Disbursement Confirmation</t>
        </is>
      </c>
      <c r="I3883" s="9" t="n"/>
      <c r="J3883" s="9" t="n"/>
      <c r="K3883" s="9" t="n">
        <v>790.37</v>
      </c>
    </row>
    <row r="3884" ht="15" customFormat="1" customHeight="1" s="5">
      <c r="A3884" s="81" t="n">
        <v>45707</v>
      </c>
      <c r="B3884" s="82" t="n">
        <v>0.2916666666666667</v>
      </c>
      <c r="C3884" s="5" t="inlineStr">
        <is>
          <t>CDLE FAMLI</t>
        </is>
      </c>
      <c r="D3884" s="5" t="n">
        <v>1</v>
      </c>
      <c r="F3884" s="6" t="inlineStr">
        <is>
          <t>NA_Fam3</t>
        </is>
      </c>
      <c r="G3884" s="10" t="n"/>
      <c r="H3884" s="9" t="inlineStr">
        <is>
          <t>RTX ELI Deposit CDLE FAMLI_2 Benefits</t>
        </is>
      </c>
      <c r="I3884" s="9" t="n"/>
      <c r="J3884" s="9" t="n"/>
      <c r="K3884" s="9" t="n">
        <v>-1324.21</v>
      </c>
    </row>
    <row r="3885" ht="15" customFormat="1" customHeight="1" s="5">
      <c r="A3885" s="81" t="n">
        <v>45706</v>
      </c>
      <c r="B3885" s="82" t="n">
        <v>0.3416666666666667</v>
      </c>
      <c r="C3885" s="5" t="inlineStr">
        <is>
          <t>Venmo</t>
        </is>
      </c>
      <c r="D3885" s="5" t="n">
        <v>1</v>
      </c>
      <c r="F3885" s="6" t="inlineStr">
        <is>
          <t>4270837949364083355</t>
        </is>
      </c>
      <c r="G3885" s="10" t="n"/>
      <c r="H3885" s="9" t="inlineStr">
        <is>
          <t>Boba wrap FB Marketplace (Meg Green) for Castros baby!</t>
        </is>
      </c>
      <c r="I3885" s="9" t="n"/>
      <c r="J3885" s="9" t="n"/>
      <c r="K3885" s="9" t="n">
        <v>15</v>
      </c>
    </row>
    <row r="3886" ht="15" customFormat="1" customHeight="1" s="5">
      <c r="A3886" s="81" t="n">
        <v>45706</v>
      </c>
      <c r="B3886" s="82" t="n">
        <v>0.3409722222222222</v>
      </c>
      <c r="C3886" s="5" t="inlineStr">
        <is>
          <t>Venmo</t>
        </is>
      </c>
      <c r="D3886" s="5" t="n">
        <v>1</v>
      </c>
      <c r="F3886" s="6" t="inlineStr">
        <is>
          <t>4270837198013250179</t>
        </is>
      </c>
      <c r="G3886" s="10" t="n"/>
      <c r="H3886" s="9" t="inlineStr">
        <is>
          <t>Baby gate (reimburse Kati for cash pickup)</t>
        </is>
      </c>
      <c r="I3886" s="9" t="n"/>
      <c r="J3886" s="9" t="n"/>
      <c r="K3886" s="9" t="n">
        <v>20</v>
      </c>
    </row>
    <row r="3887" ht="15" customFormat="1" customHeight="1" s="5">
      <c r="A3887" s="81" t="n">
        <v>45706</v>
      </c>
      <c r="B3887" s="82" t="n">
        <v>0.2916666666666667</v>
      </c>
      <c r="C3887" s="5" t="inlineStr">
        <is>
          <t>Amazon</t>
        </is>
      </c>
      <c r="D3887" s="5" t="n">
        <v>1</v>
      </c>
      <c r="F3887" s="6" t="inlineStr">
        <is>
          <t>111-9210351-2563429</t>
        </is>
      </c>
      <c r="G3887" s="10" t="n"/>
      <c r="H3887" s="9" t="inlineStr">
        <is>
          <t>Earth Mama Organic Diaper Balm 2-Ounce | Diaper Cream for Baby | EWG Verified, Petroleum &amp; Artificial Fragrance-Free with Calendula for Sensitive Skin (2-Pack)
Sold by: Earth Mama®</t>
        </is>
      </c>
      <c r="I3887" s="9" t="n">
        <v>4</v>
      </c>
      <c r="J3887" s="9" t="inlineStr">
        <is>
          <t>oz</t>
        </is>
      </c>
      <c r="K3887" s="9" t="n">
        <v>26.58</v>
      </c>
    </row>
    <row r="3888" ht="15" customFormat="1" customHeight="1" s="5">
      <c r="A3888" s="81" t="n">
        <v>45706</v>
      </c>
      <c r="B3888" s="82" t="n">
        <v>0.2916666666666667</v>
      </c>
      <c r="C3888" s="5" t="inlineStr">
        <is>
          <t>Amazon</t>
        </is>
      </c>
      <c r="D3888" s="5" t="n">
        <v>1</v>
      </c>
      <c r="F3888" s="6" t="inlineStr">
        <is>
          <t>111-9210351-2563429</t>
        </is>
      </c>
      <c r="G3888" s="10" t="n"/>
      <c r="H3888" s="9" t="inlineStr">
        <is>
          <t>SWEET DOLPHIN Muslin Hooded Baby Bath Towels - 2 Pack 100% Cotton Towel for Babies, Infants, Toddlers - 32x32Inch - Highly Absorbent and Newborn Essential, Light Bean Paste Sold by: SWEET DOLPHIN - US</t>
        </is>
      </c>
      <c r="I3888" s="9" t="n">
        <v>2</v>
      </c>
      <c r="J3888" s="9" t="inlineStr">
        <is>
          <t>cnt</t>
        </is>
      </c>
      <c r="K3888" s="9" t="n">
        <v>13.99</v>
      </c>
    </row>
    <row r="3889" ht="15" customFormat="1" customHeight="1" s="5">
      <c r="A3889" s="81" t="n">
        <v>45706</v>
      </c>
      <c r="B3889" s="82" t="n">
        <v>0.2916666666666667</v>
      </c>
      <c r="C3889" s="5" t="inlineStr">
        <is>
          <t>Amazon</t>
        </is>
      </c>
      <c r="D3889" s="5" t="n">
        <v>1</v>
      </c>
      <c r="F3889" s="6" t="inlineStr">
        <is>
          <t>111-9210351-2563429</t>
        </is>
      </c>
      <c r="G3889" s="10" t="n"/>
      <c r="H3889" s="9" t="inlineStr">
        <is>
          <t>Tax</t>
        </is>
      </c>
      <c r="I3889" s="9" t="n">
        <v>2</v>
      </c>
      <c r="J3889" s="9" t="inlineStr">
        <is>
          <t>cnt</t>
        </is>
      </c>
      <c r="K3889" s="9" t="n">
        <v>2.84</v>
      </c>
    </row>
    <row r="3890" ht="15" customFormat="1" customHeight="1" s="5">
      <c r="A3890" s="81" t="n">
        <v>45706</v>
      </c>
      <c r="B3890" s="82" t="n">
        <v>0.2916666666666667</v>
      </c>
      <c r="C3890" s="22" t="inlineStr">
        <is>
          <t>Lakeview Mortgage (??)</t>
        </is>
      </c>
      <c r="D3890" s="5" t="n">
        <v>1</v>
      </c>
      <c r="F3890" s="6" t="n"/>
      <c r="G3890" s="10" t="n"/>
      <c r="H3890" s="9" t="inlineStr">
        <is>
          <t>County Tax Disbursement</t>
        </is>
      </c>
      <c r="I3890" s="9" t="n"/>
      <c r="J3890" s="9" t="n"/>
      <c r="K3890" s="9" t="n">
        <v>-790.37</v>
      </c>
    </row>
    <row r="3891" ht="15" customFormat="1" customHeight="1" s="5">
      <c r="A3891" s="81" t="n">
        <v>45705</v>
      </c>
      <c r="B3891" s="82" t="n"/>
      <c r="C3891" s="5" t="inlineStr">
        <is>
          <t>Walmart</t>
        </is>
      </c>
      <c r="F3891" s="6" t="n"/>
      <c r="G3891" s="10" t="n"/>
      <c r="H3891" s="9" t="inlineStr">
        <is>
          <t>Walmart for walnuts Eli and dad</t>
        </is>
      </c>
      <c r="I3891" s="9" t="n"/>
      <c r="J3891" s="9" t="n"/>
      <c r="K3891" s="9" t="n"/>
    </row>
    <row r="3892" ht="15" customFormat="1" customHeight="1" s="5">
      <c r="A3892" s="81" t="n">
        <v>45704</v>
      </c>
      <c r="B3892" s="82" t="n">
        <v>0.6611111111111111</v>
      </c>
      <c r="C3892" s="5" t="inlineStr">
        <is>
          <t>Costco</t>
        </is>
      </c>
      <c r="E3892" s="5" t="n">
        <v>1</v>
      </c>
      <c r="F3892" s="6" t="inlineStr">
        <is>
          <t>361 13 297 606</t>
        </is>
      </c>
      <c r="G3892" s="10" t="n"/>
      <c r="H3892" s="9" t="inlineStr">
        <is>
          <t>Pom Juice</t>
        </is>
      </c>
      <c r="I3892" s="9" t="n">
        <v>64</v>
      </c>
      <c r="J3892" s="9" t="inlineStr">
        <is>
          <t>fl oz</t>
        </is>
      </c>
      <c r="K3892" s="9" t="inlineStr">
        <is>
          <t>9.99 E</t>
        </is>
      </c>
    </row>
    <row r="3893" ht="15" customFormat="1" customHeight="1" s="5">
      <c r="A3893" s="81" t="n">
        <v>45704</v>
      </c>
      <c r="B3893" s="82" t="n">
        <v>0.6611111111111111</v>
      </c>
      <c r="C3893" s="5" t="inlineStr">
        <is>
          <t>Costco</t>
        </is>
      </c>
      <c r="E3893" s="5" t="n">
        <v>1</v>
      </c>
      <c r="F3893" s="6" t="inlineStr">
        <is>
          <t>361 13 297 606</t>
        </is>
      </c>
      <c r="G3893" s="10" t="n"/>
      <c r="H3893" s="9" t="inlineStr">
        <is>
          <t>Org Mediterrian Salad</t>
        </is>
      </c>
      <c r="I3893" s="9" t="n">
        <v>24</v>
      </c>
      <c r="J3893" s="9" t="inlineStr">
        <is>
          <t>oz</t>
        </is>
      </c>
      <c r="K3893" s="9" t="inlineStr">
        <is>
          <t>8.99 E</t>
        </is>
      </c>
    </row>
    <row r="3894" ht="15" customFormat="1" customHeight="1" s="5">
      <c r="A3894" s="81" t="n">
        <v>45704</v>
      </c>
      <c r="B3894" s="82" t="n">
        <v>0.6611111111111111</v>
      </c>
      <c r="C3894" s="5" t="inlineStr">
        <is>
          <t>Costco</t>
        </is>
      </c>
      <c r="E3894" s="5" t="n">
        <v>1</v>
      </c>
      <c r="F3894" s="6" t="inlineStr">
        <is>
          <t>361 13 297 606</t>
        </is>
      </c>
      <c r="G3894" s="10" t="n"/>
      <c r="H3894" s="9" t="inlineStr">
        <is>
          <t>PalmOlive</t>
        </is>
      </c>
      <c r="I3894" s="9" t="n">
        <v>102</v>
      </c>
      <c r="J3894" s="9" t="inlineStr">
        <is>
          <t>fl oz</t>
        </is>
      </c>
      <c r="K3894" s="9" t="inlineStr">
        <is>
          <t>8.99 A</t>
        </is>
      </c>
    </row>
    <row r="3895" ht="15" customFormat="1" customHeight="1" s="5">
      <c r="A3895" s="81" t="n">
        <v>45704</v>
      </c>
      <c r="B3895" s="82" t="n">
        <v>0.6611111111111111</v>
      </c>
      <c r="C3895" s="5" t="inlineStr">
        <is>
          <t>Costco</t>
        </is>
      </c>
      <c r="E3895" s="5" t="n">
        <v>1</v>
      </c>
      <c r="F3895" s="6" t="inlineStr">
        <is>
          <t>361 13 297 606</t>
        </is>
      </c>
      <c r="G3895" s="10" t="n"/>
      <c r="H3895" s="9" t="inlineStr">
        <is>
          <t>Keto Bread, Natural Ovens</t>
        </is>
      </c>
      <c r="I3895" s="9" t="n">
        <v>36</v>
      </c>
      <c r="J3895" s="9" t="inlineStr">
        <is>
          <t>oz</t>
        </is>
      </c>
      <c r="K3895" s="9" t="inlineStr">
        <is>
          <t>7.99 E</t>
        </is>
      </c>
    </row>
    <row r="3896" ht="15" customFormat="1" customHeight="1" s="5">
      <c r="A3896" s="81" t="n">
        <v>45704</v>
      </c>
      <c r="B3896" s="82" t="n">
        <v>0.6611111111111111</v>
      </c>
      <c r="C3896" s="5" t="inlineStr">
        <is>
          <t>Costco</t>
        </is>
      </c>
      <c r="E3896" s="5" t="n">
        <v>1</v>
      </c>
      <c r="F3896" s="6" t="inlineStr">
        <is>
          <t>361 13 297 606</t>
        </is>
      </c>
      <c r="G3896" s="10" t="n"/>
      <c r="H3896" s="9" t="inlineStr">
        <is>
          <t>Organic Dates</t>
        </is>
      </c>
      <c r="I3896" s="9" t="n">
        <v>48</v>
      </c>
      <c r="J3896" s="9" t="inlineStr">
        <is>
          <t>oz</t>
        </is>
      </c>
      <c r="K3896" s="9" t="inlineStr">
        <is>
          <t>7.99 E</t>
        </is>
      </c>
    </row>
    <row r="3897" ht="15" customFormat="1" customHeight="1" s="5">
      <c r="A3897" s="81" t="n">
        <v>45704</v>
      </c>
      <c r="B3897" s="82" t="n">
        <v>0.6611111111111111</v>
      </c>
      <c r="C3897" s="5" t="inlineStr">
        <is>
          <t>Costco</t>
        </is>
      </c>
      <c r="E3897" s="5" t="n">
        <v>1</v>
      </c>
      <c r="F3897" s="6" t="inlineStr">
        <is>
          <t>361 13 297 606</t>
        </is>
      </c>
      <c r="G3897" s="10" t="n"/>
      <c r="H3897" s="9" t="inlineStr">
        <is>
          <t>Green grapes</t>
        </is>
      </c>
      <c r="I3897" s="9" t="n">
        <v>3</v>
      </c>
      <c r="J3897" s="9" t="inlineStr">
        <is>
          <t>lb</t>
        </is>
      </c>
      <c r="K3897" s="9" t="inlineStr">
        <is>
          <t>7.39 E</t>
        </is>
      </c>
    </row>
    <row r="3898" ht="15" customFormat="1" customHeight="1" s="5">
      <c r="A3898" s="81" t="n">
        <v>45704</v>
      </c>
      <c r="B3898" s="82" t="n">
        <v>0.6611111111111111</v>
      </c>
      <c r="C3898" s="5" t="inlineStr">
        <is>
          <t>Costco</t>
        </is>
      </c>
      <c r="E3898" s="5" t="n">
        <v>1</v>
      </c>
      <c r="F3898" s="6" t="inlineStr">
        <is>
          <t>361 13 297 606</t>
        </is>
      </c>
      <c r="G3898" s="10" t="n"/>
      <c r="H3898" s="9" t="inlineStr">
        <is>
          <t>Artisan Rol Coabatta 24 cnt</t>
        </is>
      </c>
      <c r="I3898" s="9" t="n">
        <v>40</v>
      </c>
      <c r="J3898" s="9" t="inlineStr">
        <is>
          <t>oz</t>
        </is>
      </c>
      <c r="K3898" s="9" t="inlineStr">
        <is>
          <t>6.99 A</t>
        </is>
      </c>
    </row>
    <row r="3899" ht="15" customFormat="1" customHeight="1" s="5">
      <c r="A3899" s="81" t="n">
        <v>45704</v>
      </c>
      <c r="B3899" s="82" t="n">
        <v>0.6611111111111111</v>
      </c>
      <c r="C3899" s="5" t="inlineStr">
        <is>
          <t>Costco</t>
        </is>
      </c>
      <c r="E3899" s="5" t="n">
        <v>1</v>
      </c>
      <c r="F3899" s="6" t="inlineStr">
        <is>
          <t>361 13 297 606</t>
        </is>
      </c>
      <c r="G3899" s="10" t="n"/>
      <c r="H3899" s="9" t="inlineStr">
        <is>
          <t>SKO 5% skotidaki greek yogurt plain whole milk</t>
        </is>
      </c>
      <c r="I3899" s="9" t="n">
        <v>48</v>
      </c>
      <c r="J3899" s="9" t="inlineStr">
        <is>
          <t>oz</t>
        </is>
      </c>
      <c r="K3899" s="9" t="inlineStr">
        <is>
          <t>5.79 E</t>
        </is>
      </c>
    </row>
    <row r="3900" ht="15" customFormat="1" customHeight="1" s="5">
      <c r="A3900" s="81" t="n">
        <v>45704</v>
      </c>
      <c r="B3900" s="82" t="n">
        <v>0.6611111111111111</v>
      </c>
      <c r="C3900" s="5" t="inlineStr">
        <is>
          <t>Costco</t>
        </is>
      </c>
      <c r="E3900" s="5" t="n">
        <v>1</v>
      </c>
      <c r="F3900" s="6" t="inlineStr">
        <is>
          <t>361 13 297 606</t>
        </is>
      </c>
      <c r="G3900" s="10" t="n"/>
      <c r="H3900" s="9" t="inlineStr">
        <is>
          <t>Kalamata olives</t>
        </is>
      </c>
      <c r="I3900" s="9" t="n">
        <v>20</v>
      </c>
      <c r="J3900" s="9" t="inlineStr">
        <is>
          <t>oz</t>
        </is>
      </c>
      <c r="K3900" s="9" t="inlineStr">
        <is>
          <t>5.79 E</t>
        </is>
      </c>
    </row>
    <row r="3901" ht="15" customFormat="1" customHeight="1" s="5">
      <c r="A3901" s="81" t="n">
        <v>45704</v>
      </c>
      <c r="B3901" s="82" t="n">
        <v>0.6611111111111111</v>
      </c>
      <c r="C3901" s="5" t="inlineStr">
        <is>
          <t>Costco</t>
        </is>
      </c>
      <c r="E3901" s="5" t="n">
        <v>1</v>
      </c>
      <c r="F3901" s="6" t="inlineStr">
        <is>
          <t>361 13 297 606</t>
        </is>
      </c>
      <c r="G3901" s="10" t="n"/>
      <c r="H3901" s="9" t="inlineStr">
        <is>
          <t>Cocktial Tomatoes</t>
        </is>
      </c>
      <c r="I3901" s="9" t="n">
        <v>2</v>
      </c>
      <c r="J3901" s="9" t="inlineStr">
        <is>
          <t>lb</t>
        </is>
      </c>
      <c r="K3901" s="9" t="inlineStr">
        <is>
          <t>5.29 E</t>
        </is>
      </c>
    </row>
    <row r="3902" ht="15" customFormat="1" customHeight="1" s="5">
      <c r="A3902" s="81" t="n">
        <v>45704</v>
      </c>
      <c r="B3902" s="82" t="n">
        <v>0.6611111111111111</v>
      </c>
      <c r="C3902" s="5" t="inlineStr">
        <is>
          <t>Costco</t>
        </is>
      </c>
      <c r="E3902" s="5" t="n">
        <v>1</v>
      </c>
      <c r="F3902" s="6" t="inlineStr">
        <is>
          <t>361 13 297 606</t>
        </is>
      </c>
      <c r="G3902" s="10" t="n"/>
      <c r="H3902" s="9" t="inlineStr">
        <is>
          <t>Rotisserie</t>
        </is>
      </c>
      <c r="I3902" s="9" t="n">
        <v>1</v>
      </c>
      <c r="J3902" s="9" t="inlineStr">
        <is>
          <t>cnt</t>
        </is>
      </c>
      <c r="K3902" s="9" t="inlineStr">
        <is>
          <t>4.99 A</t>
        </is>
      </c>
    </row>
    <row r="3903" ht="15" customFormat="1" customHeight="1" s="5">
      <c r="A3903" s="81" t="n">
        <v>45704</v>
      </c>
      <c r="B3903" s="82" t="n">
        <v>0.6611111111111111</v>
      </c>
      <c r="C3903" s="5" t="inlineStr">
        <is>
          <t>Costco</t>
        </is>
      </c>
      <c r="E3903" s="5" t="n">
        <v>1</v>
      </c>
      <c r="F3903" s="6" t="inlineStr">
        <is>
          <t>361 13 297 606</t>
        </is>
      </c>
      <c r="G3903" s="10" t="n"/>
      <c r="H3903" s="9" t="inlineStr">
        <is>
          <t>**DISCOUNT** Pom Juice</t>
        </is>
      </c>
      <c r="I3903" s="9" t="n">
        <v>64</v>
      </c>
      <c r="J3903" s="9" t="inlineStr">
        <is>
          <t>fl oz</t>
        </is>
      </c>
      <c r="K3903" s="9" t="inlineStr">
        <is>
          <t>3.0-E</t>
        </is>
      </c>
    </row>
    <row r="3904" ht="15" customFormat="1" customHeight="1" s="5">
      <c r="A3904" s="81" t="n">
        <v>45704</v>
      </c>
      <c r="B3904" s="82" t="n">
        <v>0.6611111111111111</v>
      </c>
      <c r="C3904" s="5" t="inlineStr">
        <is>
          <t>Costco</t>
        </is>
      </c>
      <c r="E3904" s="5" t="n">
        <v>1</v>
      </c>
      <c r="F3904" s="6" t="inlineStr">
        <is>
          <t>361 13 297 606</t>
        </is>
      </c>
      <c r="G3904" s="10" t="n"/>
      <c r="H3904" s="9" t="inlineStr">
        <is>
          <t>KS Salmon</t>
        </is>
      </c>
      <c r="I3904" s="9" t="n">
        <v>12</v>
      </c>
      <c r="J3904" s="9" t="inlineStr">
        <is>
          <t>oz</t>
        </is>
      </c>
      <c r="K3904" s="9" t="inlineStr">
        <is>
          <t>23.99 E</t>
        </is>
      </c>
    </row>
    <row r="3905" ht="15" customFormat="1" customHeight="1" s="5">
      <c r="A3905" s="81" t="n">
        <v>45704</v>
      </c>
      <c r="B3905" s="82" t="n">
        <v>0.6611111111111111</v>
      </c>
      <c r="C3905" s="5" t="inlineStr">
        <is>
          <t>Costco</t>
        </is>
      </c>
      <c r="E3905" s="5" t="n">
        <v>1</v>
      </c>
      <c r="F3905" s="6" t="inlineStr">
        <is>
          <t>361 13 297 606</t>
        </is>
      </c>
      <c r="G3905" s="10" t="n"/>
      <c r="H3905" s="9" t="inlineStr">
        <is>
          <t>**DISCOUNT** Dish Soap</t>
        </is>
      </c>
      <c r="I3905" s="9" t="n">
        <v>102</v>
      </c>
      <c r="J3905" s="9" t="inlineStr">
        <is>
          <t>fl oz</t>
        </is>
      </c>
      <c r="K3905" s="9" t="inlineStr">
        <is>
          <t>2.5-A</t>
        </is>
      </c>
    </row>
    <row r="3906" ht="15" customFormat="1" customHeight="1" s="5">
      <c r="A3906" s="81" t="n">
        <v>45704</v>
      </c>
      <c r="B3906" s="82" t="n">
        <v>0.6611111111111111</v>
      </c>
      <c r="C3906" s="5" t="inlineStr">
        <is>
          <t>Costco</t>
        </is>
      </c>
      <c r="E3906" s="5" t="n">
        <v>1</v>
      </c>
      <c r="F3906" s="6" t="inlineStr">
        <is>
          <t>361 13 297 606</t>
        </is>
      </c>
      <c r="G3906" s="10" t="inlineStr">
        <is>
          <t>E 3</t>
        </is>
      </c>
      <c r="H3906" s="9" t="inlineStr">
        <is>
          <t>Whole Milk, Homogenized</t>
        </is>
      </c>
      <c r="I3906" s="9" t="n">
        <v>1</v>
      </c>
      <c r="J3906" s="9" t="inlineStr">
        <is>
          <t>gal</t>
        </is>
      </c>
      <c r="K3906" s="9" t="inlineStr">
        <is>
          <t>2.12 E</t>
        </is>
      </c>
    </row>
    <row r="3907" ht="15" customFormat="1" customHeight="1" s="5">
      <c r="A3907" s="81" t="n">
        <v>45704</v>
      </c>
      <c r="B3907" s="82" t="n">
        <v>0.6611111111111111</v>
      </c>
      <c r="C3907" s="5" t="inlineStr">
        <is>
          <t>Costco</t>
        </is>
      </c>
      <c r="E3907" s="5" t="n">
        <v>1</v>
      </c>
      <c r="F3907" s="6" t="inlineStr">
        <is>
          <t>361 13 297 606</t>
        </is>
      </c>
      <c r="G3907" s="10" t="inlineStr">
        <is>
          <t>E 3</t>
        </is>
      </c>
      <c r="H3907" s="9" t="inlineStr">
        <is>
          <t>Whole Milk, Homogenized</t>
        </is>
      </c>
      <c r="I3907" s="9" t="n">
        <v>1</v>
      </c>
      <c r="J3907" s="9" t="inlineStr">
        <is>
          <t>gal</t>
        </is>
      </c>
      <c r="K3907" s="9" t="inlineStr">
        <is>
          <t>2.12 E</t>
        </is>
      </c>
    </row>
    <row r="3908" ht="15" customFormat="1" customHeight="1" s="5">
      <c r="A3908" s="81" t="n">
        <v>45704</v>
      </c>
      <c r="B3908" s="82" t="n">
        <v>0.6611111111111111</v>
      </c>
      <c r="C3908" s="5" t="inlineStr">
        <is>
          <t>Costco</t>
        </is>
      </c>
      <c r="E3908" s="5" t="n">
        <v>1</v>
      </c>
      <c r="F3908" s="6" t="inlineStr">
        <is>
          <t>361 13 297 606</t>
        </is>
      </c>
      <c r="G3908" s="10" t="n"/>
      <c r="H3908" s="9" t="inlineStr">
        <is>
          <t>BNLS/SL BRST chicken breasts Kirkland @$2.99/lb</t>
        </is>
      </c>
      <c r="I3908" s="9" t="n">
        <v>6.09</v>
      </c>
      <c r="J3908" s="9" t="inlineStr">
        <is>
          <t>lb</t>
        </is>
      </c>
      <c r="K3908" s="9" t="inlineStr">
        <is>
          <t>18.21 E</t>
        </is>
      </c>
    </row>
    <row r="3909" ht="15" customFormat="1" customHeight="1" s="5">
      <c r="A3909" s="81" t="n">
        <v>45704</v>
      </c>
      <c r="B3909" s="82" t="n">
        <v>0.6611111111111111</v>
      </c>
      <c r="C3909" s="5" t="inlineStr">
        <is>
          <t>Costco</t>
        </is>
      </c>
      <c r="E3909" s="5" t="n">
        <v>1</v>
      </c>
      <c r="F3909" s="6" t="inlineStr">
        <is>
          <t>361 13 297 606</t>
        </is>
      </c>
      <c r="G3909" s="10" t="n"/>
      <c r="H3909" s="9" t="inlineStr">
        <is>
          <t>Tofu KIMPBAP, 6-8.11 oz packs</t>
        </is>
      </c>
      <c r="I3909" s="9" t="n">
        <v>3.04</v>
      </c>
      <c r="J3909" s="9" t="inlineStr">
        <is>
          <t>lb</t>
        </is>
      </c>
      <c r="K3909" s="9" t="inlineStr">
        <is>
          <t>16.79 E</t>
        </is>
      </c>
    </row>
    <row r="3910" ht="15" customFormat="1" customHeight="1" s="5">
      <c r="A3910" s="81" t="n">
        <v>45704</v>
      </c>
      <c r="B3910" s="82" t="n">
        <v>0.6611111111111111</v>
      </c>
      <c r="C3910" s="5" t="inlineStr">
        <is>
          <t>Costco</t>
        </is>
      </c>
      <c r="E3910" s="5" t="n">
        <v>1</v>
      </c>
      <c r="F3910" s="6" t="inlineStr">
        <is>
          <t>361 13 297 606</t>
        </is>
      </c>
      <c r="G3910" s="10" t="n"/>
      <c r="H3910" s="9" t="inlineStr">
        <is>
          <t>Strawberry Thins Buchard Dark Chocolate Filled with real fruit</t>
        </is>
      </c>
      <c r="I3910" s="9" t="n">
        <v>21.2</v>
      </c>
      <c r="J3910" s="9" t="inlineStr">
        <is>
          <t>oz</t>
        </is>
      </c>
      <c r="K3910" s="9" t="inlineStr">
        <is>
          <t>14.49 A</t>
        </is>
      </c>
    </row>
    <row r="3911" ht="15" customFormat="1" customHeight="1" s="5">
      <c r="A3911" s="81" t="n">
        <v>45704</v>
      </c>
      <c r="B3911" s="82" t="n">
        <v>0.6611111111111111</v>
      </c>
      <c r="C3911" s="5" t="inlineStr">
        <is>
          <t>Costco</t>
        </is>
      </c>
      <c r="E3911" s="5" t="n">
        <v>1</v>
      </c>
      <c r="F3911" s="6" t="inlineStr">
        <is>
          <t>361 13 297 606</t>
        </is>
      </c>
      <c r="G3911" s="10" t="n"/>
      <c r="H3911" s="9" t="inlineStr">
        <is>
          <t>Organic Kombucha Variety 6-16 fl oz Health-Ade: passion fruit tangerine, berry lemonade, pink lady apple</t>
        </is>
      </c>
      <c r="I3911" s="9" t="n">
        <v>96</v>
      </c>
      <c r="J3911" s="9" t="inlineStr">
        <is>
          <t>fl oz</t>
        </is>
      </c>
      <c r="K3911" s="9" t="inlineStr">
        <is>
          <t>13.99 A</t>
        </is>
      </c>
    </row>
    <row r="3912" ht="15" customFormat="1" customHeight="1" s="5">
      <c r="A3912" s="81" t="n">
        <v>45704</v>
      </c>
      <c r="B3912" s="82" t="n">
        <v>0.6611111111111111</v>
      </c>
      <c r="C3912" s="5" t="inlineStr">
        <is>
          <t>Costco</t>
        </is>
      </c>
      <c r="E3912" s="5" t="n">
        <v>1</v>
      </c>
      <c r="F3912" s="6" t="inlineStr">
        <is>
          <t>361 13 297 606</t>
        </is>
      </c>
      <c r="G3912" s="10" t="n"/>
      <c r="H3912" s="9" t="inlineStr">
        <is>
          <t>KS Kombucha Ginger Lemonade: 8-16 fl oz bottles</t>
        </is>
      </c>
      <c r="I3912" s="9" t="n">
        <v>128</v>
      </c>
      <c r="J3912" s="9" t="inlineStr">
        <is>
          <t>fl oz</t>
        </is>
      </c>
      <c r="K3912" s="9" t="inlineStr">
        <is>
          <t>13.39 A</t>
        </is>
      </c>
    </row>
    <row r="3913" ht="15" customFormat="1" customHeight="1" s="5">
      <c r="A3913" s="81" t="n">
        <v>45704</v>
      </c>
      <c r="B3913" s="82" t="n">
        <v>0.6611111111111111</v>
      </c>
      <c r="C3913" s="5" t="inlineStr">
        <is>
          <t>Costco</t>
        </is>
      </c>
      <c r="E3913" s="5" t="n">
        <v>1</v>
      </c>
      <c r="F3913" s="6" t="inlineStr">
        <is>
          <t>361 13 297 606</t>
        </is>
      </c>
      <c r="G3913" s="10" t="n"/>
      <c r="H3913" s="9" t="inlineStr">
        <is>
          <t>Organic Raw Kombucha Guava Passionfruit 8-16 fl oz bottles</t>
        </is>
      </c>
      <c r="I3913" s="9" t="n">
        <v>128</v>
      </c>
      <c r="J3913" s="9" t="inlineStr">
        <is>
          <t>fl oz</t>
        </is>
      </c>
      <c r="K3913" s="9" t="inlineStr">
        <is>
          <t>12.99 E</t>
        </is>
      </c>
    </row>
    <row r="3914" ht="15" customFormat="1" customHeight="1" s="5">
      <c r="A3914" s="81" t="n">
        <v>45704</v>
      </c>
      <c r="B3914" s="82" t="n">
        <v>0.6611111111111111</v>
      </c>
      <c r="C3914" s="5" t="inlineStr">
        <is>
          <t>Costco</t>
        </is>
      </c>
      <c r="E3914" s="5" t="n">
        <v>1</v>
      </c>
      <c r="F3914" s="6" t="inlineStr">
        <is>
          <t>361 13 297 606</t>
        </is>
      </c>
      <c r="G3914" s="10" t="n"/>
      <c r="H3914" s="9" t="inlineStr">
        <is>
          <t>Tax A 7.0%</t>
        </is>
      </c>
      <c r="I3914" s="9" t="n">
        <v>6</v>
      </c>
      <c r="J3914" s="9" t="inlineStr">
        <is>
          <t>cnt</t>
        </is>
      </c>
      <c r="K3914" s="9" t="n">
        <v>4.22</v>
      </c>
    </row>
    <row r="3915" ht="15" customFormat="1" customHeight="1" s="5">
      <c r="A3915" s="81" t="n">
        <v>45704</v>
      </c>
      <c r="B3915" s="82" t="n">
        <v>0.6611111111111111</v>
      </c>
      <c r="C3915" s="5" t="inlineStr">
        <is>
          <t>Costco</t>
        </is>
      </c>
      <c r="E3915" s="5" t="n">
        <v>1</v>
      </c>
      <c r="F3915" s="6" t="inlineStr">
        <is>
          <t>361 13 297 606</t>
        </is>
      </c>
      <c r="G3915" s="10" t="n"/>
      <c r="H3915" s="9" t="inlineStr">
        <is>
          <t>Tax E 2.0% Tax Rate</t>
        </is>
      </c>
      <c r="I3915" s="9" t="n">
        <v>14</v>
      </c>
      <c r="J3915" s="9" t="inlineStr">
        <is>
          <t>cnt</t>
        </is>
      </c>
      <c r="K3915" s="9" t="n">
        <v>2.65</v>
      </c>
    </row>
    <row r="3916" ht="15" customFormat="1" customHeight="1" s="5">
      <c r="A3916" s="81" t="n">
        <v>45704</v>
      </c>
      <c r="B3916" s="82" t="n">
        <v>0.6611111111111111</v>
      </c>
      <c r="C3916" s="5" t="inlineStr">
        <is>
          <t>Costco</t>
        </is>
      </c>
      <c r="E3916" s="5" t="n">
        <v>1</v>
      </c>
      <c r="F3916" s="6" t="inlineStr">
        <is>
          <t>361 13 297 606</t>
        </is>
      </c>
      <c r="G3916" s="10" t="n"/>
      <c r="H3916" s="9" t="inlineStr">
        <is>
          <t>Joseph Wu Treat!</t>
        </is>
      </c>
      <c r="I3916" s="9" t="n">
        <v>20</v>
      </c>
      <c r="J3916" s="9" t="inlineStr">
        <is>
          <t>cnt</t>
        </is>
      </c>
      <c r="K3916" s="9" t="n">
        <v>-199.65</v>
      </c>
    </row>
    <row r="3917" ht="15" customFormat="1" customHeight="1" s="5">
      <c r="A3917" s="81" t="n">
        <v>45703</v>
      </c>
      <c r="B3917" s="82" t="n">
        <v>0.9270833333333334</v>
      </c>
      <c r="C3917" s="5" t="inlineStr">
        <is>
          <t>Cookout</t>
        </is>
      </c>
      <c r="E3917" s="5" t="n">
        <v>1</v>
      </c>
      <c r="F3917" s="6" t="inlineStr">
        <is>
          <t>#1317</t>
        </is>
      </c>
      <c r="G3917" s="10" t="n"/>
      <c r="H3917" s="9" t="inlineStr">
        <is>
          <t>JR Tray (steak style, fries, nuggets); JR Chicken Quesa Tray (cheese bites, cajun wrap); JR Corndog tray (cajun fries, ranch wrap, unsweet tea)</t>
        </is>
      </c>
      <c r="I3917" s="9" t="n">
        <v>3</v>
      </c>
      <c r="J3917" s="9" t="inlineStr">
        <is>
          <t>cnt</t>
        </is>
      </c>
      <c r="K3917" s="9" t="n">
        <v>20.36</v>
      </c>
    </row>
    <row r="3918" ht="15" customFormat="1" customHeight="1" s="5">
      <c r="A3918" s="81" t="n">
        <v>45703</v>
      </c>
      <c r="B3918" s="82" t="n">
        <v>0.9270833333333334</v>
      </c>
      <c r="C3918" s="5" t="inlineStr">
        <is>
          <t>Cookout</t>
        </is>
      </c>
      <c r="E3918" s="5" t="n">
        <v>1</v>
      </c>
      <c r="F3918" s="6" t="inlineStr">
        <is>
          <t>#1317</t>
        </is>
      </c>
      <c r="G3918" s="10" t="n"/>
      <c r="H3918" s="9" t="inlineStr">
        <is>
          <t>Tax</t>
        </is>
      </c>
      <c r="I3918" s="9" t="n">
        <v>3</v>
      </c>
      <c r="J3918" s="9" t="inlineStr">
        <is>
          <t>cnt</t>
        </is>
      </c>
      <c r="K3918" s="9" t="n">
        <v>1.43</v>
      </c>
    </row>
    <row r="3919" ht="15" customFormat="1" customHeight="1" s="5">
      <c r="A3919" s="81" t="n">
        <v>45703</v>
      </c>
      <c r="B3919" s="82" t="n">
        <v>0.2916666666666667</v>
      </c>
      <c r="C3919" s="5" t="inlineStr">
        <is>
          <t>USAA</t>
        </is>
      </c>
      <c r="D3919" s="5" t="n">
        <v>1</v>
      </c>
      <c r="F3919" s="6" t="inlineStr">
        <is>
          <t>24492….38272</t>
        </is>
      </c>
      <c r="G3919" s="10" t="n"/>
      <c r="H3919" s="9" t="inlineStr">
        <is>
          <t>Car insurance payment</t>
        </is>
      </c>
      <c r="I3919" s="9" t="n"/>
      <c r="J3919" s="9" t="n"/>
      <c r="K3919" s="9" t="n">
        <v>784.41</v>
      </c>
    </row>
    <row r="3920" ht="15" customFormat="1" customHeight="1" s="5">
      <c r="A3920" s="81" t="n">
        <v>45702</v>
      </c>
      <c r="B3920" s="82" t="n">
        <v>0.7481597222222223</v>
      </c>
      <c r="C3920" s="5" t="inlineStr">
        <is>
          <t>Walmart</t>
        </is>
      </c>
      <c r="E3920" s="5" t="n">
        <v>1</v>
      </c>
      <c r="F3920" s="6" t="inlineStr">
        <is>
          <t>9407 7261 5567 4608 0766</t>
        </is>
      </c>
      <c r="G3920" s="10" t="n"/>
      <c r="H3920" s="9" t="inlineStr">
        <is>
          <t>See receipt for details; did not get size of most items recorded; mostly a run for NC tioletries and ingredients for sausage kale soup</t>
        </is>
      </c>
      <c r="I3920" s="9" t="n"/>
      <c r="J3920" s="9" t="n"/>
      <c r="K3920" s="9" t="n">
        <v>74.34</v>
      </c>
    </row>
    <row r="3921" ht="15" customFormat="1" customHeight="1" s="5">
      <c r="A3921" s="81" t="n">
        <v>45702</v>
      </c>
      <c r="B3921" s="82" t="n">
        <v>0.2916666666666667</v>
      </c>
      <c r="C3921" s="5" t="inlineStr">
        <is>
          <t>US Tax Witholding</t>
        </is>
      </c>
      <c r="D3921" s="5" t="n">
        <v>1</v>
      </c>
      <c r="F3921" s="6" t="inlineStr">
        <is>
          <t>GM_Paycheck_050</t>
        </is>
      </c>
      <c r="G3921" s="7" t="n"/>
      <c r="H3921" s="9" t="inlineStr">
        <is>
          <t>EE Social Security Tax</t>
        </is>
      </c>
      <c r="I3921" s="9" t="n"/>
      <c r="J3921" s="9" t="n"/>
      <c r="K3921" s="9" t="n">
        <v>99.34</v>
      </c>
    </row>
    <row r="3922" ht="15" customFormat="1" customHeight="1" s="5">
      <c r="A3922" s="81" t="n">
        <v>45702</v>
      </c>
      <c r="B3922" s="82" t="n">
        <v>0.2916666666666667</v>
      </c>
      <c r="C3922" s="5" t="inlineStr">
        <is>
          <t>US Tax Witholding</t>
        </is>
      </c>
      <c r="D3922" s="5" t="n">
        <v>1</v>
      </c>
      <c r="F3922" s="6" t="inlineStr">
        <is>
          <t>GM_Paycheck_050</t>
        </is>
      </c>
      <c r="G3922" s="7" t="n"/>
      <c r="H3922" s="9" t="inlineStr">
        <is>
          <t>Tax Deductions: Federal Witholding Tax</t>
        </is>
      </c>
      <c r="I3922" s="9" t="n"/>
      <c r="J3922" s="9" t="n"/>
      <c r="K3922" s="9" t="n">
        <v>61.6</v>
      </c>
    </row>
    <row r="3923" ht="15" customFormat="1" customHeight="1" s="5">
      <c r="A3923" s="81" t="n">
        <v>45702</v>
      </c>
      <c r="B3923" s="82" t="n">
        <v>0.2916666666666667</v>
      </c>
      <c r="C3923" s="5" t="inlineStr">
        <is>
          <t>US Tax Witholding</t>
        </is>
      </c>
      <c r="D3923" s="5" t="n">
        <v>1</v>
      </c>
      <c r="F3923" s="6" t="inlineStr">
        <is>
          <t>GM_Paycheck_050</t>
        </is>
      </c>
      <c r="G3923" s="7" t="n"/>
      <c r="H3923" s="9" t="inlineStr">
        <is>
          <t>EE Medicare Tax</t>
        </is>
      </c>
      <c r="I3923" s="9" t="n"/>
      <c r="J3923" s="9" t="n"/>
      <c r="K3923" s="9" t="n">
        <v>23.24</v>
      </c>
    </row>
    <row r="3924" ht="15" customFormat="1" customHeight="1" s="5">
      <c r="A3924" s="81" t="n">
        <v>45702</v>
      </c>
      <c r="B3924" s="82" t="n">
        <v>0.2916666666666667</v>
      </c>
      <c r="C3924" s="5" t="inlineStr">
        <is>
          <t>NFCU</t>
        </is>
      </c>
      <c r="D3924" s="5" t="n">
        <v>1</v>
      </c>
      <c r="F3924" s="6" t="inlineStr">
        <is>
          <t>GM_Paycheck_050</t>
        </is>
      </c>
      <c r="G3924" s="17" t="inlineStr">
        <is>
          <t>245074974</t>
        </is>
      </c>
      <c r="H3924" s="9" t="inlineStr">
        <is>
          <t>NFCU Direct Deposit</t>
        </is>
      </c>
      <c r="I3924" s="9" t="n"/>
      <c r="J3924" s="9" t="n"/>
      <c r="K3924" s="9" t="n">
        <v>97.54000000000001</v>
      </c>
    </row>
    <row r="3925" ht="15" customFormat="1" customHeight="1" s="5">
      <c r="A3925" s="81" t="n">
        <v>45702</v>
      </c>
      <c r="B3925" s="82" t="n">
        <v>0.2916666666666667</v>
      </c>
      <c r="C3925" s="5" t="inlineStr">
        <is>
          <t>GM</t>
        </is>
      </c>
      <c r="D3925" s="5" t="n">
        <v>1</v>
      </c>
      <c r="F3925" s="6" t="inlineStr">
        <is>
          <t>GM_Paycheck_050</t>
        </is>
      </c>
      <c r="G3925" s="7" t="n"/>
      <c r="H3925" s="9" t="inlineStr">
        <is>
          <t>Deposit Offset [Feb 01 - Feb 15]</t>
        </is>
      </c>
      <c r="I3925" s="9" t="n"/>
      <c r="J3925" s="9" t="n"/>
      <c r="K3925" s="9" t="n">
        <v>-975.39</v>
      </c>
    </row>
    <row r="3926" ht="15" customFormat="1" customHeight="1" s="5">
      <c r="A3926" s="81" t="n">
        <v>45702</v>
      </c>
      <c r="B3926" s="82" t="n">
        <v>0.2916666666666667</v>
      </c>
      <c r="C3926" s="5" t="inlineStr">
        <is>
          <t>GM</t>
        </is>
      </c>
      <c r="D3926" s="5" t="n">
        <v>1</v>
      </c>
      <c r="F3926" s="6" t="inlineStr">
        <is>
          <t>GM_Paycheck_050</t>
        </is>
      </c>
      <c r="G3926" s="7" t="n"/>
      <c r="H3926" s="9" t="inlineStr">
        <is>
          <t>Gross Paycheck [Feb 01 - Feb 15]</t>
        </is>
      </c>
      <c r="I3926" s="9" t="n"/>
      <c r="J3926" s="9" t="n"/>
      <c r="K3926" s="9" t="n">
        <v>-1500.75</v>
      </c>
    </row>
    <row r="3927" ht="15" customFormat="1" customHeight="1" s="5">
      <c r="A3927" s="81" t="n">
        <v>45702</v>
      </c>
      <c r="B3927" s="82" t="n">
        <v>0.2916666666666667</v>
      </c>
      <c r="C3927" s="5" t="inlineStr">
        <is>
          <t>Fidelity</t>
        </is>
      </c>
      <c r="D3927" s="5" t="n">
        <v>1</v>
      </c>
      <c r="F3927" s="6" t="inlineStr">
        <is>
          <t>GM_Paycheck_050</t>
        </is>
      </c>
      <c r="G3927" s="7" t="n"/>
      <c r="H3927" s="9" t="inlineStr">
        <is>
          <t>RSP Roth Basic</t>
        </is>
      </c>
      <c r="I3927" s="9" t="n"/>
      <c r="J3927" s="9" t="n"/>
      <c r="K3927" s="9" t="n">
        <v>90.05</v>
      </c>
    </row>
    <row r="3928" ht="15" customFormat="1" customHeight="1" s="5">
      <c r="A3928" s="81" t="n">
        <v>45702</v>
      </c>
      <c r="B3928" s="82" t="n">
        <v>0.2916666666666667</v>
      </c>
      <c r="C3928" s="5" t="inlineStr">
        <is>
          <t>CO Tax Witholding</t>
        </is>
      </c>
      <c r="D3928" s="5" t="n">
        <v>1</v>
      </c>
      <c r="F3928" s="6" t="inlineStr">
        <is>
          <t>GM_Paycheck_050</t>
        </is>
      </c>
      <c r="G3928" s="7" t="n"/>
      <c r="H3928" s="9" t="inlineStr">
        <is>
          <t>Tax Deductions: Colorado Withholding Tax</t>
        </is>
      </c>
      <c r="I3928" s="9" t="n"/>
      <c r="J3928" s="9" t="n"/>
      <c r="K3928" s="9" t="n">
        <v>61</v>
      </c>
    </row>
    <row r="3929" ht="15" customFormat="1" customHeight="1" s="5">
      <c r="A3929" s="81" t="n">
        <v>45702</v>
      </c>
      <c r="B3929" s="82" t="n">
        <v>0.2916666666666667</v>
      </c>
      <c r="C3929" s="5" t="inlineStr">
        <is>
          <t>CO Tax Witholding</t>
        </is>
      </c>
      <c r="D3929" s="5" t="n">
        <v>1</v>
      </c>
      <c r="F3929" s="6" t="inlineStr">
        <is>
          <t>GM_Paycheck_050</t>
        </is>
      </c>
      <c r="G3929" s="7" t="n"/>
      <c r="H3929" s="9" t="inlineStr">
        <is>
          <t>EE PFML TAX STATE</t>
        </is>
      </c>
      <c r="I3929" s="9" t="n"/>
      <c r="J3929" s="9" t="n"/>
      <c r="K3929" s="9" t="n">
        <v>7.22</v>
      </c>
    </row>
    <row r="3930" ht="15" customFormat="1" customHeight="1" s="5">
      <c r="A3930" s="81" t="n">
        <v>45702</v>
      </c>
      <c r="B3930" s="82" t="n">
        <v>0.2916666666666667</v>
      </c>
      <c r="C3930" s="5" t="inlineStr">
        <is>
          <t>CIT</t>
        </is>
      </c>
      <c r="D3930" s="5" t="n">
        <v>1</v>
      </c>
      <c r="F3930" s="6" t="inlineStr">
        <is>
          <t>GM_Paycheck_050</t>
        </is>
      </c>
      <c r="G3930" s="17" t="inlineStr">
        <is>
          <t>124084834</t>
        </is>
      </c>
      <c r="H3930" s="9" t="inlineStr">
        <is>
          <t>CIT Direct Deposit</t>
        </is>
      </c>
      <c r="I3930" s="9" t="n"/>
      <c r="J3930" s="9" t="n"/>
      <c r="K3930" s="9" t="n">
        <v>877.85</v>
      </c>
    </row>
    <row r="3931" ht="15" customFormat="1" customHeight="1" s="5">
      <c r="A3931" s="81" t="n">
        <v>45702</v>
      </c>
      <c r="B3931" s="82" t="n">
        <v>0.2916666666666667</v>
      </c>
      <c r="C3931" s="5" t="inlineStr">
        <is>
          <t>BcBs</t>
        </is>
      </c>
      <c r="D3931" s="5" t="n">
        <v>1</v>
      </c>
      <c r="F3931" s="6" t="inlineStr">
        <is>
          <t>GM_Paycheck_050</t>
        </is>
      </c>
      <c r="G3931" s="7" t="n"/>
      <c r="H3931" s="9" t="inlineStr">
        <is>
          <t>Health Care (minus vision) — $130/mo</t>
        </is>
      </c>
      <c r="I3931" s="9" t="n"/>
      <c r="J3931" s="9" t="n"/>
      <c r="K3931" s="9" t="n">
        <v>57.51</v>
      </c>
    </row>
    <row r="3932" ht="15" customFormat="1" customHeight="1" s="5">
      <c r="A3932" s="81" t="n">
        <v>45702</v>
      </c>
      <c r="B3932" s="82" t="n">
        <v>0.2916666666666667</v>
      </c>
      <c r="C3932" s="5" t="inlineStr">
        <is>
          <t>BcBs</t>
        </is>
      </c>
      <c r="D3932" s="5" t="n">
        <v>1</v>
      </c>
      <c r="F3932" s="6" t="inlineStr">
        <is>
          <t>GM_Paycheck_050</t>
        </is>
      </c>
      <c r="G3932" s="7" t="n"/>
      <c r="H3932" s="9" t="inlineStr">
        <is>
          <t>Vision Insurance ($14.98/mo)</t>
        </is>
      </c>
      <c r="I3932" s="9" t="n"/>
      <c r="J3932" s="9" t="n"/>
      <c r="K3932" s="9" t="n">
        <v>14.98</v>
      </c>
    </row>
    <row r="3933" ht="15" customFormat="1" customHeight="1" s="5">
      <c r="A3933" s="81" t="n">
        <v>45702</v>
      </c>
      <c r="B3933" s="82" t="n">
        <v>0.2916666666666667</v>
      </c>
      <c r="C3933" s="5" t="inlineStr">
        <is>
          <t>Bank of America</t>
        </is>
      </c>
      <c r="D3933" s="5" t="n">
        <v>1</v>
      </c>
      <c r="F3933" s="6" t="inlineStr">
        <is>
          <t>GM_Paycheck_050</t>
        </is>
      </c>
      <c r="G3933" s="7" t="n"/>
      <c r="H3933" s="9" t="inlineStr">
        <is>
          <t>Health Savings ACCT</t>
        </is>
      </c>
      <c r="I3933" s="9" t="n"/>
      <c r="J3933" s="9" t="n"/>
      <c r="K3933" s="9" t="n">
        <v>110.42</v>
      </c>
    </row>
    <row r="3934" ht="15" customFormat="1" customHeight="1" s="5">
      <c r="A3934" s="81" t="n">
        <v>45700</v>
      </c>
      <c r="B3934" s="82" t="n">
        <v>0.6693171296296296</v>
      </c>
      <c r="C3934" s="5" t="inlineStr">
        <is>
          <t>Venmo</t>
        </is>
      </c>
      <c r="D3934" s="5" t="n">
        <v>1</v>
      </c>
      <c r="F3934" s="6" t="inlineStr">
        <is>
          <t>4266666053047220971</t>
        </is>
      </c>
      <c r="G3934" s="10" t="n"/>
      <c r="H3934" s="9" t="inlineStr">
        <is>
          <t>Cal Hong Kong Station lunch Venmo</t>
        </is>
      </c>
      <c r="I3934" s="9" t="n">
        <v>1</v>
      </c>
      <c r="J3934" s="9" t="inlineStr">
        <is>
          <t>cnt</t>
        </is>
      </c>
      <c r="K3934" s="9" t="n">
        <v>-26.67</v>
      </c>
    </row>
    <row r="3935" ht="15" customFormat="1" customHeight="1" s="5">
      <c r="A3935" s="81" t="n">
        <v>45700</v>
      </c>
      <c r="B3935" s="82" t="n">
        <v>0.5819444444444445</v>
      </c>
      <c r="C3935" s="5" t="inlineStr">
        <is>
          <t>Hong Kong Station</t>
        </is>
      </c>
      <c r="E3935" s="5" t="n">
        <v>1</v>
      </c>
      <c r="F3935" s="6" t="inlineStr">
        <is>
          <t>NA_lostPIcOfReceiptSadness</t>
        </is>
      </c>
      <c r="G3935" s="10" t="n"/>
      <c r="H3935" s="9" t="inlineStr">
        <is>
          <t>Eggplant  hot pot</t>
        </is>
      </c>
      <c r="I3935" s="9" t="n"/>
      <c r="J3935" s="9" t="n"/>
      <c r="K3935" s="9" t="n">
        <v>17.95</v>
      </c>
    </row>
    <row r="3936" ht="15" customFormat="1" customHeight="1" s="5">
      <c r="A3936" s="81" t="n">
        <v>45700</v>
      </c>
      <c r="B3936" s="82" t="n">
        <v>0.5819444444444445</v>
      </c>
      <c r="C3936" s="5" t="inlineStr">
        <is>
          <t>Hong Kong Station</t>
        </is>
      </c>
      <c r="E3936" s="5" t="n">
        <v>1</v>
      </c>
      <c r="F3936" s="6" t="inlineStr">
        <is>
          <t>NA_lostPIcOfReceiptSadness</t>
        </is>
      </c>
      <c r="G3936" s="10" t="n"/>
      <c r="H3936" s="9" t="inlineStr">
        <is>
          <t>Szechuan Chicken Wings</t>
        </is>
      </c>
      <c r="I3936" s="9" t="n"/>
      <c r="J3936" s="9" t="n"/>
      <c r="K3936" s="9" t="n">
        <v>17.95</v>
      </c>
    </row>
    <row r="3937" ht="15" customFormat="1" customHeight="1" s="5">
      <c r="A3937" s="81" t="n">
        <v>45700</v>
      </c>
      <c r="B3937" s="82" t="n">
        <v>0.5819444444444445</v>
      </c>
      <c r="C3937" s="5" t="inlineStr">
        <is>
          <t>Hong Kong Station</t>
        </is>
      </c>
      <c r="E3937" s="5" t="n">
        <v>1</v>
      </c>
      <c r="F3937" s="6" t="inlineStr">
        <is>
          <t>NA_lostPIcOfReceiptSadness</t>
        </is>
      </c>
      <c r="G3937" s="10" t="n"/>
      <c r="H3937" s="9" t="inlineStr">
        <is>
          <t>Salt and Pepper Tofu</t>
        </is>
      </c>
      <c r="I3937" s="9" t="n"/>
      <c r="J3937" s="9" t="n"/>
      <c r="K3937" s="9" t="n">
        <v>15.95</v>
      </c>
    </row>
    <row r="3938" ht="15" customFormat="1" customHeight="1" s="5">
      <c r="A3938" s="81" t="n">
        <v>45700</v>
      </c>
      <c r="B3938" s="82" t="n">
        <v>0.5819444444444445</v>
      </c>
      <c r="C3938" s="5" t="inlineStr">
        <is>
          <t>Hong Kong Station</t>
        </is>
      </c>
      <c r="E3938" s="5" t="n">
        <v>1</v>
      </c>
      <c r="F3938" s="6" t="inlineStr">
        <is>
          <t>NA_lostPIcOfReceiptSadness</t>
        </is>
      </c>
      <c r="G3938" s="10" t="n"/>
      <c r="H3938" s="9" t="inlineStr">
        <is>
          <t>Garlic Yu Choy</t>
        </is>
      </c>
      <c r="I3938" s="9" t="n"/>
      <c r="J3938" s="9" t="n"/>
      <c r="K3938" s="9" t="n">
        <v>14.95</v>
      </c>
    </row>
    <row r="3939" ht="15" customFormat="1" customHeight="1" s="5">
      <c r="A3939" s="81" t="n">
        <v>45700</v>
      </c>
      <c r="B3939" s="82" t="n">
        <v>0.5819444444444445</v>
      </c>
      <c r="C3939" s="5" t="inlineStr">
        <is>
          <t>Hong Kong Station</t>
        </is>
      </c>
      <c r="E3939" s="5" t="n">
        <v>1</v>
      </c>
      <c r="F3939" s="6" t="inlineStr">
        <is>
          <t>NA_lostPIcOfReceiptSadness</t>
        </is>
      </c>
      <c r="G3939" s="10" t="n"/>
      <c r="H3939" s="9" t="inlineStr">
        <is>
          <t>Tip (this is a guess based on $80 total and 8% guessed tax)</t>
        </is>
      </c>
      <c r="I3939" s="9" t="n"/>
      <c r="J3939" s="9" t="n"/>
      <c r="K3939" s="9" t="n">
        <v>7.86</v>
      </c>
    </row>
    <row r="3940" ht="15" customFormat="1" customHeight="1" s="5">
      <c r="A3940" s="81" t="n">
        <v>45700</v>
      </c>
      <c r="B3940" s="82" t="n">
        <v>0.5819444444444445</v>
      </c>
      <c r="C3940" s="5" t="inlineStr">
        <is>
          <t>Hong Kong Station</t>
        </is>
      </c>
      <c r="E3940" s="5" t="n">
        <v>1</v>
      </c>
      <c r="F3940" s="6" t="inlineStr">
        <is>
          <t>NA_lostPIcOfReceiptSadness</t>
        </is>
      </c>
      <c r="G3940" s="10" t="n"/>
      <c r="H3940" s="9" t="inlineStr">
        <is>
          <t>Tax (8%?)</t>
        </is>
      </c>
      <c r="I3940" s="9" t="n"/>
      <c r="J3940" s="9" t="n"/>
      <c r="K3940" s="9" t="n">
        <v>5.34</v>
      </c>
    </row>
    <row r="3941" ht="15" customFormat="1" customHeight="1" s="5">
      <c r="A3941" s="81" t="n">
        <v>45700</v>
      </c>
      <c r="B3941" s="82" t="n">
        <v>0.4770833333333334</v>
      </c>
      <c r="C3941" s="5" t="inlineStr">
        <is>
          <t>Great Clips</t>
        </is>
      </c>
      <c r="E3941" s="5" t="n">
        <v>1</v>
      </c>
      <c r="F3941" s="6" t="inlineStr">
        <is>
          <t>#429282 1330</t>
        </is>
      </c>
      <c r="G3941" s="10" t="n"/>
      <c r="H3941" s="9" t="inlineStr">
        <is>
          <t>Lydia Haircut</t>
        </is>
      </c>
      <c r="I3941" s="9" t="n"/>
      <c r="J3941" s="9" t="n"/>
      <c r="K3941" s="9" t="n">
        <v>24</v>
      </c>
    </row>
    <row r="3942" ht="15" customFormat="1" customHeight="1" s="5">
      <c r="A3942" s="81" t="n">
        <v>45700</v>
      </c>
      <c r="B3942" s="82" t="n">
        <v>0.4770833333333334</v>
      </c>
      <c r="C3942" s="5" t="inlineStr">
        <is>
          <t>Great Clips</t>
        </is>
      </c>
      <c r="E3942" s="5" t="n">
        <v>1</v>
      </c>
      <c r="F3942" s="6" t="inlineStr">
        <is>
          <t>#429282 1330</t>
        </is>
      </c>
      <c r="G3942" s="10" t="n"/>
      <c r="H3942" s="9" t="inlineStr">
        <is>
          <t>Tip</t>
        </is>
      </c>
      <c r="I3942" s="9" t="n"/>
      <c r="J3942" s="9" t="n"/>
      <c r="K3942" s="9" t="n">
        <v>6.01</v>
      </c>
    </row>
    <row r="3943" ht="15" customFormat="1" customHeight="1" s="5">
      <c r="A3943" s="81" t="n">
        <v>45700</v>
      </c>
      <c r="B3943" s="82" t="n">
        <v>0.4770833333333334</v>
      </c>
      <c r="C3943" s="5" t="inlineStr">
        <is>
          <t>Great Clips</t>
        </is>
      </c>
      <c r="E3943" s="5" t="n">
        <v>1</v>
      </c>
      <c r="F3943" s="6" t="inlineStr">
        <is>
          <t>#429282 1330</t>
        </is>
      </c>
      <c r="G3943" s="10" t="n"/>
      <c r="H3943" s="9" t="inlineStr">
        <is>
          <t>Newspaper GreatclipsCoupon</t>
        </is>
      </c>
      <c r="I3943" s="9" t="n"/>
      <c r="J3943" s="9" t="n"/>
      <c r="K3943" s="9" t="n">
        <v>-11.01</v>
      </c>
    </row>
    <row r="3944" ht="15" customFormat="1" customHeight="1" s="5">
      <c r="A3944" s="81" t="n">
        <v>45700</v>
      </c>
      <c r="B3944" s="82" t="n">
        <v>0.2916666666666667</v>
      </c>
      <c r="C3944" s="5" t="inlineStr">
        <is>
          <t>Bright Horizons</t>
        </is>
      </c>
      <c r="D3944" s="5" t="n">
        <v>1</v>
      </c>
      <c r="F3944" s="6" t="inlineStr">
        <is>
          <t>Na_deposited</t>
        </is>
      </c>
      <c r="G3944" s="10" t="n"/>
      <c r="H3944" s="9" t="inlineStr">
        <is>
          <t>Bright horizons…. Elli grad schoolbooks reimbursement?</t>
        </is>
      </c>
      <c r="I3944" s="9" t="n"/>
      <c r="J3944" s="9" t="n"/>
      <c r="K3944" s="9" t="n">
        <v>-54.74</v>
      </c>
    </row>
    <row r="3945" ht="15" customFormat="1" customHeight="1" s="5">
      <c r="A3945" s="81" t="n">
        <v>45699</v>
      </c>
      <c r="B3945" s="82" t="n">
        <v>0.5333333333333333</v>
      </c>
      <c r="C3945" s="5" t="inlineStr">
        <is>
          <t>Starbucks</t>
        </is>
      </c>
      <c r="E3945" s="5" t="n">
        <v>1</v>
      </c>
      <c r="F3945" s="6" t="inlineStr">
        <is>
          <t>2-5042-2820-0157-0142-4</t>
        </is>
      </c>
      <c r="G3945" s="10" t="n"/>
      <c r="H3945" s="9" t="inlineStr">
        <is>
          <t>Starbucks OatMilk Latte</t>
        </is>
      </c>
      <c r="I3945" s="9" t="n"/>
      <c r="J3945" s="9" t="n"/>
      <c r="K3945" s="9" t="n">
        <v>6.35</v>
      </c>
    </row>
    <row r="3946" ht="15" customFormat="1" customHeight="1" s="5">
      <c r="A3946" s="81" t="n">
        <v>45699</v>
      </c>
      <c r="B3946" s="82" t="n">
        <v>0.5333333333333333</v>
      </c>
      <c r="C3946" s="5" t="inlineStr">
        <is>
          <t>Starbucks</t>
        </is>
      </c>
      <c r="E3946" s="5" t="n">
        <v>1</v>
      </c>
      <c r="F3946" s="6" t="inlineStr">
        <is>
          <t>2-5042-2820-0157-0142-4</t>
        </is>
      </c>
      <c r="G3946" s="10" t="n"/>
      <c r="H3946" s="9" t="inlineStr">
        <is>
          <t>Starbucks Caramel Macchiato Half Sweet, Hot</t>
        </is>
      </c>
      <c r="I3946" s="9" t="n"/>
      <c r="J3946" s="9" t="n"/>
      <c r="K3946" s="9" t="n">
        <v>5.85</v>
      </c>
    </row>
    <row r="3947" ht="15" customFormat="1" customHeight="1" s="5">
      <c r="A3947" s="81" t="n">
        <v>45699</v>
      </c>
      <c r="B3947" s="82" t="n">
        <v>0.5333333333333333</v>
      </c>
      <c r="C3947" s="5" t="inlineStr">
        <is>
          <t>Starbucks</t>
        </is>
      </c>
      <c r="E3947" s="5" t="n">
        <v>1</v>
      </c>
      <c r="F3947" s="6" t="inlineStr">
        <is>
          <t>2-5042-2820-0157-0142-4</t>
        </is>
      </c>
      <c r="G3947" s="10" t="n"/>
      <c r="H3947" s="9" t="inlineStr">
        <is>
          <t>B CO Tax 7.000 on $12.20</t>
        </is>
      </c>
      <c r="I3947" s="9" t="n"/>
      <c r="J3947" s="9" t="n"/>
      <c r="K3947" s="9" t="n">
        <v>0.98</v>
      </c>
    </row>
    <row r="3948" ht="15" customFormat="1" customHeight="1" s="5">
      <c r="A3948" s="81" t="n">
        <v>45699</v>
      </c>
      <c r="B3948" s="82" t="n">
        <v>0.3629050925925926</v>
      </c>
      <c r="C3948" s="5" t="inlineStr">
        <is>
          <t>Venmo</t>
        </is>
      </c>
      <c r="D3948" s="5" t="n">
        <v>1</v>
      </c>
      <c r="F3948" s="6" t="inlineStr">
        <is>
          <t>4265779595578665904</t>
        </is>
      </c>
      <c r="G3948" s="10" t="n"/>
      <c r="H3948" s="9" t="inlineStr">
        <is>
          <t xml:space="preserve">Venmo to Cal for Costco </t>
        </is>
      </c>
      <c r="I3948" s="9" t="n">
        <v>3</v>
      </c>
      <c r="J3948" s="9" t="inlineStr">
        <is>
          <t>cnt</t>
        </is>
      </c>
      <c r="K3948" s="9" t="n">
        <v>23.27</v>
      </c>
    </row>
    <row r="3949" customFormat="1" s="5">
      <c r="A3949" s="81" t="n">
        <v>45699</v>
      </c>
      <c r="B3949" s="82" t="n">
        <v>0.2916666666666667</v>
      </c>
      <c r="C3949" s="5" t="inlineStr">
        <is>
          <t>CDLE FAMLI</t>
        </is>
      </c>
      <c r="D3949" s="5" t="n">
        <v>1</v>
      </c>
      <c r="F3949" s="6" t="inlineStr">
        <is>
          <t>NA_Fam2</t>
        </is>
      </c>
      <c r="G3949" s="10" t="n"/>
      <c r="H3949" s="9" t="inlineStr">
        <is>
          <t>RTX ELI Deposit CDLE FAMLI_2 Benefits</t>
        </is>
      </c>
      <c r="I3949" s="9" t="n"/>
      <c r="J3949" s="9" t="n"/>
      <c r="K3949" s="9" t="n">
        <v>-1324.21</v>
      </c>
    </row>
    <row r="3950" customFormat="1" s="5">
      <c r="A3950" s="81" t="n">
        <v>45699</v>
      </c>
      <c r="B3950" s="82" t="n">
        <v>0.1284722222222222</v>
      </c>
      <c r="C3950" s="5" t="inlineStr">
        <is>
          <t>Overland Missions</t>
        </is>
      </c>
      <c r="D3950" s="5" t="n">
        <v>1</v>
      </c>
      <c r="F3950" s="6" t="inlineStr">
        <is>
          <t>3538</t>
        </is>
      </c>
      <c r="G3950" s="10" t="n"/>
      <c r="H3950" s="9" t="inlineStr">
        <is>
          <t>Pelletier - Monthly missions donation</t>
        </is>
      </c>
      <c r="I3950" s="9" t="n">
        <v>1</v>
      </c>
      <c r="J3950" s="9" t="inlineStr">
        <is>
          <t>cnt</t>
        </is>
      </c>
      <c r="K3950" s="9" t="n">
        <v>250</v>
      </c>
    </row>
    <row r="3951" customFormat="1" s="5">
      <c r="A3951" s="81" t="n">
        <v>45698</v>
      </c>
      <c r="B3951" s="82" t="n">
        <v>0.7611111111111111</v>
      </c>
      <c r="C3951" s="5" t="inlineStr">
        <is>
          <t>Xero</t>
        </is>
      </c>
      <c r="D3951" s="5" t="n">
        <v>1</v>
      </c>
      <c r="F3951" s="16" t="n">
        <v>7618067</v>
      </c>
      <c r="G3951" s="10" t="n"/>
      <c r="H3951" s="9" t="inlineStr">
        <is>
          <t>Xero Prio shoe, men's size 10</t>
        </is>
      </c>
      <c r="J3951" s="9" t="n"/>
      <c r="K3951" s="9" t="n">
        <v>53.99</v>
      </c>
    </row>
    <row r="3952" customFormat="1" s="5">
      <c r="A3952" s="81" t="n">
        <v>45698</v>
      </c>
      <c r="B3952" s="82" t="n">
        <v>0.7611111111111111</v>
      </c>
      <c r="C3952" s="5" t="inlineStr">
        <is>
          <t>Xero</t>
        </is>
      </c>
      <c r="D3952" s="5" t="n">
        <v>1</v>
      </c>
      <c r="F3952" s="16" t="n">
        <v>7618067</v>
      </c>
      <c r="G3952" s="10" t="n"/>
      <c r="H3952" s="9" t="inlineStr">
        <is>
          <t>Shipping</t>
        </is>
      </c>
      <c r="I3952" s="9" t="n"/>
      <c r="J3952" s="9" t="n"/>
      <c r="K3952" s="9" t="n">
        <v>4.99</v>
      </c>
    </row>
    <row r="3953" customFormat="1" s="5">
      <c r="A3953" s="81" t="n">
        <v>45698</v>
      </c>
      <c r="B3953" s="82" t="n">
        <v>0.7611111111111111</v>
      </c>
      <c r="C3953" s="5" t="inlineStr">
        <is>
          <t>Xero</t>
        </is>
      </c>
      <c r="D3953" s="5" t="n">
        <v>1</v>
      </c>
      <c r="F3953" s="16" t="n">
        <v>7618067</v>
      </c>
      <c r="G3953" s="10" t="n"/>
      <c r="H3953" s="9" t="inlineStr">
        <is>
          <t>Tax</t>
        </is>
      </c>
      <c r="I3953" s="9" t="n"/>
      <c r="J3953" s="9" t="n"/>
      <c r="K3953" s="9" t="n">
        <v>4.12</v>
      </c>
    </row>
    <row r="3954" customFormat="1" s="5">
      <c r="A3954" s="81" t="n">
        <v>45698</v>
      </c>
      <c r="B3954" s="82" t="n">
        <v>0.7236111111111111</v>
      </c>
      <c r="C3954" s="5" t="inlineStr">
        <is>
          <t>J's Noodles and New Thai</t>
        </is>
      </c>
      <c r="E3954" s="5" t="n">
        <v>1</v>
      </c>
      <c r="F3954" s="6" t="inlineStr">
        <is>
          <t>JsNod09</t>
        </is>
      </c>
      <c r="G3954" s="10" t="n"/>
      <c r="H3954" s="9" t="inlineStr">
        <is>
          <t>Curry pad Thai chicken medium</t>
        </is>
      </c>
      <c r="I3954" s="9" t="n">
        <v>1</v>
      </c>
      <c r="J3954" s="9" t="inlineStr">
        <is>
          <t>cnt</t>
        </is>
      </c>
      <c r="K3954" s="9" t="n">
        <v>13.95</v>
      </c>
    </row>
    <row r="3955" customFormat="1" s="5">
      <c r="A3955" s="81" t="n">
        <v>45698</v>
      </c>
      <c r="B3955" s="82" t="n">
        <v>0.7236111111111111</v>
      </c>
      <c r="C3955" s="5" t="inlineStr">
        <is>
          <t>J's Noodles and New Thai</t>
        </is>
      </c>
      <c r="E3955" s="5" t="n">
        <v>1</v>
      </c>
      <c r="F3955" s="6" t="inlineStr">
        <is>
          <t>JsNod09</t>
        </is>
      </c>
      <c r="G3955" s="10" t="n"/>
      <c r="H3955" s="9" t="inlineStr">
        <is>
          <t xml:space="preserve">Pad prik pow ckn mild </t>
        </is>
      </c>
      <c r="I3955" s="9" t="n">
        <v>1</v>
      </c>
      <c r="J3955" s="9" t="inlineStr">
        <is>
          <t>cnt</t>
        </is>
      </c>
      <c r="K3955" s="9" t="n">
        <v>12.95</v>
      </c>
    </row>
    <row r="3956" customFormat="1" s="5">
      <c r="A3956" s="81" t="n">
        <v>45698</v>
      </c>
      <c r="B3956" s="82" t="n">
        <v>0.7236111111111111</v>
      </c>
      <c r="C3956" s="5" t="inlineStr">
        <is>
          <t>J's Noodles and New Thai</t>
        </is>
      </c>
      <c r="E3956" s="5" t="n">
        <v>1</v>
      </c>
      <c r="F3956" s="6" t="inlineStr">
        <is>
          <t>JsNod09</t>
        </is>
      </c>
      <c r="G3956" s="10" t="n"/>
      <c r="H3956" s="9" t="inlineStr">
        <is>
          <t>Tax</t>
        </is>
      </c>
      <c r="I3956" s="9" t="n">
        <v>3</v>
      </c>
      <c r="J3956" s="9" t="inlineStr">
        <is>
          <t>cnt</t>
        </is>
      </c>
      <c r="K3956" s="9" t="n">
        <v>2.85</v>
      </c>
    </row>
    <row r="3957" customFormat="1" s="5">
      <c r="A3957" s="81" t="n">
        <v>45698</v>
      </c>
      <c r="B3957" s="82" t="n">
        <v>0.7236111111111111</v>
      </c>
      <c r="C3957" s="5" t="inlineStr">
        <is>
          <t>J's Noodles and New Thai</t>
        </is>
      </c>
      <c r="E3957" s="5" t="n">
        <v>1</v>
      </c>
      <c r="F3957" s="6" t="inlineStr">
        <is>
          <t>JsNod09</t>
        </is>
      </c>
      <c r="G3957" s="10" t="n"/>
      <c r="H3957" s="9" t="inlineStr">
        <is>
          <t>Drunken Noodle Ckn Mild</t>
        </is>
      </c>
      <c r="I3957" s="9" t="n">
        <v>1</v>
      </c>
      <c r="J3957" s="9" t="inlineStr">
        <is>
          <t>cnt</t>
        </is>
      </c>
      <c r="K3957" s="9" t="n">
        <v>13.95</v>
      </c>
    </row>
    <row r="3958" customFormat="1" s="5">
      <c r="A3958" s="81" t="n">
        <v>45698</v>
      </c>
      <c r="B3958" s="82" t="n">
        <v>0.6930555555555555</v>
      </c>
      <c r="C3958" s="5" t="inlineStr">
        <is>
          <t>Costco</t>
        </is>
      </c>
      <c r="D3958" s="5" t="n">
        <v>1</v>
      </c>
      <c r="F3958" s="6" t="inlineStr">
        <is>
          <t>439 201 185 701</t>
        </is>
      </c>
      <c r="G3958" s="10" t="inlineStr">
        <is>
          <t>E 679131</t>
        </is>
      </c>
      <c r="H3958" s="9" t="inlineStr">
        <is>
          <t>KS Maple Syrup</t>
        </is>
      </c>
      <c r="I3958" s="9" t="n">
        <v>33.8</v>
      </c>
      <c r="J3958" s="9" t="inlineStr">
        <is>
          <t>oz</t>
        </is>
      </c>
      <c r="K3958" s="9" t="n">
        <v>12.89</v>
      </c>
    </row>
    <row r="3959" customFormat="1" s="5">
      <c r="A3959" s="81" t="n">
        <v>45698</v>
      </c>
      <c r="B3959" s="82" t="n">
        <v>0.6930555555555555</v>
      </c>
      <c r="C3959" s="5" t="inlineStr">
        <is>
          <t>Costco</t>
        </is>
      </c>
      <c r="D3959" s="5" t="n">
        <v>1</v>
      </c>
      <c r="F3959" s="6" t="inlineStr">
        <is>
          <t>439 201 185 701</t>
        </is>
      </c>
      <c r="G3959" s="10" t="inlineStr">
        <is>
          <t>E 30961</t>
        </is>
      </c>
      <c r="H3959" s="9" t="inlineStr">
        <is>
          <t>Asian pears</t>
        </is>
      </c>
      <c r="I3959" s="9" t="n">
        <v>10</v>
      </c>
      <c r="J3959" s="9" t="inlineStr">
        <is>
          <t>cnt</t>
        </is>
      </c>
      <c r="K3959" s="9" t="n">
        <v>9.890000000000001</v>
      </c>
    </row>
    <row r="3960" customFormat="1" s="5">
      <c r="A3960" s="81" t="n">
        <v>45698</v>
      </c>
      <c r="B3960" s="82" t="n">
        <v>0.6930555555555555</v>
      </c>
      <c r="C3960" s="5" t="inlineStr">
        <is>
          <t>Costco</t>
        </is>
      </c>
      <c r="D3960" s="5" t="n">
        <v>1</v>
      </c>
      <c r="F3960" s="6" t="inlineStr">
        <is>
          <t>439 201 185 701</t>
        </is>
      </c>
      <c r="G3960" s="10" t="inlineStr">
        <is>
          <t>E 1564153</t>
        </is>
      </c>
      <c r="H3960" s="9" t="inlineStr">
        <is>
          <t>Avocado Mayo</t>
        </is>
      </c>
      <c r="I3960" s="9" t="n">
        <v>32</v>
      </c>
      <c r="J3960" s="9" t="inlineStr">
        <is>
          <t>fl oz</t>
        </is>
      </c>
      <c r="K3960" s="9" t="n">
        <v>8.890000000000001</v>
      </c>
    </row>
    <row r="3961" customFormat="1" s="5">
      <c r="A3961" s="81" t="n">
        <v>45698</v>
      </c>
      <c r="B3961" s="82" t="n">
        <v>0.6930555555555555</v>
      </c>
      <c r="C3961" s="5" t="inlineStr">
        <is>
          <t>Costco</t>
        </is>
      </c>
      <c r="D3961" s="5" t="n">
        <v>1</v>
      </c>
      <c r="F3961" s="6" t="inlineStr">
        <is>
          <t>439 201 185 701</t>
        </is>
      </c>
      <c r="G3961" s="10" t="inlineStr">
        <is>
          <t>E 30669</t>
        </is>
      </c>
      <c r="H3961" s="9" t="inlineStr">
        <is>
          <t>Bananas</t>
        </is>
      </c>
      <c r="I3961" s="9" t="n">
        <v>3</v>
      </c>
      <c r="J3961" s="9" t="inlineStr">
        <is>
          <t>lb</t>
        </is>
      </c>
      <c r="K3961" s="9" t="n">
        <v>1.49</v>
      </c>
    </row>
    <row r="3962" customFormat="1" s="5">
      <c r="A3962" s="81" t="n">
        <v>45698</v>
      </c>
      <c r="B3962" s="82" t="n">
        <v>0.6930555555555555</v>
      </c>
      <c r="C3962" s="5" t="inlineStr">
        <is>
          <t>Costco</t>
        </is>
      </c>
      <c r="D3962" s="5" t="n">
        <v>1</v>
      </c>
      <c r="F3962" s="6" t="inlineStr">
        <is>
          <t>439 201 185 701</t>
        </is>
      </c>
      <c r="G3962" s="10" t="inlineStr">
        <is>
          <t>E 30961</t>
        </is>
      </c>
      <c r="H3962" s="9" t="inlineStr">
        <is>
          <t>Calum Best purchases Asian pears</t>
        </is>
      </c>
      <c r="I3962" s="9" t="n">
        <v>10</v>
      </c>
      <c r="J3962" s="9" t="inlineStr">
        <is>
          <t>cnt</t>
        </is>
      </c>
      <c r="K3962" s="9" t="n">
        <v>-33.16</v>
      </c>
    </row>
    <row r="3963" customFormat="1" s="5">
      <c r="A3963" s="81" t="n">
        <v>45697</v>
      </c>
      <c r="B3963" s="82" t="n">
        <v>0.9263888888888889</v>
      </c>
      <c r="C3963" s="5" t="inlineStr">
        <is>
          <t>Amazon</t>
        </is>
      </c>
      <c r="D3963" s="5" t="n">
        <v>1</v>
      </c>
      <c r="F3963" s="6" t="inlineStr">
        <is>
          <t>111-2785817-1780235</t>
        </is>
      </c>
      <c r="G3963" s="10" t="n"/>
      <c r="H3963" s="9" t="inlineStr">
        <is>
          <t>Stroller Travel Bag with Wheels Compatible with UPPAbaby Vista, Vista V2, Cruz V2, Rolling Gate Check Stroller Storage Bag for Airplane, with Dual Handles, Luggage Tag, Reflective Strip, Black</t>
        </is>
      </c>
      <c r="I3963" s="9" t="n">
        <v>1</v>
      </c>
      <c r="J3963" s="9" t="inlineStr">
        <is>
          <t>cnt</t>
        </is>
      </c>
      <c r="K3963" s="9" t="n">
        <v>97.98999999999999</v>
      </c>
    </row>
    <row r="3964" customFormat="1" s="5">
      <c r="A3964" s="81" t="n">
        <v>45697</v>
      </c>
      <c r="B3964" s="82" t="n">
        <v>0.9263888888888889</v>
      </c>
      <c r="C3964" s="5" t="inlineStr">
        <is>
          <t>Amazon</t>
        </is>
      </c>
      <c r="D3964" s="5" t="n">
        <v>1</v>
      </c>
      <c r="F3964" s="6" t="inlineStr">
        <is>
          <t>111-2785817-1780235</t>
        </is>
      </c>
      <c r="G3964" s="10" t="n"/>
      <c r="H3964" s="9" t="inlineStr">
        <is>
          <t>Tax</t>
        </is>
      </c>
      <c r="I3964" s="9" t="n">
        <v>1</v>
      </c>
      <c r="J3964" s="9" t="inlineStr">
        <is>
          <t>cnt</t>
        </is>
      </c>
      <c r="K3964" s="9" t="n">
        <v>7.06</v>
      </c>
    </row>
    <row r="3965" customFormat="1" s="5">
      <c r="A3965" s="81" t="n">
        <v>45697</v>
      </c>
      <c r="B3965" s="82" t="n">
        <v>0.9263888888888889</v>
      </c>
      <c r="C3965" s="5" t="inlineStr">
        <is>
          <t>Amazon</t>
        </is>
      </c>
      <c r="D3965" s="5" t="n">
        <v>1</v>
      </c>
      <c r="F3965" s="6" t="inlineStr">
        <is>
          <t>111-2785817-1780235</t>
        </is>
      </c>
      <c r="G3965" s="10" t="n"/>
      <c r="H3965" s="9" t="inlineStr">
        <is>
          <t>**DISCOUNT** Coupon Travel Bag</t>
        </is>
      </c>
      <c r="I3965" s="9" t="n">
        <v>1</v>
      </c>
      <c r="J3965" s="9" t="inlineStr">
        <is>
          <t>cnt</t>
        </is>
      </c>
      <c r="K3965" s="9" t="n">
        <v>-9.800000000000001</v>
      </c>
    </row>
    <row r="3966" customFormat="1" s="5">
      <c r="A3966" s="81" t="n">
        <v>45696</v>
      </c>
      <c r="B3966" s="82" t="n">
        <v>0.4506944444444445</v>
      </c>
      <c r="C3966" s="5" t="inlineStr">
        <is>
          <t>PayPal</t>
        </is>
      </c>
      <c r="D3966" s="5" t="n">
        <v>1</v>
      </c>
      <c r="F3966" s="6" t="n"/>
      <c r="G3966" s="10" t="n"/>
      <c r="H3966" s="9" t="inlineStr">
        <is>
          <t>Cashback for Eli's paypal card</t>
        </is>
      </c>
      <c r="I3966" s="9" t="n">
        <v>1</v>
      </c>
      <c r="J3966" s="9" t="inlineStr">
        <is>
          <t>cnt</t>
        </is>
      </c>
      <c r="K3966" s="9" t="n">
        <v>-14.77</v>
      </c>
    </row>
    <row r="3967" customFormat="1" s="5">
      <c r="A3967" s="81" t="n">
        <v>45694</v>
      </c>
      <c r="B3967" s="82" t="n">
        <v>0.6701388888888888</v>
      </c>
      <c r="C3967" s="5" t="inlineStr">
        <is>
          <t>Safeway</t>
        </is>
      </c>
      <c r="E3967" s="5" t="n">
        <v>1</v>
      </c>
      <c r="F3967" s="6" t="inlineStr">
        <is>
          <t>2612 95 67 8895</t>
        </is>
      </c>
      <c r="G3967" s="15" t="inlineStr">
        <is>
          <t>4550</t>
        </is>
      </c>
      <c r="H3967" s="9" t="inlineStr">
        <is>
          <t>Burussels Sprouts @$2.99/lb</t>
        </is>
      </c>
      <c r="I3967" s="9" t="n">
        <v>1.17</v>
      </c>
      <c r="J3967" s="9" t="inlineStr">
        <is>
          <t>lb</t>
        </is>
      </c>
      <c r="K3967" s="9" t="n">
        <v>3.5</v>
      </c>
    </row>
    <row r="3968" customFormat="1" s="5">
      <c r="A3968" s="81" t="n">
        <v>45694</v>
      </c>
      <c r="B3968" s="82" t="n">
        <v>0.6701388888888888</v>
      </c>
      <c r="C3968" s="5" t="inlineStr">
        <is>
          <t>Safeway</t>
        </is>
      </c>
      <c r="E3968" s="5" t="n">
        <v>1</v>
      </c>
      <c r="F3968" s="6" t="inlineStr">
        <is>
          <t>2612 95 67 8895</t>
        </is>
      </c>
      <c r="G3968" s="15" t="inlineStr">
        <is>
          <t>4663</t>
        </is>
      </c>
      <c r="H3968" s="9" t="inlineStr">
        <is>
          <t>Onions While @$1.00/lb</t>
        </is>
      </c>
      <c r="I3968" s="9" t="n">
        <v>0.72</v>
      </c>
      <c r="J3968" s="9" t="inlineStr">
        <is>
          <t>lb</t>
        </is>
      </c>
      <c r="K3968" s="9" t="n">
        <v>1.07</v>
      </c>
    </row>
    <row r="3969" customFormat="1" s="5">
      <c r="A3969" s="81" t="n">
        <v>45694</v>
      </c>
      <c r="B3969" s="82" t="n">
        <v>0.6701388888888888</v>
      </c>
      <c r="C3969" s="5" t="inlineStr">
        <is>
          <t>Safeway</t>
        </is>
      </c>
      <c r="E3969" s="5" t="n">
        <v>1</v>
      </c>
      <c r="F3969" s="6" t="inlineStr">
        <is>
          <t>2612 95 67 8895</t>
        </is>
      </c>
      <c r="G3969" s="10" t="n"/>
      <c r="H3969" s="9" t="inlineStr">
        <is>
          <t>Tax</t>
        </is>
      </c>
      <c r="I3969" s="9" t="n">
        <v>2</v>
      </c>
      <c r="J3969" s="9" t="inlineStr">
        <is>
          <t>cnt</t>
        </is>
      </c>
      <c r="K3969" s="9" t="n">
        <v>0</v>
      </c>
    </row>
    <row r="3970" customFormat="1" s="5">
      <c r="A3970" s="81" t="n">
        <v>45694</v>
      </c>
      <c r="B3970" s="82" t="n">
        <v>0.6701388888888888</v>
      </c>
      <c r="C3970" s="5" t="inlineStr">
        <is>
          <t>Safeway</t>
        </is>
      </c>
      <c r="E3970" s="5" t="n">
        <v>1</v>
      </c>
      <c r="F3970" s="6" t="inlineStr">
        <is>
          <t>2612 95 67 8895</t>
        </is>
      </c>
      <c r="G3970" s="10" t="n"/>
      <c r="H3970" s="9" t="inlineStr">
        <is>
          <t>**DISCOUNT** Member Savings</t>
        </is>
      </c>
      <c r="I3970" s="9" t="n">
        <v>0.72</v>
      </c>
      <c r="J3970" s="9" t="inlineStr">
        <is>
          <t>lb</t>
        </is>
      </c>
      <c r="K3970" s="9" t="n">
        <v>-0.35</v>
      </c>
    </row>
    <row r="3971" customFormat="1" s="5">
      <c r="A3971" s="81" t="n">
        <v>45694</v>
      </c>
      <c r="B3971" s="82" t="n">
        <v>0.2916666666666667</v>
      </c>
      <c r="C3971" s="5" t="inlineStr">
        <is>
          <t>Discover</t>
        </is>
      </c>
      <c r="D3971" s="5" t="n">
        <v>1</v>
      </c>
      <c r="F3971" s="6" t="inlineStr">
        <is>
          <t>AutoStatementCredit01</t>
        </is>
      </c>
      <c r="G3971" s="10" t="n"/>
      <c r="H3971" s="9" t="inlineStr">
        <is>
          <t>Awards and Rebate Credits Eli Account</t>
        </is>
      </c>
      <c r="I3971" s="9" t="n">
        <v>1</v>
      </c>
      <c r="J3971" s="9" t="inlineStr">
        <is>
          <t>cnt</t>
        </is>
      </c>
      <c r="K3971" s="9" t="n">
        <v>-1.7</v>
      </c>
    </row>
    <row r="3972" ht="16.25" customFormat="1" customHeight="1" s="5">
      <c r="A3972" s="81" t="n">
        <v>45694</v>
      </c>
      <c r="B3972" s="82" t="n">
        <v>0.2916666666666667</v>
      </c>
      <c r="C3972" s="5" t="inlineStr">
        <is>
          <t>US Tax Witholding</t>
        </is>
      </c>
      <c r="D3972" s="5" t="n">
        <v>1</v>
      </c>
      <c r="F3972" s="6" t="inlineStr">
        <is>
          <t>RTX_Paycheck_25_30</t>
        </is>
      </c>
      <c r="G3972" s="17" t="n"/>
      <c r="H3972" s="9" t="inlineStr">
        <is>
          <t>Social Security Tax</t>
        </is>
      </c>
      <c r="I3972" s="9" t="n"/>
      <c r="J3972" s="9" t="n"/>
      <c r="K3972" s="9" t="n">
        <v>237.26</v>
      </c>
    </row>
    <row r="3973" ht="15" customFormat="1" customHeight="1" s="5">
      <c r="A3973" s="81" t="n">
        <v>45694</v>
      </c>
      <c r="B3973" s="82" t="n">
        <v>0.2916666666666667</v>
      </c>
      <c r="C3973" s="5" t="inlineStr">
        <is>
          <t>US Tax Witholding</t>
        </is>
      </c>
      <c r="D3973" s="5" t="n">
        <v>1</v>
      </c>
      <c r="F3973" s="6" t="inlineStr">
        <is>
          <t>RTX_Paycheck_25_30</t>
        </is>
      </c>
      <c r="G3973" s="17" t="n"/>
      <c r="H3973" s="9" t="inlineStr">
        <is>
          <t>Medicare Tax</t>
        </is>
      </c>
      <c r="I3973" s="9" t="n"/>
      <c r="J3973" s="9" t="n"/>
      <c r="K3973" s="9" t="n">
        <v>55.49</v>
      </c>
    </row>
    <row r="3974" ht="15" customFormat="1" customHeight="1" s="5">
      <c r="A3974" s="81" t="n">
        <v>45694</v>
      </c>
      <c r="B3974" s="82" t="n">
        <v>0.2916666666666667</v>
      </c>
      <c r="C3974" s="5" t="inlineStr">
        <is>
          <t>Raytheon</t>
        </is>
      </c>
      <c r="D3974" s="5" t="n">
        <v>1</v>
      </c>
      <c r="F3974" s="6" t="inlineStr">
        <is>
          <t>RTX_Paycheck_25_30</t>
        </is>
      </c>
      <c r="G3974" s="17" t="inlineStr">
        <is>
          <t>XXXX3523</t>
        </is>
      </c>
      <c r="H3974" s="9" t="inlineStr">
        <is>
          <t>Net Paycheck [Jan 18 - Jan 31]</t>
        </is>
      </c>
      <c r="I3974" s="9" t="n"/>
      <c r="J3974" s="9" t="n"/>
      <c r="K3974" s="9" t="n">
        <v>3123.38</v>
      </c>
    </row>
    <row r="3975" ht="15" customFormat="1" customHeight="1" s="5">
      <c r="A3975" s="81" t="n">
        <v>45694</v>
      </c>
      <c r="B3975" s="82" t="n">
        <v>0.2916666666666667</v>
      </c>
      <c r="C3975" s="5" t="inlineStr">
        <is>
          <t>Raytheon</t>
        </is>
      </c>
      <c r="D3975" s="5" t="n">
        <v>1</v>
      </c>
      <c r="F3975" s="6" t="inlineStr">
        <is>
          <t>RTX_Paycheck_25_30</t>
        </is>
      </c>
      <c r="G3975" s="17" t="n"/>
      <c r="H3975" s="9" t="inlineStr">
        <is>
          <t>RTX Direct Deposit -- cancelling offset</t>
        </is>
      </c>
      <c r="I3975" s="9" t="n"/>
      <c r="J3975" s="9" t="n"/>
      <c r="K3975" s="9" t="n">
        <v>-3123.39</v>
      </c>
    </row>
    <row r="3976" ht="15" customFormat="1" customHeight="1" s="5">
      <c r="A3976" s="81" t="n">
        <v>45694</v>
      </c>
      <c r="B3976" s="82" t="n">
        <v>0.2916666666666667</v>
      </c>
      <c r="C3976" s="5" t="inlineStr">
        <is>
          <t>Raytheon</t>
        </is>
      </c>
      <c r="D3976" s="5" t="n">
        <v>1</v>
      </c>
      <c r="F3976" s="6" t="inlineStr">
        <is>
          <t>RTX_Paycheck_25_30</t>
        </is>
      </c>
      <c r="G3976" s="17" t="n"/>
      <c r="H3976" s="9" t="inlineStr">
        <is>
          <t>Gross Paycheck [Jan 18 - Jan 31]</t>
        </is>
      </c>
      <c r="I3976" s="9" t="n"/>
      <c r="J3976" s="9" t="n"/>
      <c r="K3976" s="9" t="n">
        <v>-4040.94</v>
      </c>
    </row>
    <row r="3977" ht="15" customFormat="1" customHeight="1" s="5">
      <c r="A3977" s="81" t="n">
        <v>45694</v>
      </c>
      <c r="B3977" s="82" t="n">
        <v>0.2916666666666667</v>
      </c>
      <c r="C3977" s="5" t="inlineStr">
        <is>
          <t>Parents Gift Account</t>
        </is>
      </c>
      <c r="D3977" s="5" t="n">
        <v>1</v>
      </c>
      <c r="F3977" s="6" t="inlineStr">
        <is>
          <t>RTX_Paycheck_25_30</t>
        </is>
      </c>
      <c r="G3977" s="17" t="inlineStr">
        <is>
          <t>XXXX7146</t>
        </is>
      </c>
      <c r="H3977" s="9" t="inlineStr">
        <is>
          <t>Contribution to Parents Gift Account</t>
        </is>
      </c>
      <c r="I3977" s="9" t="n"/>
      <c r="J3977" s="9" t="n"/>
      <c r="K3977" s="9" t="n">
        <v>0.01</v>
      </c>
    </row>
    <row r="3978" ht="15" customFormat="1" customHeight="1" s="5">
      <c r="A3978" s="81" t="n">
        <v>45694</v>
      </c>
      <c r="B3978" s="82" t="n">
        <v>0.2916666666666667</v>
      </c>
      <c r="C3978" s="5" t="inlineStr">
        <is>
          <t>HSA</t>
        </is>
      </c>
      <c r="D3978" s="5" t="n">
        <v>1</v>
      </c>
      <c r="F3978" s="6" t="inlineStr">
        <is>
          <t>RTX_Paycheck_25_30</t>
        </is>
      </c>
      <c r="G3978" s="17" t="n"/>
      <c r="H3978" s="9" t="inlineStr">
        <is>
          <t>Personal contribution to HSA</t>
        </is>
      </c>
      <c r="I3978" s="9" t="n"/>
      <c r="J3978" s="9" t="n"/>
      <c r="K3978" s="9" t="n">
        <v>142.31</v>
      </c>
    </row>
    <row r="3979" ht="15" customFormat="1" customHeight="1" s="5">
      <c r="A3979" s="81" t="n">
        <v>45694</v>
      </c>
      <c r="B3979" s="82" t="n">
        <v>0.2916666666666667</v>
      </c>
      <c r="C3979" s="5" t="inlineStr">
        <is>
          <t>Delta Dental</t>
        </is>
      </c>
      <c r="D3979" s="5" t="n">
        <v>1</v>
      </c>
      <c r="F3979" s="6" t="inlineStr">
        <is>
          <t>RTX_Paycheck_25_30</t>
        </is>
      </c>
      <c r="G3979" s="10" t="n"/>
      <c r="H3979" s="9" t="inlineStr">
        <is>
          <t>Dental Insurance</t>
        </is>
      </c>
      <c r="I3979" s="9" t="n"/>
      <c r="J3979" s="9" t="n"/>
      <c r="K3979" s="9" t="n">
        <v>4.26</v>
      </c>
    </row>
    <row r="3980" ht="15" customFormat="1" customHeight="1" s="5">
      <c r="A3980" s="81" t="n">
        <v>45694</v>
      </c>
      <c r="B3980" s="82" t="n">
        <v>0.2916666666666667</v>
      </c>
      <c r="C3980" s="5" t="inlineStr">
        <is>
          <t>CO Tax Witholding</t>
        </is>
      </c>
      <c r="D3980" s="5" t="n">
        <v>1</v>
      </c>
      <c r="F3980" s="6" t="inlineStr">
        <is>
          <t>RTX_Paycheck_25_30</t>
        </is>
      </c>
      <c r="G3980" s="17" t="n"/>
      <c r="H3980" s="9" t="inlineStr">
        <is>
          <t>CO State Income Tax</t>
        </is>
      </c>
      <c r="I3980" s="9" t="n"/>
      <c r="J3980" s="9" t="n"/>
      <c r="K3980" s="9" t="n">
        <v>142.49</v>
      </c>
    </row>
    <row r="3981" ht="15" customFormat="1" customHeight="1" s="5">
      <c r="A3981" s="81" t="n">
        <v>45694</v>
      </c>
      <c r="B3981" s="82" t="n">
        <v>0.2916666666666667</v>
      </c>
      <c r="C3981" s="5" t="inlineStr">
        <is>
          <t>CO Tax Witholding</t>
        </is>
      </c>
      <c r="D3981" s="5" t="n">
        <v>1</v>
      </c>
      <c r="F3981" s="6" t="inlineStr">
        <is>
          <t>RTX_Paycheck_25_30</t>
        </is>
      </c>
      <c r="G3981" s="17" t="n"/>
      <c r="H3981" s="9" t="inlineStr">
        <is>
          <t>CO Paid Family Leave Insurance</t>
        </is>
      </c>
      <c r="I3981" s="9" t="n"/>
      <c r="J3981" s="9" t="n"/>
      <c r="K3981" s="9" t="n">
        <v>18.18</v>
      </c>
    </row>
    <row r="3982" ht="15" customFormat="1" customHeight="1" s="5">
      <c r="A3982" s="81" t="n">
        <v>45694</v>
      </c>
      <c r="B3982" s="82" t="n">
        <v>0.2916666666666667</v>
      </c>
      <c r="C3982" s="5" t="inlineStr">
        <is>
          <t>CO Tax Witholding</t>
        </is>
      </c>
      <c r="D3982" s="5" t="n">
        <v>1</v>
      </c>
      <c r="F3982" s="6" t="inlineStr">
        <is>
          <t>RTX_Paycheck_25_30</t>
        </is>
      </c>
      <c r="G3982" s="7" t="n"/>
      <c r="H3982" s="9" t="inlineStr">
        <is>
          <t xml:space="preserve">"POSTAX INS MRSH" ? </t>
        </is>
      </c>
      <c r="I3982" s="9" t="n"/>
      <c r="J3982" s="9" t="n"/>
      <c r="K3982" s="9" t="n">
        <v>5.9</v>
      </c>
    </row>
    <row r="3983" ht="15" customFormat="1" customHeight="1" s="5">
      <c r="A3983" s="81" t="n">
        <v>45694</v>
      </c>
      <c r="B3983" s="82" t="n">
        <v>0.2916666666666667</v>
      </c>
      <c r="C3983" s="5" t="inlineStr">
        <is>
          <t>Anthem BcBs</t>
        </is>
      </c>
      <c r="D3983" s="5" t="n">
        <v>1</v>
      </c>
      <c r="F3983" s="6" t="inlineStr">
        <is>
          <t>RTX_Paycheck_25_30</t>
        </is>
      </c>
      <c r="G3983" s="17" t="n"/>
      <c r="H3983" s="9" t="inlineStr">
        <is>
          <t>Medical Insurance</t>
        </is>
      </c>
      <c r="I3983" s="9" t="n"/>
      <c r="J3983" s="9" t="n"/>
      <c r="K3983" s="9" t="n">
        <v>69.2</v>
      </c>
    </row>
    <row r="3984" ht="15" customFormat="1" customHeight="1" s="5">
      <c r="A3984" s="81" t="n">
        <v>45694</v>
      </c>
      <c r="B3984" s="82" t="n">
        <v>0.2916666666666667</v>
      </c>
      <c r="C3984" s="5" t="inlineStr">
        <is>
          <t>Alight</t>
        </is>
      </c>
      <c r="D3984" s="5" t="n">
        <v>1</v>
      </c>
      <c r="F3984" s="6" t="inlineStr">
        <is>
          <t>RTX_Paycheck_25_30</t>
        </is>
      </c>
      <c r="G3984" s="17" t="n"/>
      <c r="H3984" s="9" t="inlineStr">
        <is>
          <t>401k Basic -- Traditional</t>
        </is>
      </c>
      <c r="I3984" s="9" t="n"/>
      <c r="J3984" s="9" t="n"/>
      <c r="K3984" s="9" t="n">
        <v>202.05</v>
      </c>
    </row>
    <row r="3985" ht="15" customFormat="1" customHeight="1" s="5">
      <c r="A3985" s="81" t="n">
        <v>45694</v>
      </c>
      <c r="B3985" s="82" t="n">
        <v>0.2916666666666667</v>
      </c>
      <c r="C3985" s="5" t="inlineStr">
        <is>
          <t>Alight</t>
        </is>
      </c>
      <c r="D3985" s="5" t="n">
        <v>1</v>
      </c>
      <c r="F3985" s="6" t="inlineStr">
        <is>
          <t>RTX_Paycheck_25_30</t>
        </is>
      </c>
      <c r="G3985" s="17" t="n"/>
      <c r="H3985" s="9" t="inlineStr">
        <is>
          <t>Roth 401k Basic</t>
        </is>
      </c>
      <c r="I3985" s="9" t="n"/>
      <c r="J3985" s="9" t="n"/>
      <c r="K3985" s="9" t="n">
        <v>40.41</v>
      </c>
    </row>
    <row r="3986" ht="15" customFormat="1" customHeight="1" s="5">
      <c r="A3986" s="81" t="n">
        <v>45693</v>
      </c>
      <c r="B3986" s="82" t="n">
        <v>0.4236111111111111</v>
      </c>
      <c r="C3986" s="5" t="inlineStr">
        <is>
          <t>Costco</t>
        </is>
      </c>
      <c r="E3986" s="5" t="n">
        <v>1</v>
      </c>
      <c r="F3986" s="6" t="inlineStr">
        <is>
          <t>439 209 3 709</t>
        </is>
      </c>
      <c r="G3986" s="10" t="n"/>
      <c r="H3986" s="9" t="inlineStr">
        <is>
          <t>KS Cage Free Grade AA Large 24 Eggs</t>
        </is>
      </c>
      <c r="I3986" s="9" t="n">
        <v>3</v>
      </c>
      <c r="J3986" s="9" t="inlineStr">
        <is>
          <t>lb</t>
        </is>
      </c>
      <c r="K3986" s="9" t="n">
        <v>8.19</v>
      </c>
    </row>
    <row r="3987" ht="15" customFormat="1" customHeight="1" s="5">
      <c r="A3987" s="81" t="n">
        <v>45693</v>
      </c>
      <c r="B3987" s="82" t="n">
        <v>0.4236111111111111</v>
      </c>
      <c r="C3987" s="5" t="inlineStr">
        <is>
          <t>Costco</t>
        </is>
      </c>
      <c r="E3987" s="5" t="n">
        <v>1</v>
      </c>
      <c r="F3987" s="6" t="inlineStr">
        <is>
          <t>439 209 3 709</t>
        </is>
      </c>
      <c r="G3987" s="10" t="n"/>
      <c r="H3987" s="9" t="inlineStr">
        <is>
          <t>KS Cage Free Grade AA Large 24 Eggs</t>
        </is>
      </c>
      <c r="I3987" s="9" t="n">
        <v>3</v>
      </c>
      <c r="J3987" s="9" t="inlineStr">
        <is>
          <t>lb</t>
        </is>
      </c>
      <c r="K3987" s="9" t="n">
        <v>8.19</v>
      </c>
    </row>
    <row r="3988" ht="15" customFormat="1" customHeight="1" s="5">
      <c r="A3988" s="81" t="n">
        <v>45693</v>
      </c>
      <c r="B3988" s="82" t="n">
        <v>0.4236111111111111</v>
      </c>
      <c r="C3988" s="5" t="inlineStr">
        <is>
          <t>Costco</t>
        </is>
      </c>
      <c r="E3988" s="5" t="n">
        <v>1</v>
      </c>
      <c r="F3988" s="6" t="inlineStr">
        <is>
          <t>439 209 3 709</t>
        </is>
      </c>
      <c r="G3988" s="10" t="n"/>
      <c r="H3988" s="9" t="inlineStr">
        <is>
          <t>Tax</t>
        </is>
      </c>
      <c r="I3988" s="9" t="n">
        <v>6</v>
      </c>
      <c r="J3988" s="9" t="inlineStr">
        <is>
          <t>lb</t>
        </is>
      </c>
      <c r="K3988" s="9" t="n">
        <v>0</v>
      </c>
    </row>
    <row r="3989" ht="15" customFormat="1" customHeight="1" s="5">
      <c r="A3989" s="81" t="n">
        <v>45693</v>
      </c>
      <c r="B3989" s="82" t="n">
        <v>0.4194444444444445</v>
      </c>
      <c r="C3989" s="5" t="inlineStr">
        <is>
          <t>Coffee Story</t>
        </is>
      </c>
      <c r="E3989" s="5" t="n">
        <v>1</v>
      </c>
      <c r="F3989" s="16" t="inlineStr">
        <is>
          <t>NA_noReceipt</t>
        </is>
      </c>
      <c r="G3989" s="7" t="n"/>
      <c r="H3989" s="9" t="inlineStr">
        <is>
          <t>Flat White with coconut milk</t>
        </is>
      </c>
      <c r="I3989" s="9" t="n"/>
      <c r="J3989" s="9" t="n"/>
      <c r="K3989" s="9" t="n">
        <v>3.6</v>
      </c>
    </row>
    <row r="3990" ht="15" customFormat="1" customHeight="1" s="5">
      <c r="A3990" s="81" t="n">
        <v>45693</v>
      </c>
      <c r="B3990" s="82" t="n">
        <v>0.4194444444444445</v>
      </c>
      <c r="C3990" s="5" t="inlineStr">
        <is>
          <t>Coffee Story</t>
        </is>
      </c>
      <c r="E3990" s="5" t="n">
        <v>1</v>
      </c>
      <c r="F3990" s="16" t="inlineStr">
        <is>
          <t>NA_noReceipt</t>
        </is>
      </c>
      <c r="G3990" s="7" t="n"/>
      <c r="H3990" s="9" t="inlineStr">
        <is>
          <t>Tip</t>
        </is>
      </c>
      <c r="I3990" s="9" t="n"/>
      <c r="J3990" s="9" t="n"/>
      <c r="K3990" s="9" t="n">
        <v>0.6899999999999999</v>
      </c>
    </row>
    <row r="3991" ht="15" customFormat="1" customHeight="1" s="5">
      <c r="A3991" s="81" t="n">
        <v>45693</v>
      </c>
      <c r="B3991" s="82" t="n">
        <v>0.4194444444444445</v>
      </c>
      <c r="C3991" s="5" t="inlineStr">
        <is>
          <t>Coffee Story</t>
        </is>
      </c>
      <c r="E3991" s="5" t="n">
        <v>1</v>
      </c>
      <c r="F3991" s="16" t="inlineStr">
        <is>
          <t>NA_noReceipt</t>
        </is>
      </c>
      <c r="G3991" s="7" t="n"/>
      <c r="H3991" s="9" t="inlineStr">
        <is>
          <t>Tax</t>
        </is>
      </c>
      <c r="I3991" s="9" t="n"/>
      <c r="J3991" s="9" t="n"/>
      <c r="K3991" s="9" t="n">
        <v>0.36</v>
      </c>
    </row>
    <row r="3992" ht="15" customFormat="1" customHeight="1" s="5">
      <c r="A3992" s="81" t="n">
        <v>45693</v>
      </c>
      <c r="B3992" s="82" t="n">
        <v>0.1770833333333333</v>
      </c>
      <c r="C3992" s="1" t="inlineStr">
        <is>
          <t>Xfinity</t>
        </is>
      </c>
      <c r="D3992" s="5" t="n">
        <v>1</v>
      </c>
      <c r="F3992" s="16" t="n"/>
      <c r="G3992" s="7" t="n"/>
      <c r="H3992" s="9" t="inlineStr">
        <is>
          <t>February internet bill</t>
        </is>
      </c>
      <c r="I3992" s="9" t="n">
        <v>1</v>
      </c>
      <c r="J3992" s="9" t="n"/>
      <c r="K3992" s="9" t="n">
        <v>60</v>
      </c>
    </row>
    <row r="3993" ht="15" customFormat="1" customHeight="1" s="5">
      <c r="A3993" s="81" t="n">
        <v>45692</v>
      </c>
      <c r="B3993" s="82" t="n">
        <v>0.2916666666666667</v>
      </c>
      <c r="C3993" s="5" t="inlineStr">
        <is>
          <t>CDLE FAMLI</t>
        </is>
      </c>
      <c r="D3993" s="5" t="n">
        <v>1</v>
      </c>
      <c r="F3993" s="6" t="inlineStr">
        <is>
          <t>NA_Fam1</t>
        </is>
      </c>
      <c r="G3993" s="10" t="n"/>
      <c r="H3993" s="9" t="inlineStr">
        <is>
          <t>RTX ELI Deposit CDLE FAMLI_2 Benefits</t>
        </is>
      </c>
      <c r="I3993" s="9" t="n"/>
      <c r="J3993" s="9" t="n"/>
      <c r="K3993" s="9" t="n">
        <v>-794.53</v>
      </c>
    </row>
    <row r="3994" ht="15" customFormat="1" customHeight="1" s="5">
      <c r="A3994" s="81" t="n">
        <v>45691</v>
      </c>
      <c r="B3994" s="82" t="n">
        <v>0.6965277777777777</v>
      </c>
      <c r="C3994" s="5" t="inlineStr">
        <is>
          <t>Costco</t>
        </is>
      </c>
      <c r="E3994" s="5" t="n">
        <v>1</v>
      </c>
      <c r="F3994" s="6" t="inlineStr">
        <is>
          <t>60380</t>
        </is>
      </c>
      <c r="G3994" s="15" t="inlineStr">
        <is>
          <t>7</t>
        </is>
      </c>
      <c r="H3994" s="9" t="inlineStr">
        <is>
          <t>Subaru Gas 12.972 Gallons @ $2.689/gal</t>
        </is>
      </c>
      <c r="I3994" s="9" t="n">
        <v>12.972</v>
      </c>
      <c r="J3994" s="9" t="inlineStr">
        <is>
          <t>gal</t>
        </is>
      </c>
      <c r="K3994" s="9" t="n">
        <v>34.88</v>
      </c>
    </row>
    <row r="3995" ht="15" customFormat="1" customHeight="1" s="5">
      <c r="A3995" s="81" t="n">
        <v>45691</v>
      </c>
      <c r="B3995" s="82" t="n">
        <v>0.6888888888888889</v>
      </c>
      <c r="C3995" s="5" t="inlineStr">
        <is>
          <t>Costco</t>
        </is>
      </c>
      <c r="E3995" s="5" t="n">
        <v>1</v>
      </c>
      <c r="F3995" s="6" t="inlineStr">
        <is>
          <t>439 208 160 708</t>
        </is>
      </c>
      <c r="G3995" s="10" t="inlineStr">
        <is>
          <t>E 0000345756</t>
        </is>
      </c>
      <c r="H3995" s="9" t="inlineStr">
        <is>
          <t>**DISCOUNT** Madarin Orange Chicken</t>
        </is>
      </c>
      <c r="I3995" s="9" t="n">
        <v>66</v>
      </c>
      <c r="J3995" s="9" t="inlineStr">
        <is>
          <t>oz</t>
        </is>
      </c>
      <c r="K3995" s="9" t="inlineStr">
        <is>
          <t>4.7-</t>
        </is>
      </c>
    </row>
    <row r="3996" ht="15" customFormat="1" customHeight="1" s="5">
      <c r="A3996" s="81" t="n">
        <v>45691</v>
      </c>
      <c r="B3996" s="82" t="n">
        <v>0.6888888888888889</v>
      </c>
      <c r="C3996" s="5" t="inlineStr">
        <is>
          <t>Costco</t>
        </is>
      </c>
      <c r="E3996" s="5" t="n">
        <v>1</v>
      </c>
      <c r="F3996" s="6" t="inlineStr">
        <is>
          <t>439 208 160 708</t>
        </is>
      </c>
      <c r="G3996" s="10" t="inlineStr">
        <is>
          <t>E 0000347853</t>
        </is>
      </c>
      <c r="H3996" s="9" t="inlineStr">
        <is>
          <t>**DISCOUNT** RX BARS</t>
        </is>
      </c>
      <c r="I3996" s="9" t="n">
        <v>25.6</v>
      </c>
      <c r="J3996" s="9" t="inlineStr">
        <is>
          <t>oz</t>
        </is>
      </c>
      <c r="K3996" s="9" t="inlineStr">
        <is>
          <t>4.5-</t>
        </is>
      </c>
    </row>
    <row r="3997" ht="15" customFormat="1" customHeight="1" s="5">
      <c r="A3997" s="81" t="n">
        <v>45691</v>
      </c>
      <c r="B3997" s="82" t="n">
        <v>0.6888888888888889</v>
      </c>
      <c r="C3997" s="5" t="inlineStr">
        <is>
          <t>Costco</t>
        </is>
      </c>
      <c r="E3997" s="5" t="n">
        <v>1</v>
      </c>
      <c r="F3997" s="6" t="inlineStr">
        <is>
          <t>439 208 160 708</t>
        </is>
      </c>
      <c r="G3997" s="10" t="inlineStr">
        <is>
          <t>E 0000345761</t>
        </is>
      </c>
      <c r="H3997" s="9" t="inlineStr">
        <is>
          <t>**DISCOUNT** Pumpkin Seed + Flax Granola</t>
        </is>
      </c>
      <c r="I3997" s="9" t="n">
        <v>35.3</v>
      </c>
      <c r="J3997" s="9" t="inlineStr">
        <is>
          <t>oz</t>
        </is>
      </c>
      <c r="K3997" s="9" t="inlineStr">
        <is>
          <t>3.4-</t>
        </is>
      </c>
    </row>
    <row r="3998" ht="15" customFormat="1" customHeight="1" s="5">
      <c r="A3998" s="81" t="n">
        <v>45691</v>
      </c>
      <c r="B3998" s="82" t="n">
        <v>0.6888888888888889</v>
      </c>
      <c r="C3998" s="5" t="inlineStr">
        <is>
          <t>Costco</t>
        </is>
      </c>
      <c r="E3998" s="5" t="n">
        <v>1</v>
      </c>
      <c r="F3998" s="6" t="inlineStr">
        <is>
          <t>439 208 160 708</t>
        </is>
      </c>
      <c r="G3998" s="10" t="inlineStr">
        <is>
          <t>E 1761722</t>
        </is>
      </c>
      <c r="H3998" s="9" t="inlineStr">
        <is>
          <t>RX BAR: 7 choco sea salt, 7 blueberry, 12G Protein</t>
        </is>
      </c>
      <c r="I3998" s="9" t="n">
        <v>25.6</v>
      </c>
      <c r="J3998" s="9" t="inlineStr">
        <is>
          <t>oz</t>
        </is>
      </c>
      <c r="K3998" s="9" t="n">
        <v>17.99</v>
      </c>
    </row>
    <row r="3999" ht="15" customFormat="1" customHeight="1" s="5">
      <c r="A3999" s="81" t="n">
        <v>45691</v>
      </c>
      <c r="B3999" s="82" t="n">
        <v>0.6888888888888889</v>
      </c>
      <c r="C3999" s="5" t="inlineStr">
        <is>
          <t>Costco</t>
        </is>
      </c>
      <c r="E3999" s="5" t="n">
        <v>1</v>
      </c>
      <c r="F3999" s="6" t="inlineStr">
        <is>
          <t>439 208 160 708</t>
        </is>
      </c>
      <c r="G3999" s="10" t="inlineStr">
        <is>
          <t>E 1761722</t>
        </is>
      </c>
      <c r="H3999" s="9" t="inlineStr">
        <is>
          <t>RX BAR: 7 choco sea salt, 7 blueberry, 12G Protein</t>
        </is>
      </c>
      <c r="I3999" s="9" t="n">
        <v>25.6</v>
      </c>
      <c r="J3999" s="9" t="inlineStr">
        <is>
          <t>oz</t>
        </is>
      </c>
      <c r="K3999" s="9" t="n">
        <v>17.99</v>
      </c>
    </row>
    <row r="4000" ht="15" customFormat="1" customHeight="1" s="5">
      <c r="A4000" s="81" t="n">
        <v>45691</v>
      </c>
      <c r="B4000" s="82" t="n">
        <v>0.6888888888888889</v>
      </c>
      <c r="C4000" s="5" t="inlineStr">
        <is>
          <t>Costco</t>
        </is>
      </c>
      <c r="E4000" s="5" t="n">
        <v>1</v>
      </c>
      <c r="F4000" s="6" t="inlineStr">
        <is>
          <t>439 208 160 708</t>
        </is>
      </c>
      <c r="G4000" s="10" t="inlineStr">
        <is>
          <t>E 1143205</t>
        </is>
      </c>
      <c r="H4000" s="9" t="inlineStr">
        <is>
          <t>Crazy Cuizine Mandarin Orange Chicken</t>
        </is>
      </c>
      <c r="I4000" s="9" t="n">
        <v>66</v>
      </c>
      <c r="J4000" s="9" t="inlineStr">
        <is>
          <t>oz</t>
        </is>
      </c>
      <c r="K4000" s="9" t="n">
        <v>15.99</v>
      </c>
    </row>
    <row r="4001" ht="15" customFormat="1" customHeight="1" s="5">
      <c r="A4001" s="81" t="n">
        <v>45691</v>
      </c>
      <c r="B4001" s="82" t="n">
        <v>0.6888888888888889</v>
      </c>
      <c r="C4001" s="5" t="inlineStr">
        <is>
          <t>Costco</t>
        </is>
      </c>
      <c r="E4001" s="5" t="n">
        <v>1</v>
      </c>
      <c r="F4001" s="6" t="inlineStr">
        <is>
          <t>439 208 160 708</t>
        </is>
      </c>
      <c r="G4001" s="10" t="inlineStr">
        <is>
          <t>E 1116045</t>
        </is>
      </c>
      <c r="H4001" s="9" t="inlineStr">
        <is>
          <t>Royal Asia Prawn HaCAo</t>
        </is>
      </c>
      <c r="I4001" s="9" t="n">
        <v>2.45</v>
      </c>
      <c r="J4001" s="9" t="inlineStr">
        <is>
          <t>lb</t>
        </is>
      </c>
      <c r="K4001" s="9" t="n">
        <v>13.99</v>
      </c>
    </row>
    <row r="4002" ht="15" customFormat="1" customHeight="1" s="5">
      <c r="A4002" s="81" t="n">
        <v>45691</v>
      </c>
      <c r="B4002" s="82" t="n">
        <v>0.6888888888888889</v>
      </c>
      <c r="C4002" s="5" t="inlineStr">
        <is>
          <t>Costco</t>
        </is>
      </c>
      <c r="E4002" s="5" t="n">
        <v>1</v>
      </c>
      <c r="F4002" s="6" t="inlineStr">
        <is>
          <t>439 208 160 708</t>
        </is>
      </c>
      <c r="G4002" s="10" t="inlineStr">
        <is>
          <t>E 9440</t>
        </is>
      </c>
      <c r="H4002" s="9" t="inlineStr">
        <is>
          <t>Thai Kitchen Organic Coconut Milk Unsweetened, 6 cans</t>
        </is>
      </c>
      <c r="I4002" s="9" t="n">
        <v>81.95999999999999</v>
      </c>
      <c r="J4002" s="9" t="inlineStr">
        <is>
          <t>fl oz</t>
        </is>
      </c>
      <c r="K4002" s="9" t="n">
        <v>10.99</v>
      </c>
    </row>
    <row r="4003" ht="15" customFormat="1" customHeight="1" s="5">
      <c r="A4003" s="81" t="n">
        <v>45691</v>
      </c>
      <c r="B4003" s="82" t="n">
        <v>0.6888888888888889</v>
      </c>
      <c r="C4003" s="5" t="inlineStr">
        <is>
          <t>Costco</t>
        </is>
      </c>
      <c r="E4003" s="5" t="n">
        <v>1</v>
      </c>
      <c r="F4003" s="6" t="inlineStr">
        <is>
          <t>439 208 160 708</t>
        </is>
      </c>
      <c r="G4003" s="10" t="inlineStr">
        <is>
          <t>E 1337852</t>
        </is>
      </c>
      <c r="H4003" s="9" t="inlineStr">
        <is>
          <t>Shrimp 31-40 shrimp per pound</t>
        </is>
      </c>
      <c r="I4003" s="9" t="n">
        <v>2</v>
      </c>
      <c r="J4003" s="9" t="inlineStr">
        <is>
          <t>lb</t>
        </is>
      </c>
      <c r="K4003" s="9" t="n">
        <v>10.89</v>
      </c>
    </row>
    <row r="4004" ht="15" customFormat="1" customHeight="1" s="5">
      <c r="A4004" s="81" t="n">
        <v>45691</v>
      </c>
      <c r="B4004" s="82" t="n">
        <v>0.6888888888888889</v>
      </c>
      <c r="C4004" s="5" t="inlineStr">
        <is>
          <t>Costco</t>
        </is>
      </c>
      <c r="E4004" s="5" t="n">
        <v>1</v>
      </c>
      <c r="F4004" s="6" t="inlineStr">
        <is>
          <t>439 208 160 708</t>
        </is>
      </c>
      <c r="G4004" s="10" t="inlineStr">
        <is>
          <t>E 1180452</t>
        </is>
      </c>
      <c r="H4004" s="9" t="inlineStr">
        <is>
          <t>Frozen Organic Mango Chunks</t>
        </is>
      </c>
      <c r="I4004" s="9" t="n">
        <v>5</v>
      </c>
      <c r="J4004" s="9" t="inlineStr">
        <is>
          <t>lb</t>
        </is>
      </c>
      <c r="K4004" s="9" t="n">
        <v>9.99</v>
      </c>
    </row>
    <row r="4005" ht="15" customFormat="1" customHeight="1" s="5">
      <c r="A4005" s="81" t="n">
        <v>45691</v>
      </c>
      <c r="B4005" s="82" t="n">
        <v>0.6888888888888889</v>
      </c>
      <c r="C4005" s="5" t="inlineStr">
        <is>
          <t>Costco</t>
        </is>
      </c>
      <c r="E4005" s="5" t="n">
        <v>1</v>
      </c>
      <c r="F4005" s="6" t="inlineStr">
        <is>
          <t>439 208 160 708</t>
        </is>
      </c>
      <c r="G4005" s="10" t="inlineStr">
        <is>
          <t>E 1513389</t>
        </is>
      </c>
      <c r="H4005" s="9" t="inlineStr">
        <is>
          <t>la Brioche Sliced 2 x 15.87 oz loaves</t>
        </is>
      </c>
      <c r="I4005" s="9" t="n">
        <v>31.75</v>
      </c>
      <c r="J4005" s="9" t="inlineStr">
        <is>
          <t>oz</t>
        </is>
      </c>
      <c r="K4005" s="9" t="n">
        <v>9.99</v>
      </c>
    </row>
    <row r="4006" ht="15" customFormat="1" customHeight="1" s="5">
      <c r="A4006" s="81" t="n">
        <v>45691</v>
      </c>
      <c r="B4006" s="82" t="n">
        <v>0.6888888888888889</v>
      </c>
      <c r="C4006" s="5" t="inlineStr">
        <is>
          <t>Costco</t>
        </is>
      </c>
      <c r="E4006" s="5" t="n">
        <v>1</v>
      </c>
      <c r="F4006" s="6" t="inlineStr">
        <is>
          <t>439 208 160 708</t>
        </is>
      </c>
      <c r="G4006" s="10" t="inlineStr">
        <is>
          <t>E 993467</t>
        </is>
      </c>
      <c r="H4006" s="9" t="inlineStr">
        <is>
          <t>Pumpkin Seed + Flax Granola</t>
        </is>
      </c>
      <c r="I4006" s="9" t="n">
        <v>35.3</v>
      </c>
      <c r="J4006" s="9" t="inlineStr">
        <is>
          <t>oz</t>
        </is>
      </c>
      <c r="K4006" s="9" t="n">
        <v>8.99</v>
      </c>
    </row>
    <row r="4007" ht="15" customFormat="1" customHeight="1" s="5">
      <c r="A4007" s="81" t="n">
        <v>45691</v>
      </c>
      <c r="B4007" s="82" t="n">
        <v>0.6888888888888889</v>
      </c>
      <c r="C4007" s="5" t="inlineStr">
        <is>
          <t>Costco</t>
        </is>
      </c>
      <c r="E4007" s="5" t="n">
        <v>1</v>
      </c>
      <c r="F4007" s="6" t="inlineStr">
        <is>
          <t>439 208 160 708</t>
        </is>
      </c>
      <c r="G4007" s="10" t="inlineStr">
        <is>
          <t>E 1335089</t>
        </is>
      </c>
      <c r="H4007" s="9" t="inlineStr">
        <is>
          <t>Bagels: 12 plain</t>
        </is>
      </c>
      <c r="I4007" s="9" t="n">
        <v>3</v>
      </c>
      <c r="J4007" s="9" t="inlineStr">
        <is>
          <t>lb</t>
        </is>
      </c>
      <c r="K4007" s="9" t="n">
        <v>7.99</v>
      </c>
    </row>
    <row r="4008" ht="15" customFormat="1" customHeight="1" s="5">
      <c r="A4008" s="81" t="n">
        <v>45691</v>
      </c>
      <c r="B4008" s="82" t="n">
        <v>0.6888888888888889</v>
      </c>
      <c r="C4008" s="5" t="inlineStr">
        <is>
          <t>Costco</t>
        </is>
      </c>
      <c r="E4008" s="5" t="n">
        <v>1</v>
      </c>
      <c r="F4008" s="6" t="inlineStr">
        <is>
          <t>439 208 160 708</t>
        </is>
      </c>
      <c r="G4008" s="10" t="inlineStr">
        <is>
          <t>E 47825</t>
        </is>
      </c>
      <c r="H4008" s="9" t="inlineStr">
        <is>
          <t>Green Seedless Grapes OPPY</t>
        </is>
      </c>
      <c r="I4008" s="9" t="n">
        <v>3</v>
      </c>
      <c r="J4008" s="9" t="inlineStr">
        <is>
          <t>lb</t>
        </is>
      </c>
      <c r="K4008" s="9" t="n">
        <v>7.39</v>
      </c>
    </row>
    <row r="4009" ht="15" customFormat="1" customHeight="1" s="5">
      <c r="A4009" s="81" t="n">
        <v>45691</v>
      </c>
      <c r="B4009" s="82" t="n">
        <v>0.6888888888888889</v>
      </c>
      <c r="C4009" s="5" t="inlineStr">
        <is>
          <t>Costco</t>
        </is>
      </c>
      <c r="E4009" s="5" t="n">
        <v>1</v>
      </c>
      <c r="F4009" s="6" t="inlineStr">
        <is>
          <t>439 208 160 708</t>
        </is>
      </c>
      <c r="G4009" s="10" t="inlineStr">
        <is>
          <t>E 0000347853</t>
        </is>
      </c>
      <c r="H4009" s="9" t="inlineStr">
        <is>
          <t>**DISCOUNT** RX BARS</t>
        </is>
      </c>
      <c r="I4009" s="9" t="n">
        <v>25.6</v>
      </c>
      <c r="J4009" s="9" t="inlineStr">
        <is>
          <t>oz</t>
        </is>
      </c>
      <c r="K4009" s="9" t="n">
        <v>-4.5</v>
      </c>
    </row>
    <row r="4010" ht="15" customFormat="1" customHeight="1" s="5">
      <c r="A4010" s="81" t="n">
        <v>45691</v>
      </c>
      <c r="B4010" s="82" t="n">
        <v>0.6888888888888889</v>
      </c>
      <c r="C4010" s="5" t="inlineStr">
        <is>
          <t>Costco</t>
        </is>
      </c>
      <c r="E4010" s="5" t="n">
        <v>1</v>
      </c>
      <c r="F4010" s="6" t="inlineStr">
        <is>
          <t>439 208 160 708</t>
        </is>
      </c>
      <c r="G4010" s="10" t="inlineStr">
        <is>
          <t>E 38175</t>
        </is>
      </c>
      <c r="H4010" s="9" t="inlineStr">
        <is>
          <t>Cara Cara Oranges, Seedless</t>
        </is>
      </c>
      <c r="I4010" s="9" t="n">
        <v>5</v>
      </c>
      <c r="J4010" s="9" t="inlineStr">
        <is>
          <t>lb</t>
        </is>
      </c>
      <c r="K4010" s="9" t="n">
        <v>5.29</v>
      </c>
    </row>
    <row r="4011" ht="15" customFormat="1" customHeight="1" s="5">
      <c r="A4011" s="81" t="n">
        <v>45691</v>
      </c>
      <c r="B4011" s="82" t="n">
        <v>0.6888888888888889</v>
      </c>
      <c r="C4011" s="5" t="inlineStr">
        <is>
          <t>Costco</t>
        </is>
      </c>
      <c r="E4011" s="5" t="n">
        <v>1</v>
      </c>
      <c r="F4011" s="6" t="inlineStr">
        <is>
          <t>439 208 160 708</t>
        </is>
      </c>
      <c r="G4011" s="15" t="inlineStr">
        <is>
          <t>0000345953</t>
        </is>
      </c>
      <c r="H4011" s="9" t="inlineStr">
        <is>
          <t>**DISCOUNT** Qunol Liquid CoQ10</t>
        </is>
      </c>
      <c r="I4011" s="9" t="n">
        <v>900</v>
      </c>
      <c r="J4011" s="9" t="inlineStr">
        <is>
          <t>mL</t>
        </is>
      </c>
      <c r="K4011" s="9" t="inlineStr">
        <is>
          <t>8.0-A</t>
        </is>
      </c>
    </row>
    <row r="4012" ht="15" customFormat="1" customHeight="1" s="5">
      <c r="A4012" s="81" t="n">
        <v>45691</v>
      </c>
      <c r="B4012" s="82" t="n">
        <v>0.6888888888888889</v>
      </c>
      <c r="C4012" s="5" t="inlineStr">
        <is>
          <t>Costco</t>
        </is>
      </c>
      <c r="E4012" s="5" t="n">
        <v>1</v>
      </c>
      <c r="F4012" s="6" t="inlineStr">
        <is>
          <t>439 208 160 708</t>
        </is>
      </c>
      <c r="G4012" s="15" t="inlineStr">
        <is>
          <t>0000345953</t>
        </is>
      </c>
      <c r="H4012" s="9" t="inlineStr">
        <is>
          <t>**DISCOUNT** Qunol Liquid CoQ10</t>
        </is>
      </c>
      <c r="I4012" s="9" t="n">
        <v>900</v>
      </c>
      <c r="J4012" s="9" t="inlineStr">
        <is>
          <t>mL</t>
        </is>
      </c>
      <c r="K4012" s="9" t="inlineStr">
        <is>
          <t>8.0-A</t>
        </is>
      </c>
    </row>
    <row r="4013" ht="15" customFormat="1" customHeight="1" s="5">
      <c r="A4013" s="81" t="n">
        <v>45691</v>
      </c>
      <c r="B4013" s="82" t="n">
        <v>0.6888888888888889</v>
      </c>
      <c r="C4013" s="5" t="inlineStr">
        <is>
          <t>Costco</t>
        </is>
      </c>
      <c r="E4013" s="5" t="n">
        <v>1</v>
      </c>
      <c r="F4013" s="6" t="inlineStr">
        <is>
          <t>439 208 160 708</t>
        </is>
      </c>
      <c r="G4013" s="15" t="inlineStr">
        <is>
          <t>1176584</t>
        </is>
      </c>
      <c r="H4013" s="9" t="inlineStr">
        <is>
          <t>Qunol Liquid CoQ10 100mg Orange Pineapple Flavor</t>
        </is>
      </c>
      <c r="I4013" s="9" t="n">
        <v>900</v>
      </c>
      <c r="J4013" s="9" t="inlineStr">
        <is>
          <t>mL</t>
        </is>
      </c>
      <c r="K4013" s="9" t="inlineStr">
        <is>
          <t>36.99 A</t>
        </is>
      </c>
    </row>
    <row r="4014" ht="15" customFormat="1" customHeight="1" s="5">
      <c r="A4014" s="81" t="n">
        <v>45691</v>
      </c>
      <c r="B4014" s="82" t="n">
        <v>0.6888888888888889</v>
      </c>
      <c r="C4014" s="5" t="inlineStr">
        <is>
          <t>Costco</t>
        </is>
      </c>
      <c r="E4014" s="5" t="n">
        <v>1</v>
      </c>
      <c r="F4014" s="6" t="inlineStr">
        <is>
          <t>439 208 160 708</t>
        </is>
      </c>
      <c r="G4014" s="15" t="inlineStr">
        <is>
          <t>1176584</t>
        </is>
      </c>
      <c r="H4014" s="9" t="inlineStr">
        <is>
          <t>Qunol Liquid CoQ10 100mg Orange Pineapple Flavor</t>
        </is>
      </c>
      <c r="I4014" s="9" t="n">
        <v>900</v>
      </c>
      <c r="J4014" s="9" t="inlineStr">
        <is>
          <t>mL</t>
        </is>
      </c>
      <c r="K4014" s="9" t="inlineStr">
        <is>
          <t>36.99 A</t>
        </is>
      </c>
    </row>
    <row r="4015" ht="15" customFormat="1" customHeight="1" s="5">
      <c r="A4015" s="81" t="n">
        <v>45691</v>
      </c>
      <c r="B4015" s="82" t="n">
        <v>0.6888888888888889</v>
      </c>
      <c r="C4015" s="5" t="inlineStr">
        <is>
          <t>Costco</t>
        </is>
      </c>
      <c r="E4015" s="5" t="n">
        <v>1</v>
      </c>
      <c r="F4015" s="6" t="inlineStr">
        <is>
          <t>439 208 160 708</t>
        </is>
      </c>
      <c r="G4015" s="15" t="inlineStr">
        <is>
          <t>0000345774</t>
        </is>
      </c>
      <c r="H4015" s="9" t="inlineStr">
        <is>
          <t>**DISCOUNT** Lysol Toilet Bowl Cleaner</t>
        </is>
      </c>
      <c r="I4015" s="9" t="n">
        <v>128</v>
      </c>
      <c r="J4015" s="9" t="inlineStr">
        <is>
          <t>fl oz</t>
        </is>
      </c>
      <c r="K4015" s="9" t="inlineStr">
        <is>
          <t>3.5-A</t>
        </is>
      </c>
    </row>
    <row r="4016" ht="15" customFormat="1" customHeight="1" s="5">
      <c r="A4016" s="81" t="n">
        <v>45691</v>
      </c>
      <c r="B4016" s="82" t="n">
        <v>0.6888888888888889</v>
      </c>
      <c r="C4016" s="5" t="inlineStr">
        <is>
          <t>Costco</t>
        </is>
      </c>
      <c r="E4016" s="5" t="n">
        <v>1</v>
      </c>
      <c r="F4016" s="6" t="inlineStr">
        <is>
          <t>439 208 160 708</t>
        </is>
      </c>
      <c r="G4016" s="15" t="inlineStr">
        <is>
          <t>2662877</t>
        </is>
      </c>
      <c r="H4016" s="9" t="inlineStr">
        <is>
          <t>Lysol Advanced Power Clinging Gel Toilet Bowl Cleaner, 4 x 32 fl oz bottles</t>
        </is>
      </c>
      <c r="I4016" s="9" t="n">
        <v>128</v>
      </c>
      <c r="J4016" s="9" t="inlineStr">
        <is>
          <t>fl oz</t>
        </is>
      </c>
      <c r="K4016" s="9" t="inlineStr">
        <is>
          <t>11.49 A</t>
        </is>
      </c>
    </row>
    <row r="4017" ht="15" customFormat="1" customHeight="1" s="5">
      <c r="A4017" s="81" t="n">
        <v>45691</v>
      </c>
      <c r="B4017" s="82" t="n">
        <v>0.6888888888888889</v>
      </c>
      <c r="C4017" s="5" t="inlineStr">
        <is>
          <t>Costco</t>
        </is>
      </c>
      <c r="E4017" s="5" t="n">
        <v>1</v>
      </c>
      <c r="F4017" s="6" t="inlineStr">
        <is>
          <t>439 208 160 708</t>
        </is>
      </c>
      <c r="G4017" s="10" t="n"/>
      <c r="H4017" s="9" t="inlineStr">
        <is>
          <t>TAX A 8.00%</t>
        </is>
      </c>
      <c r="I4017" s="9" t="n">
        <v>15</v>
      </c>
      <c r="J4017" s="9" t="inlineStr">
        <is>
          <t>cnt</t>
        </is>
      </c>
      <c r="K4017" s="9" t="n">
        <v>5.28</v>
      </c>
    </row>
    <row r="4018" ht="15" customFormat="1" customHeight="1" s="5">
      <c r="A4018" s="81" t="n">
        <v>45691</v>
      </c>
      <c r="B4018" s="82" t="n">
        <v>0.5375</v>
      </c>
      <c r="C4018" s="5" t="inlineStr">
        <is>
          <t>BETC</t>
        </is>
      </c>
      <c r="D4018" s="5" t="n">
        <v>1</v>
      </c>
      <c r="F4018" s="6" t="inlineStr">
        <is>
          <t>#36220287</t>
        </is>
      </c>
      <c r="G4018" s="10" t="n"/>
      <c r="H4018" s="9" t="inlineStr">
        <is>
          <t>Standard Ticket</t>
        </is>
      </c>
      <c r="I4018" s="9" t="n">
        <v>1</v>
      </c>
      <c r="J4018" s="9" t="inlineStr">
        <is>
          <t>cnt</t>
        </is>
      </c>
      <c r="K4018" s="9" t="n">
        <v>43.75</v>
      </c>
    </row>
    <row r="4019" ht="15" customFormat="1" customHeight="1" s="5">
      <c r="A4019" s="81" t="n">
        <v>45691</v>
      </c>
      <c r="B4019" s="82" t="n">
        <v>0.5375</v>
      </c>
      <c r="C4019" s="5" t="inlineStr">
        <is>
          <t>BETC</t>
        </is>
      </c>
      <c r="D4019" s="5" t="n">
        <v>1</v>
      </c>
      <c r="F4019" s="6" t="inlineStr">
        <is>
          <t>#36220287</t>
        </is>
      </c>
      <c r="G4019" s="10" t="n"/>
      <c r="H4019" s="9" t="inlineStr">
        <is>
          <t>Student Ticket</t>
        </is>
      </c>
      <c r="I4019" s="9" t="n">
        <v>1</v>
      </c>
      <c r="J4019" s="9" t="inlineStr">
        <is>
          <t>cnt</t>
        </is>
      </c>
      <c r="K4019" s="9" t="n">
        <v>16.75</v>
      </c>
    </row>
    <row r="4020" ht="15" customFormat="1" customHeight="1" s="5">
      <c r="A4020" s="81" t="n">
        <v>45691</v>
      </c>
      <c r="B4020" s="82" t="n">
        <v>0.5375</v>
      </c>
      <c r="C4020" s="5" t="inlineStr">
        <is>
          <t>BETC</t>
        </is>
      </c>
      <c r="D4020" s="5" t="n">
        <v>1</v>
      </c>
      <c r="F4020" s="6" t="inlineStr">
        <is>
          <t>#36220287</t>
        </is>
      </c>
      <c r="G4020" s="10" t="n"/>
      <c r="H4020" s="9" t="inlineStr">
        <is>
          <t>**DISCOUNT** BETC50 Newspaper Discount Code</t>
        </is>
      </c>
      <c r="I4020" s="9" t="n">
        <v>2</v>
      </c>
      <c r="J4020" s="9" t="inlineStr">
        <is>
          <t>cnt</t>
        </is>
      </c>
      <c r="K4020" s="9" t="n">
        <v>-28.5</v>
      </c>
    </row>
    <row r="4021" ht="15" customFormat="1" customHeight="1" s="5">
      <c r="A4021" s="81" t="n">
        <v>45690</v>
      </c>
      <c r="B4021" s="82" t="n">
        <v>0.7359722222222222</v>
      </c>
      <c r="C4021" s="5" t="inlineStr">
        <is>
          <t>H-Mart</t>
        </is>
      </c>
      <c r="E4021" s="5" t="n">
        <v>1</v>
      </c>
      <c r="F4021" s="6" t="inlineStr">
        <is>
          <t>2291 833650</t>
        </is>
      </c>
      <c r="G4021" s="10" t="n"/>
      <c r="H4021" s="9" t="inlineStr">
        <is>
          <t>Kyong Gi Sweet Rice</t>
        </is>
      </c>
      <c r="I4021" s="9" t="n">
        <v>15</v>
      </c>
      <c r="J4021" s="9" t="inlineStr">
        <is>
          <t>lb</t>
        </is>
      </c>
      <c r="K4021" s="9" t="n">
        <v>24.99</v>
      </c>
    </row>
    <row r="4022" ht="15" customFormat="1" customHeight="1" s="5">
      <c r="A4022" s="81" t="n">
        <v>45690</v>
      </c>
      <c r="B4022" s="82" t="n">
        <v>0.7359722222222222</v>
      </c>
      <c r="C4022" s="5" t="inlineStr">
        <is>
          <t>H-Mart</t>
        </is>
      </c>
      <c r="E4022" s="5" t="n">
        <v>1</v>
      </c>
      <c r="F4022" s="6" t="inlineStr">
        <is>
          <t>2291 833650</t>
        </is>
      </c>
      <c r="G4022" s="10" t="n"/>
      <c r="H4022" s="9" t="inlineStr">
        <is>
          <t>Butternut Squash @$2.99/lb</t>
        </is>
      </c>
      <c r="I4022" s="9" t="n">
        <v>4.92</v>
      </c>
      <c r="J4022" s="9" t="inlineStr">
        <is>
          <t>cnt</t>
        </is>
      </c>
      <c r="K4022" s="9">
        <f>4.92*2.99</f>
        <v/>
      </c>
    </row>
    <row r="4023" ht="15" customFormat="1" customHeight="1" s="5">
      <c r="A4023" s="81" t="n">
        <v>45690</v>
      </c>
      <c r="B4023" s="82" t="n">
        <v>0.7359722222222222</v>
      </c>
      <c r="C4023" s="5" t="inlineStr">
        <is>
          <t>H-Mart</t>
        </is>
      </c>
      <c r="E4023" s="5" t="n">
        <v>1</v>
      </c>
      <c r="F4023" s="6" t="inlineStr">
        <is>
          <t>2291 833650</t>
        </is>
      </c>
      <c r="G4023" s="10" t="n"/>
      <c r="H4023" s="9" t="inlineStr">
        <is>
          <t>Mud Fish @$4.99/lb</t>
        </is>
      </c>
      <c r="I4023" s="9" t="n">
        <v>2.285</v>
      </c>
      <c r="J4023" s="9" t="inlineStr">
        <is>
          <t>lb</t>
        </is>
      </c>
      <c r="K4023" s="9" t="n">
        <v>11.4</v>
      </c>
    </row>
    <row r="4024" ht="15" customFormat="1" customHeight="1" s="5">
      <c r="A4024" s="81" t="n">
        <v>45690</v>
      </c>
      <c r="B4024" s="82" t="n">
        <v>0.7359722222222222</v>
      </c>
      <c r="C4024" s="5" t="inlineStr">
        <is>
          <t>H-Mart</t>
        </is>
      </c>
      <c r="E4024" s="5" t="n">
        <v>1</v>
      </c>
      <c r="F4024" s="6" t="inlineStr">
        <is>
          <t>2291 833650</t>
        </is>
      </c>
      <c r="G4024" s="10" t="n"/>
      <c r="H4024" s="9" t="inlineStr">
        <is>
          <t>SPRM Unagi Kabayaki Charcoal Grilled Eel</t>
        </is>
      </c>
      <c r="I4024" s="9" t="n">
        <v>6</v>
      </c>
      <c r="J4024" s="9" t="inlineStr">
        <is>
          <t>oz</t>
        </is>
      </c>
      <c r="K4024" s="9" t="n">
        <v>8.789999999999999</v>
      </c>
    </row>
    <row r="4025" ht="15" customFormat="1" customHeight="1" s="5">
      <c r="A4025" s="81" t="n">
        <v>45690</v>
      </c>
      <c r="B4025" s="82" t="n">
        <v>0.7359722222222222</v>
      </c>
      <c r="C4025" s="5" t="inlineStr">
        <is>
          <t>H-Mart</t>
        </is>
      </c>
      <c r="E4025" s="5" t="n">
        <v>1</v>
      </c>
      <c r="F4025" s="6" t="inlineStr">
        <is>
          <t>2291 833650</t>
        </is>
      </c>
      <c r="G4025" s="10" t="n"/>
      <c r="H4025" s="9" t="inlineStr">
        <is>
          <t>SPRM Unagi Kabayaki Charcoal Grilled Eel</t>
        </is>
      </c>
      <c r="I4025" s="9" t="n">
        <v>6</v>
      </c>
      <c r="J4025" s="9" t="inlineStr">
        <is>
          <t>oz</t>
        </is>
      </c>
      <c r="K4025" s="9" t="n">
        <v>8.789999999999999</v>
      </c>
    </row>
    <row r="4026" ht="15" customFormat="1" customHeight="1" s="5">
      <c r="A4026" s="81" t="n">
        <v>45690</v>
      </c>
      <c r="B4026" s="82" t="n">
        <v>0.7359722222222222</v>
      </c>
      <c r="C4026" s="5" t="inlineStr">
        <is>
          <t>H-Mart</t>
        </is>
      </c>
      <c r="E4026" s="5" t="n">
        <v>1</v>
      </c>
      <c r="F4026" s="6" t="inlineStr">
        <is>
          <t>2291 833650</t>
        </is>
      </c>
      <c r="G4026" s="10" t="n"/>
      <c r="H4026" s="9" t="inlineStr">
        <is>
          <t>Sweet Basil USA @$7.99/lb</t>
        </is>
      </c>
      <c r="I4026" s="9" t="n">
        <v>1.04</v>
      </c>
      <c r="J4026" s="9" t="inlineStr">
        <is>
          <t>lb</t>
        </is>
      </c>
      <c r="K4026" s="9" t="n">
        <v>8.31</v>
      </c>
    </row>
    <row r="4027" ht="15" customFormat="1" customHeight="1" s="5">
      <c r="A4027" s="81" t="n">
        <v>45690</v>
      </c>
      <c r="B4027" s="82" t="n">
        <v>0.7359722222222222</v>
      </c>
      <c r="C4027" s="5" t="inlineStr">
        <is>
          <t>H-Mart</t>
        </is>
      </c>
      <c r="E4027" s="5" t="n">
        <v>1</v>
      </c>
      <c r="F4027" s="6" t="inlineStr">
        <is>
          <t>2291 833650</t>
        </is>
      </c>
      <c r="G4027" s="10" t="n"/>
      <c r="H4027" s="9" t="inlineStr">
        <is>
          <t>Chinese Eggplant USA/MEXICO @$2.49/lb</t>
        </is>
      </c>
      <c r="I4027" s="9" t="n">
        <v>3.02</v>
      </c>
      <c r="J4027" s="9" t="inlineStr">
        <is>
          <t>lb</t>
        </is>
      </c>
      <c r="K4027" s="9" t="n">
        <v>7.52</v>
      </c>
    </row>
    <row r="4028" ht="15" customFormat="1" customHeight="1" s="5">
      <c r="A4028" s="81" t="n">
        <v>45690</v>
      </c>
      <c r="B4028" s="82" t="n">
        <v>0.7359722222222222</v>
      </c>
      <c r="C4028" s="5" t="inlineStr">
        <is>
          <t>H-Mart</t>
        </is>
      </c>
      <c r="E4028" s="5" t="n">
        <v>1</v>
      </c>
      <c r="F4028" s="6" t="inlineStr">
        <is>
          <t>2291 833650</t>
        </is>
      </c>
      <c r="G4028" s="10" t="n"/>
      <c r="H4028" s="9" t="inlineStr">
        <is>
          <t>Chinese Broccoli @ $3.99/lb</t>
        </is>
      </c>
      <c r="I4028" s="9" t="n">
        <v>1.13</v>
      </c>
      <c r="J4028" s="9" t="inlineStr">
        <is>
          <t>lb</t>
        </is>
      </c>
      <c r="K4028" s="9" t="n">
        <v>4.51</v>
      </c>
    </row>
    <row r="4029" ht="15" customFormat="1" customHeight="1" s="5">
      <c r="A4029" s="81" t="n">
        <v>45690</v>
      </c>
      <c r="B4029" s="82" t="n">
        <v>0.7359722222222222</v>
      </c>
      <c r="C4029" s="5" t="inlineStr">
        <is>
          <t>H-Mart</t>
        </is>
      </c>
      <c r="E4029" s="5" t="n">
        <v>1</v>
      </c>
      <c r="F4029" s="6" t="inlineStr">
        <is>
          <t>2291 833650</t>
        </is>
      </c>
      <c r="G4029" s="10" t="n"/>
      <c r="H4029" s="9" t="inlineStr">
        <is>
          <t>Shanghai Bok Choy USA @$1.79/lb</t>
        </is>
      </c>
      <c r="I4029" s="9" t="n">
        <v>1.92</v>
      </c>
      <c r="J4029" s="9" t="inlineStr">
        <is>
          <t>lb</t>
        </is>
      </c>
      <c r="K4029" s="9">
        <f>1.92*1.79</f>
        <v/>
      </c>
    </row>
    <row r="4030" ht="15" customFormat="1" customHeight="1" s="5">
      <c r="A4030" s="81" t="n">
        <v>45690</v>
      </c>
      <c r="B4030" s="82" t="n">
        <v>0.7359722222222222</v>
      </c>
      <c r="C4030" s="5" t="inlineStr">
        <is>
          <t>H-Mart</t>
        </is>
      </c>
      <c r="E4030" s="5" t="n">
        <v>1</v>
      </c>
      <c r="F4030" s="6" t="inlineStr">
        <is>
          <t>2291 833650</t>
        </is>
      </c>
      <c r="G4030" s="10" t="n"/>
      <c r="H4030" s="9" t="inlineStr">
        <is>
          <t>House Tofu M-Firm Blue</t>
        </is>
      </c>
      <c r="I4030" s="9" t="n">
        <v>19</v>
      </c>
      <c r="J4030" s="9" t="inlineStr">
        <is>
          <t>oz</t>
        </is>
      </c>
      <c r="K4030" s="9" t="n">
        <v>3.29</v>
      </c>
    </row>
    <row r="4031" ht="15" customFormat="1" customHeight="1" s="5">
      <c r="A4031" s="81" t="n">
        <v>45690</v>
      </c>
      <c r="B4031" s="82" t="n">
        <v>0.7359722222222222</v>
      </c>
      <c r="C4031" s="5" t="inlineStr">
        <is>
          <t>H-Mart</t>
        </is>
      </c>
      <c r="E4031" s="5" t="n">
        <v>1</v>
      </c>
      <c r="F4031" s="6" t="inlineStr">
        <is>
          <t>2291 833650</t>
        </is>
      </c>
      <c r="G4031" s="10" t="n"/>
      <c r="H4031" s="9" t="inlineStr">
        <is>
          <t>Cilantro USA/MEXICO @$0.55/item</t>
        </is>
      </c>
      <c r="I4031" s="9" t="n">
        <v>2</v>
      </c>
      <c r="J4031" s="9" t="inlineStr">
        <is>
          <t>cnt</t>
        </is>
      </c>
      <c r="K4031" s="9" t="n">
        <v>1.1</v>
      </c>
    </row>
    <row r="4032" ht="15" customFormat="1" customHeight="1" s="5">
      <c r="A4032" s="81" t="n">
        <v>45690</v>
      </c>
      <c r="B4032" s="82" t="n">
        <v>0.7359722222222222</v>
      </c>
      <c r="C4032" s="5" t="inlineStr">
        <is>
          <t>H-Mart</t>
        </is>
      </c>
      <c r="E4032" s="5" t="n">
        <v>1</v>
      </c>
      <c r="F4032" s="6" t="inlineStr">
        <is>
          <t>2291 833650</t>
        </is>
      </c>
      <c r="G4032" s="10" t="n"/>
      <c r="H4032" s="9" t="inlineStr">
        <is>
          <t>Lemons @$0.55/each</t>
        </is>
      </c>
      <c r="I4032" s="9" t="n">
        <v>2</v>
      </c>
      <c r="J4032" s="9" t="inlineStr">
        <is>
          <t>cnt</t>
        </is>
      </c>
      <c r="K4032" s="9" t="n">
        <v>1.1</v>
      </c>
    </row>
    <row r="4033" ht="15" customFormat="1" customHeight="1" s="5">
      <c r="A4033" s="81" t="n">
        <v>45690</v>
      </c>
      <c r="B4033" s="82" t="n">
        <v>0.7359722222222222</v>
      </c>
      <c r="C4033" s="5" t="inlineStr">
        <is>
          <t>H-Mart</t>
        </is>
      </c>
      <c r="E4033" s="5" t="n">
        <v>1</v>
      </c>
      <c r="F4033" s="6" t="inlineStr">
        <is>
          <t>2291 833650</t>
        </is>
      </c>
      <c r="G4033" s="10" t="n"/>
      <c r="H4033" s="9" t="inlineStr">
        <is>
          <t>Tax</t>
        </is>
      </c>
      <c r="I4033" s="9" t="n">
        <v>12</v>
      </c>
      <c r="J4033" s="9" t="inlineStr">
        <is>
          <t>cnt</t>
        </is>
      </c>
      <c r="K4033" s="9" t="n">
        <v>0</v>
      </c>
    </row>
    <row r="4034" ht="15" customFormat="1" customHeight="1" s="5">
      <c r="A4034" s="81" t="n">
        <v>45690</v>
      </c>
      <c r="B4034" s="82" t="n">
        <v>0.7359722222222222</v>
      </c>
      <c r="C4034" s="5" t="inlineStr">
        <is>
          <t>H-Mart</t>
        </is>
      </c>
      <c r="E4034" s="5" t="n">
        <v>1</v>
      </c>
      <c r="F4034" s="6" t="inlineStr">
        <is>
          <t>2291 833650</t>
        </is>
      </c>
      <c r="G4034" s="10" t="n"/>
      <c r="H4034" s="9" t="inlineStr">
        <is>
          <t>**DISCOUNT** Cilantro @$0.5/item</t>
        </is>
      </c>
      <c r="I4034" s="9" t="n">
        <v>2</v>
      </c>
      <c r="J4034" s="9" t="inlineStr">
        <is>
          <t>cnt</t>
        </is>
      </c>
      <c r="K4034" s="9" t="n">
        <v>-0.1</v>
      </c>
    </row>
    <row r="4035" ht="15" customFormat="1" customHeight="1" s="5">
      <c r="A4035" s="81" t="n">
        <v>45690</v>
      </c>
      <c r="B4035" s="82" t="n">
        <v>0.7359722222222222</v>
      </c>
      <c r="C4035" s="5" t="inlineStr">
        <is>
          <t>H-Mart</t>
        </is>
      </c>
      <c r="E4035" s="5" t="n">
        <v>1</v>
      </c>
      <c r="F4035" s="6" t="inlineStr">
        <is>
          <t>2291 833650</t>
        </is>
      </c>
      <c r="G4035" s="10" t="n"/>
      <c r="H4035" s="9" t="inlineStr">
        <is>
          <t>**DISCOUNT** lemons @$0.50/each</t>
        </is>
      </c>
      <c r="I4035" s="9" t="n">
        <v>2</v>
      </c>
      <c r="J4035" s="9" t="inlineStr">
        <is>
          <t>cnt</t>
        </is>
      </c>
      <c r="K4035" s="9" t="n">
        <v>-0.1</v>
      </c>
    </row>
    <row r="4036" ht="15" customFormat="1" customHeight="1" s="5">
      <c r="A4036" s="81" t="n">
        <v>45690</v>
      </c>
      <c r="B4036" s="82" t="n">
        <v>0.7359722222222222</v>
      </c>
      <c r="C4036" s="5" t="inlineStr">
        <is>
          <t>H-Mart</t>
        </is>
      </c>
      <c r="E4036" s="5" t="n">
        <v>1</v>
      </c>
      <c r="F4036" s="6" t="inlineStr">
        <is>
          <t>2291 833650</t>
        </is>
      </c>
      <c r="G4036" s="10" t="n"/>
      <c r="H4036" s="9" t="inlineStr">
        <is>
          <t>**DISCOUNT** Shanghai Bok Choy @$0.98/lb</t>
        </is>
      </c>
      <c r="I4036" s="9" t="n">
        <v>1.92</v>
      </c>
      <c r="J4036" s="9" t="inlineStr">
        <is>
          <t>lb</t>
        </is>
      </c>
      <c r="K4036" s="9" t="n">
        <v>-1.5568</v>
      </c>
    </row>
    <row r="4037" ht="15" customFormat="1" customHeight="1" s="5">
      <c r="A4037" s="81" t="n">
        <v>45690</v>
      </c>
      <c r="B4037" s="82" t="n">
        <v>0.7359722222222222</v>
      </c>
      <c r="C4037" s="5" t="inlineStr">
        <is>
          <t>H-Mart</t>
        </is>
      </c>
      <c r="E4037" s="5" t="n">
        <v>1</v>
      </c>
      <c r="F4037" s="6" t="inlineStr">
        <is>
          <t>2291 833650</t>
        </is>
      </c>
      <c r="G4037" s="10" t="n"/>
      <c r="H4037" s="9" t="inlineStr">
        <is>
          <t>**DISCOUNT** Butternut Squash @$1.48/lb</t>
        </is>
      </c>
      <c r="I4037" s="9" t="n">
        <v>4.92</v>
      </c>
      <c r="J4037" s="9" t="inlineStr">
        <is>
          <t>cnt</t>
        </is>
      </c>
      <c r="K4037" s="9" t="n">
        <v>-7.430800000000001</v>
      </c>
    </row>
    <row r="4038" ht="15" customFormat="1" customHeight="1" s="5">
      <c r="A4038" s="81" t="n">
        <v>45690</v>
      </c>
      <c r="B4038" s="82" t="n">
        <v>0.7359722222222222</v>
      </c>
      <c r="C4038" s="5" t="inlineStr">
        <is>
          <t>H-Mart</t>
        </is>
      </c>
      <c r="E4038" s="5" t="n">
        <v>1</v>
      </c>
      <c r="F4038" s="6" t="inlineStr">
        <is>
          <t>2291 833650</t>
        </is>
      </c>
      <c r="G4038" s="10" t="n"/>
      <c r="H4038" s="9" t="inlineStr">
        <is>
          <t>**DISCOUNT** Kyong Gi Sweet Rice</t>
        </is>
      </c>
      <c r="I4038" s="9" t="n">
        <v>15</v>
      </c>
      <c r="J4038" s="9" t="inlineStr">
        <is>
          <t>lb</t>
        </is>
      </c>
      <c r="K4038" s="9" t="n">
        <v>-8.009999999999998</v>
      </c>
    </row>
    <row r="4039" ht="15" customFormat="1" customHeight="1" s="5">
      <c r="A4039" s="81" t="n">
        <v>45690</v>
      </c>
      <c r="B4039" s="82" t="n">
        <v>0.1493055555555556</v>
      </c>
      <c r="C4039" s="5" t="inlineStr">
        <is>
          <t>Amazon</t>
        </is>
      </c>
      <c r="D4039" s="5" t="n">
        <v>1</v>
      </c>
      <c r="F4039" s="16" t="inlineStr">
        <is>
          <t>111-2811627-9705023</t>
        </is>
      </c>
      <c r="G4039" s="7" t="n"/>
      <c r="H4039" s="9" t="inlineStr">
        <is>
          <t>Space Cowboys Perspectives (Orange Box) - Mystery Game, Cooperative Storytelling Game for Kids and Adults, Ages 12+, 2-6 Players, 90 Minute Playtime, Made Sold by: Amazon.com</t>
        </is>
      </c>
      <c r="I4039" s="9" t="n">
        <v>1</v>
      </c>
      <c r="J4039" s="9" t="inlineStr">
        <is>
          <t>cnt</t>
        </is>
      </c>
      <c r="K4039" s="9" t="n">
        <v>28</v>
      </c>
    </row>
    <row r="4040" ht="15" customFormat="1" customHeight="1" s="5">
      <c r="A4040" s="81" t="n">
        <v>45690</v>
      </c>
      <c r="B4040" s="82" t="n">
        <v>0.1493055555555556</v>
      </c>
      <c r="C4040" s="5" t="inlineStr">
        <is>
          <t>Amazon</t>
        </is>
      </c>
      <c r="D4040" s="5" t="n">
        <v>1</v>
      </c>
      <c r="F4040" s="16" t="inlineStr">
        <is>
          <t>111-2811627-9705023</t>
        </is>
      </c>
      <c r="G4040" s="7" t="n"/>
      <c r="H4040" s="9" t="inlineStr">
        <is>
          <t>5.5" Barber Hair Scissors Thinning Scissors 440C Professional Thinning Shears Barber Scissors Barber Shears 28 Teeth Convex Edge KINSARO Sold by: Kinsaro</t>
        </is>
      </c>
      <c r="I4040" s="9" t="n">
        <v>1</v>
      </c>
      <c r="J4040" s="9" t="inlineStr">
        <is>
          <t>cnt</t>
        </is>
      </c>
      <c r="K4040" s="9" t="n">
        <v>39.99</v>
      </c>
    </row>
    <row r="4041" ht="15" customFormat="1" customHeight="1" s="5">
      <c r="A4041" s="81" t="n">
        <v>45690</v>
      </c>
      <c r="B4041" s="82" t="n">
        <v>0.1493055555555556</v>
      </c>
      <c r="C4041" s="5" t="inlineStr">
        <is>
          <t>Amazon</t>
        </is>
      </c>
      <c r="D4041" s="5" t="n">
        <v>1</v>
      </c>
      <c r="F4041" s="16" t="inlineStr">
        <is>
          <t>111-2811627-9705023</t>
        </is>
      </c>
      <c r="G4041" s="7" t="n"/>
      <c r="H4041" s="9" t="inlineStr">
        <is>
          <t>Amazon Basics 48-Pack AA Alkaline High-Performance Batteries, 1.5 Volt, 10-Year Shelf Life Sold by: Amazon.com</t>
        </is>
      </c>
      <c r="I4041" s="9" t="n">
        <v>48</v>
      </c>
      <c r="J4041" s="9" t="inlineStr">
        <is>
          <t>cnt</t>
        </is>
      </c>
      <c r="K4041" s="9" t="n">
        <v>14.82</v>
      </c>
    </row>
    <row r="4042" ht="15" customFormat="1" customHeight="1" s="5">
      <c r="A4042" s="81" t="n">
        <v>45690</v>
      </c>
      <c r="B4042" s="82" t="n">
        <v>0.1493055555555556</v>
      </c>
      <c r="C4042" s="5" t="inlineStr">
        <is>
          <t>Amazon</t>
        </is>
      </c>
      <c r="D4042" s="5" t="n">
        <v>1</v>
      </c>
      <c r="F4042" s="16" t="inlineStr">
        <is>
          <t>111-2811627-9705023</t>
        </is>
      </c>
      <c r="G4042" s="7" t="n"/>
      <c r="H4042" s="9" t="inlineStr">
        <is>
          <t>CableCreation USB B to USB C Printer Cable 6.6FT, Type B to Type C Printer Cord for MacBook Pro, Air, MIDI Cable for Yamaha Casio Digital Piano, MIDI Keyboard, DJ Controller, DAC to iPad - 2M, Black Sold by: CableCreation</t>
        </is>
      </c>
      <c r="I4042" s="9" t="n">
        <v>1</v>
      </c>
      <c r="J4042" s="9" t="inlineStr">
        <is>
          <t>cnt</t>
        </is>
      </c>
      <c r="K4042" s="9" t="n">
        <v>9.890000000000001</v>
      </c>
    </row>
    <row r="4043" ht="15" customFormat="1" customHeight="1" s="5">
      <c r="A4043" s="81" t="n">
        <v>45690</v>
      </c>
      <c r="B4043" s="82" t="n">
        <v>0.1493055555555556</v>
      </c>
      <c r="C4043" s="5" t="inlineStr">
        <is>
          <t>Amazon</t>
        </is>
      </c>
      <c r="D4043" s="5" t="n">
        <v>1</v>
      </c>
      <c r="F4043" s="16" t="inlineStr">
        <is>
          <t>111-2811627-9705023</t>
        </is>
      </c>
      <c r="G4043" s="7" t="n"/>
      <c r="H4043" s="9" t="inlineStr">
        <is>
          <t>Tax</t>
        </is>
      </c>
      <c r="I4043" s="9" t="n">
        <v>4</v>
      </c>
      <c r="J4043" s="9" t="inlineStr">
        <is>
          <t>cnt</t>
        </is>
      </c>
      <c r="K4043" s="9" t="n">
        <v>7.2</v>
      </c>
    </row>
    <row r="4044" ht="15" customFormat="1" customHeight="1" s="5">
      <c r="A4044" s="81" t="n">
        <v>45690</v>
      </c>
      <c r="B4044" s="82" t="n">
        <v>0.1493055555555556</v>
      </c>
      <c r="C4044" s="5" t="inlineStr">
        <is>
          <t>Amazon</t>
        </is>
      </c>
      <c r="D4044" s="5" t="n">
        <v>1</v>
      </c>
      <c r="F4044" s="16" t="inlineStr">
        <is>
          <t>111-8760759-9672228</t>
        </is>
      </c>
      <c r="G4044" s="7" t="n"/>
      <c r="H4044" s="9" t="inlineStr">
        <is>
          <t>Good Clean Love Almost Naked Organic Water-Based Lube, Personal Lubricant with Aloe Vera, Safe for Adult Toys &amp; Condoms, pH-Balanced, Great Valentines Day Gifts for Couples, 95% Organic, 4 Oz Sold by: Good Clean Love, Inc.</t>
        </is>
      </c>
      <c r="I4044" s="9" t="n">
        <v>4</v>
      </c>
      <c r="J4044" s="9" t="inlineStr">
        <is>
          <t>oz</t>
        </is>
      </c>
      <c r="K4044" s="9" t="n">
        <v>11.99</v>
      </c>
    </row>
    <row r="4045" ht="15" customFormat="1" customHeight="1" s="5">
      <c r="A4045" s="81" t="n">
        <v>45690</v>
      </c>
      <c r="B4045" s="82" t="n">
        <v>0.1493055555555556</v>
      </c>
      <c r="C4045" s="5" t="inlineStr">
        <is>
          <t>Amazon</t>
        </is>
      </c>
      <c r="D4045" s="5" t="n">
        <v>1</v>
      </c>
      <c r="F4045" s="16" t="inlineStr">
        <is>
          <t>111-8760759-9672228</t>
        </is>
      </c>
      <c r="G4045" s="7" t="n"/>
      <c r="H4045" s="9" t="inlineStr">
        <is>
          <t>Amazon Basics 8-Count 9 Volt Alkaline Performance All-Purpose Batteries, 5-Year Shelf Life, Packaging May Vary Sold by: Amazon.com</t>
        </is>
      </c>
      <c r="I4045" s="9" t="n">
        <v>8</v>
      </c>
      <c r="J4045" s="9" t="inlineStr">
        <is>
          <t>cnt</t>
        </is>
      </c>
      <c r="K4045" s="9" t="n">
        <v>12.34</v>
      </c>
    </row>
    <row r="4046" ht="15" customFormat="1" customHeight="1" s="5">
      <c r="A4046" s="81" t="n">
        <v>45690</v>
      </c>
      <c r="B4046" s="82" t="n">
        <v>0.1493055555555556</v>
      </c>
      <c r="C4046" s="5" t="inlineStr">
        <is>
          <t>Amazon</t>
        </is>
      </c>
      <c r="D4046" s="5" t="n">
        <v>1</v>
      </c>
      <c r="F4046" s="16" t="inlineStr">
        <is>
          <t>111-8760759-9672228</t>
        </is>
      </c>
      <c r="G4046" s="7" t="n"/>
      <c r="H4046" s="9" t="inlineStr">
        <is>
          <t>Tax</t>
        </is>
      </c>
      <c r="I4046" s="9" t="n">
        <v>2</v>
      </c>
      <c r="J4046" s="9" t="inlineStr">
        <is>
          <t>cnt</t>
        </is>
      </c>
      <c r="K4046" s="9" t="n">
        <v>1.89</v>
      </c>
    </row>
    <row r="4047" ht="15" customFormat="1" customHeight="1" s="5">
      <c r="A4047" s="81" t="n">
        <v>45689</v>
      </c>
      <c r="B4047" s="82" t="n">
        <v>0.5222222222222223</v>
      </c>
      <c r="C4047" s="5" t="inlineStr">
        <is>
          <t>Tokyo Premium Bakery</t>
        </is>
      </c>
      <c r="E4047" s="5" t="n">
        <v>1</v>
      </c>
      <c r="F4047" s="16" t="inlineStr">
        <is>
          <t>#JmzB</t>
        </is>
      </c>
      <c r="G4047" s="7" t="n"/>
      <c r="H4047" s="9" t="inlineStr">
        <is>
          <t>Earl Grey Croissant</t>
        </is>
      </c>
      <c r="I4047" s="9" t="n">
        <v>1</v>
      </c>
      <c r="J4047" s="9" t="inlineStr">
        <is>
          <t>cnt</t>
        </is>
      </c>
      <c r="K4047" s="9" t="n">
        <v>4.8</v>
      </c>
    </row>
    <row r="4048" ht="15" customFormat="1" customHeight="1" s="5">
      <c r="A4048" s="81" t="n">
        <v>45689</v>
      </c>
      <c r="B4048" s="82" t="n">
        <v>0.5222222222222223</v>
      </c>
      <c r="C4048" s="5" t="inlineStr">
        <is>
          <t>Tokyo Premium Bakery</t>
        </is>
      </c>
      <c r="E4048" s="5" t="n">
        <v>1</v>
      </c>
      <c r="F4048" s="16" t="inlineStr">
        <is>
          <t>#JmzB</t>
        </is>
      </c>
      <c r="G4048" s="7" t="n"/>
      <c r="H4048" s="9" t="inlineStr">
        <is>
          <t>Matcha Cream Pastry</t>
        </is>
      </c>
      <c r="I4048" s="9" t="n">
        <v>1</v>
      </c>
      <c r="J4048" s="9" t="inlineStr">
        <is>
          <t>cnt</t>
        </is>
      </c>
      <c r="K4048" s="9" t="n">
        <v>2.8</v>
      </c>
    </row>
    <row r="4049" ht="15" customFormat="1" customHeight="1" s="5">
      <c r="A4049" s="81" t="n">
        <v>45689</v>
      </c>
      <c r="B4049" s="82" t="n">
        <v>0.5222222222222223</v>
      </c>
      <c r="C4049" s="5" t="inlineStr">
        <is>
          <t>Tokyo Premium Bakery</t>
        </is>
      </c>
      <c r="E4049" s="5" t="n">
        <v>1</v>
      </c>
      <c r="F4049" s="16" t="inlineStr">
        <is>
          <t>#JmzB</t>
        </is>
      </c>
      <c r="G4049" s="7" t="n"/>
      <c r="H4049" s="9" t="inlineStr">
        <is>
          <t>Matcha Cream Pastry</t>
        </is>
      </c>
      <c r="I4049" s="9" t="n">
        <v>1</v>
      </c>
      <c r="J4049" s="9" t="inlineStr">
        <is>
          <t>cnt</t>
        </is>
      </c>
      <c r="K4049" s="9" t="n">
        <v>2.8</v>
      </c>
    </row>
    <row r="4050" ht="15" customFormat="1" customHeight="1" s="5">
      <c r="A4050" s="81" t="n">
        <v>45689</v>
      </c>
      <c r="B4050" s="82" t="n">
        <v>0.5222222222222223</v>
      </c>
      <c r="C4050" s="5" t="inlineStr">
        <is>
          <t>Tokyo Premium Bakery</t>
        </is>
      </c>
      <c r="E4050" s="5" t="n">
        <v>1</v>
      </c>
      <c r="F4050" s="16" t="inlineStr">
        <is>
          <t>#JmzB</t>
        </is>
      </c>
      <c r="G4050" s="7" t="n"/>
      <c r="H4050" s="9" t="inlineStr">
        <is>
          <t>Tip</t>
        </is>
      </c>
      <c r="I4050" s="9" t="n">
        <v>3</v>
      </c>
      <c r="J4050" s="9" t="inlineStr">
        <is>
          <t>cnt</t>
        </is>
      </c>
      <c r="K4050" s="9" t="n">
        <v>1.76</v>
      </c>
    </row>
    <row r="4051" ht="15" customFormat="1" customHeight="1" s="5">
      <c r="A4051" s="81" t="n">
        <v>45689</v>
      </c>
      <c r="B4051" s="82" t="n">
        <v>0.5222222222222223</v>
      </c>
      <c r="C4051" s="5" t="inlineStr">
        <is>
          <t>Tokyo Premium Bakery</t>
        </is>
      </c>
      <c r="E4051" s="5" t="n">
        <v>1</v>
      </c>
      <c r="F4051" s="16" t="inlineStr">
        <is>
          <t>#JmzB</t>
        </is>
      </c>
      <c r="G4051" s="7" t="n"/>
      <c r="H4051" s="9" t="inlineStr">
        <is>
          <t>City Sales Tax (5.15%)</t>
        </is>
      </c>
      <c r="I4051" s="9" t="n">
        <v>3</v>
      </c>
      <c r="J4051" s="9" t="inlineStr">
        <is>
          <t>cnt</t>
        </is>
      </c>
      <c r="K4051" s="9" t="n">
        <v>0.54</v>
      </c>
    </row>
    <row r="4052" ht="15" customFormat="1" customHeight="1" s="5">
      <c r="A4052" s="81" t="n">
        <v>45689</v>
      </c>
      <c r="B4052" s="82" t="n">
        <v>0.5222222222222223</v>
      </c>
      <c r="C4052" s="5" t="inlineStr">
        <is>
          <t>Tokyo Premium Bakery</t>
        </is>
      </c>
      <c r="E4052" s="5" t="n">
        <v>1</v>
      </c>
      <c r="F4052" s="16" t="inlineStr">
        <is>
          <t>#JmzB</t>
        </is>
      </c>
      <c r="G4052" s="7" t="n"/>
      <c r="H4052" s="9" t="inlineStr">
        <is>
          <t>State Sales Tax (2.9%)</t>
        </is>
      </c>
      <c r="I4052" s="9" t="n">
        <v>3</v>
      </c>
      <c r="J4052" s="9" t="inlineStr">
        <is>
          <t>cnt</t>
        </is>
      </c>
      <c r="K4052" s="9" t="n">
        <v>0.3</v>
      </c>
    </row>
    <row r="4053" ht="15" customFormat="1" customHeight="1" s="5">
      <c r="A4053" s="81" t="n">
        <v>45689</v>
      </c>
      <c r="B4053" s="82" t="n">
        <v>0.4819444444444445</v>
      </c>
      <c r="C4053" s="5" t="inlineStr">
        <is>
          <t>House Denver</t>
        </is>
      </c>
      <c r="D4053" s="5" t="n">
        <v>1</v>
      </c>
      <c r="F4053" s="6" t="n">
        <v>53852722946</v>
      </c>
      <c r="G4053" s="10" t="n"/>
      <c r="H4053" s="9" t="inlineStr">
        <is>
          <t>Monthly overflow chunk of 2025 tithe bunched into 2024. This transaction was actually made on 12/31/25, but it is logged against 2025 budget.</t>
        </is>
      </c>
      <c r="I4053" s="9" t="n"/>
      <c r="J4053" s="9" t="n"/>
      <c r="K4053" s="9">
        <f>(9500-8750.43)/12</f>
        <v/>
      </c>
    </row>
    <row r="4054" ht="15" customFormat="1" customHeight="1" s="5">
      <c r="A4054" s="81" t="n">
        <v>45689</v>
      </c>
      <c r="B4054" s="82" t="n">
        <v>0.4819444444444445</v>
      </c>
      <c r="C4054" s="5" t="inlineStr">
        <is>
          <t>House Denver</t>
        </is>
      </c>
      <c r="D4054" s="5" t="n">
        <v>1</v>
      </c>
      <c r="F4054" s="6" t="n">
        <v>53852722946</v>
      </c>
      <c r="G4054" s="10" t="n"/>
      <c r="H4054" s="9" t="inlineStr">
        <is>
          <t>Monthly chunk of 2025 tithe bunched into 2024. This transaction was actually made on 12/31/25, but it is logged against 2025 budget.</t>
        </is>
      </c>
      <c r="I4054" s="9" t="n"/>
      <c r="J4054" s="9" t="n"/>
      <c r="K4054" s="9" t="n">
        <v>641.1795654145143</v>
      </c>
    </row>
    <row r="4055" ht="15" customFormat="1" customHeight="1" s="5">
      <c r="A4055" s="81" t="n">
        <v>45689</v>
      </c>
      <c r="B4055" s="82" t="n">
        <v>0.3721875</v>
      </c>
      <c r="C4055" s="5" t="inlineStr">
        <is>
          <t>Walmart</t>
        </is>
      </c>
      <c r="E4055" s="5" t="n">
        <v>1</v>
      </c>
      <c r="F4055" s="6" t="inlineStr">
        <is>
          <t>2898 8267 9193 2383 4607</t>
        </is>
      </c>
      <c r="G4055" s="10" t="inlineStr">
        <is>
          <t>007874237006 F</t>
        </is>
      </c>
      <c r="H4055" s="9" t="inlineStr">
        <is>
          <t>GV Flour</t>
        </is>
      </c>
      <c r="I4055" s="9" t="n">
        <v>5</v>
      </c>
      <c r="J4055" s="9" t="inlineStr">
        <is>
          <t>lb</t>
        </is>
      </c>
      <c r="K4055" s="9" t="inlineStr">
        <is>
          <t>2.38 O</t>
        </is>
      </c>
    </row>
    <row r="4056" ht="15" customFormat="1" customHeight="1" s="5">
      <c r="A4056" s="81" t="n">
        <v>45689</v>
      </c>
      <c r="B4056" s="82" t="n">
        <v>0.3721875</v>
      </c>
      <c r="C4056" s="5" t="inlineStr">
        <is>
          <t>Walmart</t>
        </is>
      </c>
      <c r="E4056" s="5" t="n">
        <v>1</v>
      </c>
      <c r="F4056" s="6" t="inlineStr">
        <is>
          <t>2898 8267 9193 2383 4607</t>
        </is>
      </c>
      <c r="G4056" s="10" t="inlineStr">
        <is>
          <t>007874225457 F</t>
        </is>
      </c>
      <c r="H4056" s="9" t="inlineStr">
        <is>
          <t>GV Basil Fried</t>
        </is>
      </c>
      <c r="I4056" s="9" t="n">
        <v>0.8</v>
      </c>
      <c r="J4056" s="9" t="inlineStr">
        <is>
          <t>oz</t>
        </is>
      </c>
      <c r="K4056" s="9" t="inlineStr">
        <is>
          <t>1.12 O</t>
        </is>
      </c>
    </row>
    <row r="4057" ht="15" customFormat="1" customHeight="1" s="5">
      <c r="A4057" s="81" t="n">
        <v>45689</v>
      </c>
      <c r="B4057" s="82" t="n">
        <v>0.3721875</v>
      </c>
      <c r="C4057" s="5" t="inlineStr">
        <is>
          <t>Walmart</t>
        </is>
      </c>
      <c r="E4057" s="5" t="n">
        <v>1</v>
      </c>
      <c r="F4057" s="6" t="inlineStr">
        <is>
          <t>2898 8267 9193 2383 4607</t>
        </is>
      </c>
      <c r="G4057" s="15" t="inlineStr">
        <is>
          <t>019434602813</t>
        </is>
      </c>
      <c r="H4057" s="9" t="inlineStr">
        <is>
          <t>EQ SFT Fem Wash</t>
        </is>
      </c>
      <c r="I4057" s="9" t="n">
        <v>15</v>
      </c>
      <c r="J4057" s="9" t="inlineStr">
        <is>
          <t>oz</t>
        </is>
      </c>
      <c r="K4057" s="9" t="inlineStr">
        <is>
          <t>3.24 X</t>
        </is>
      </c>
    </row>
    <row r="4058" ht="16.25" customFormat="1" customHeight="1" s="5">
      <c r="A4058" s="81" t="n">
        <v>45689</v>
      </c>
      <c r="B4058" s="82" t="n">
        <v>0.3721875</v>
      </c>
      <c r="C4058" s="5" t="inlineStr">
        <is>
          <t>Walmart</t>
        </is>
      </c>
      <c r="E4058" s="5" t="n">
        <v>1</v>
      </c>
      <c r="F4058" s="6" t="inlineStr">
        <is>
          <t>2898 8267 9193 2383 4607</t>
        </is>
      </c>
      <c r="G4058" s="10" t="n"/>
      <c r="H4058" s="9" t="inlineStr">
        <is>
          <t>Tax 1 4.250%</t>
        </is>
      </c>
      <c r="I4058" s="9" t="n">
        <v>3</v>
      </c>
      <c r="J4058" s="9" t="inlineStr">
        <is>
          <t>cnt</t>
        </is>
      </c>
      <c r="K4058" s="9" t="n">
        <v>0.14</v>
      </c>
    </row>
    <row r="4059" ht="15" customFormat="1" customHeight="1" s="5">
      <c r="A4059" s="81" t="n">
        <v>45689</v>
      </c>
      <c r="B4059" s="82" t="n">
        <v>0.2916666666666667</v>
      </c>
      <c r="C4059" s="5" t="inlineStr">
        <is>
          <t>USAA</t>
        </is>
      </c>
      <c r="D4059" s="5" t="n">
        <v>1</v>
      </c>
      <c r="F4059" s="6" t="inlineStr">
        <is>
          <t>24492165032500019253860</t>
        </is>
      </c>
      <c r="G4059" s="10" t="n"/>
      <c r="H4059" s="9" t="inlineStr">
        <is>
          <t>Car insurance payment</t>
        </is>
      </c>
      <c r="I4059" s="9" t="n"/>
      <c r="J4059" s="9" t="n"/>
      <c r="K4059" s="9" t="n">
        <v>784.4</v>
      </c>
    </row>
    <row r="4060" ht="15" customFormat="1" customHeight="1" s="5">
      <c r="A4060" s="81" t="n">
        <v>45688</v>
      </c>
      <c r="B4060" s="82" t="n">
        <v>0.8951388888888889</v>
      </c>
      <c r="C4060" s="5" t="inlineStr">
        <is>
          <t>Tyndall Green</t>
        </is>
      </c>
      <c r="D4060" s="5" t="n">
        <v>1</v>
      </c>
      <c r="F4060" s="16" t="n">
        <v>365620802</v>
      </c>
      <c r="G4060" s="7" t="n"/>
      <c r="H4060" s="9" t="inlineStr">
        <is>
          <t>HOA Tyndall Green Jan Payment</t>
        </is>
      </c>
      <c r="I4060" s="9" t="n">
        <v>1</v>
      </c>
      <c r="J4060" s="9" t="inlineStr">
        <is>
          <t>cnt</t>
        </is>
      </c>
      <c r="K4060" s="9" t="n">
        <v>306.59</v>
      </c>
    </row>
    <row r="4061" ht="15" customFormat="1" customHeight="1" s="5">
      <c r="A4061" s="81" t="n">
        <v>45688</v>
      </c>
      <c r="B4061" s="82" t="n">
        <v>0.7263888888888889</v>
      </c>
      <c r="C4061" s="5" t="inlineStr">
        <is>
          <t>Xero</t>
        </is>
      </c>
      <c r="D4061" s="5" t="n">
        <v>1</v>
      </c>
      <c r="F4061" s="16" t="n">
        <v>7618067</v>
      </c>
      <c r="G4061" s="10" t="n"/>
      <c r="H4061" s="9" t="inlineStr">
        <is>
          <t>Xero Forza Runner shoe, women's size 9</t>
        </is>
      </c>
      <c r="I4061" s="9" t="n"/>
      <c r="J4061" s="9" t="n"/>
      <c r="K4061" s="9" t="n">
        <v>51.99</v>
      </c>
    </row>
    <row r="4062" ht="15" customFormat="1" customHeight="1" s="5">
      <c r="A4062" s="81" t="n">
        <v>45688</v>
      </c>
      <c r="B4062" s="82" t="n">
        <v>0.7263888888888889</v>
      </c>
      <c r="C4062" s="5" t="inlineStr">
        <is>
          <t>Xero</t>
        </is>
      </c>
      <c r="D4062" s="5" t="n">
        <v>1</v>
      </c>
      <c r="F4062" s="16" t="n">
        <v>7618067</v>
      </c>
      <c r="G4062" s="10" t="n"/>
      <c r="H4062" s="9" t="inlineStr">
        <is>
          <t>Shipping</t>
        </is>
      </c>
      <c r="I4062" s="9" t="n"/>
      <c r="J4062" s="9" t="n"/>
      <c r="K4062" s="9" t="n">
        <v>4.99</v>
      </c>
    </row>
    <row r="4063" ht="15" customFormat="1" customHeight="1" s="5">
      <c r="A4063" s="81" t="n">
        <v>45688</v>
      </c>
      <c r="B4063" s="82" t="n">
        <v>0.7263888888888889</v>
      </c>
      <c r="C4063" s="5" t="inlineStr">
        <is>
          <t>Xero</t>
        </is>
      </c>
      <c r="D4063" s="5" t="n">
        <v>1</v>
      </c>
      <c r="F4063" s="16" t="n">
        <v>7618067</v>
      </c>
      <c r="G4063" s="10" t="n"/>
      <c r="H4063" s="9" t="inlineStr">
        <is>
          <t>Tax</t>
        </is>
      </c>
      <c r="I4063" s="9" t="n"/>
      <c r="J4063" s="9" t="n"/>
      <c r="K4063" s="9" t="n">
        <v>2.7</v>
      </c>
    </row>
    <row r="4064" ht="15" customFormat="1" customHeight="1" s="5">
      <c r="A4064" s="81" t="n">
        <v>45688</v>
      </c>
      <c r="B4064" s="82" t="n">
        <v>0.2916666666666667</v>
      </c>
      <c r="C4064" s="5" t="inlineStr">
        <is>
          <t>Amazon</t>
        </is>
      </c>
      <c r="D4064" s="5" t="n">
        <v>1</v>
      </c>
      <c r="F4064" s="6" t="inlineStr">
        <is>
          <t>D01-9216650-7811461</t>
        </is>
      </c>
      <c r="G4064" s="10" t="n"/>
      <c r="H4064" s="9" t="inlineStr">
        <is>
          <t>Amazon Prime*Z72B94KD2 Amzn.com/bill WA/</t>
        </is>
      </c>
      <c r="I4064" s="9" t="n">
        <v>1</v>
      </c>
      <c r="J4064" s="9" t="inlineStr">
        <is>
          <t>cnt</t>
        </is>
      </c>
      <c r="K4064" s="9" t="n">
        <v>8.029999999999999</v>
      </c>
    </row>
    <row r="4065" ht="15" customFormat="1" customHeight="1" s="5">
      <c r="A4065" s="89" t="n">
        <v>45688</v>
      </c>
      <c r="B4065" s="82" t="n">
        <v>0.2916666666666667</v>
      </c>
      <c r="C4065" s="5" t="inlineStr">
        <is>
          <t>US Tax Witholding</t>
        </is>
      </c>
      <c r="D4065" s="5" t="n">
        <v>1</v>
      </c>
      <c r="F4065" s="6" t="inlineStr">
        <is>
          <t>GM_Paycheck_049</t>
        </is>
      </c>
      <c r="G4065" s="7" t="n"/>
      <c r="H4065" s="9" t="inlineStr">
        <is>
          <t>Tax Deductions: Federal Witholding Tax</t>
        </is>
      </c>
      <c r="K4065" s="5" t="n">
        <v>467.98</v>
      </c>
    </row>
    <row r="4066" ht="15" customFormat="1" customHeight="1" s="5">
      <c r="A4066" s="89" t="n">
        <v>45688</v>
      </c>
      <c r="B4066" s="82" t="n">
        <v>0.2916666666666667</v>
      </c>
      <c r="C4066" s="5" t="inlineStr">
        <is>
          <t>US Tax Witholding</t>
        </is>
      </c>
      <c r="D4066" s="5" t="n">
        <v>1</v>
      </c>
      <c r="F4066" s="6" t="inlineStr">
        <is>
          <t>GM_Paycheck_049</t>
        </is>
      </c>
      <c r="G4066" s="7" t="n"/>
      <c r="H4066" s="9" t="inlineStr">
        <is>
          <t>EE Social Security Tax</t>
        </is>
      </c>
      <c r="K4066" s="5" t="n">
        <v>253.84</v>
      </c>
    </row>
    <row r="4067" ht="15" customFormat="1" customHeight="1" s="5">
      <c r="A4067" s="89" t="n">
        <v>45688</v>
      </c>
      <c r="B4067" s="82" t="n">
        <v>0.2916666666666667</v>
      </c>
      <c r="C4067" s="5" t="inlineStr">
        <is>
          <t>US Tax Witholding</t>
        </is>
      </c>
      <c r="D4067" s="5" t="n">
        <v>1</v>
      </c>
      <c r="F4067" s="6" t="inlineStr">
        <is>
          <t>GM_Paycheck_049</t>
        </is>
      </c>
      <c r="G4067" s="7" t="n"/>
      <c r="H4067" s="9" t="inlineStr">
        <is>
          <t>EE Medicare Tax</t>
        </is>
      </c>
      <c r="K4067" s="5" t="n">
        <v>59.36</v>
      </c>
    </row>
    <row r="4068" ht="15" customFormat="1" customHeight="1" s="5">
      <c r="A4068" s="89" t="n">
        <v>45688</v>
      </c>
      <c r="B4068" s="82" t="n">
        <v>0.2916666666666667</v>
      </c>
      <c r="C4068" s="5" t="inlineStr">
        <is>
          <t>NFCU</t>
        </is>
      </c>
      <c r="D4068" s="5" t="n">
        <v>1</v>
      </c>
      <c r="F4068" s="6" t="inlineStr">
        <is>
          <t>GM_Paycheck_049</t>
        </is>
      </c>
      <c r="G4068" s="17" t="inlineStr">
        <is>
          <t>245074974</t>
        </is>
      </c>
      <c r="H4068" s="9" t="inlineStr">
        <is>
          <t>NFCU Direct Deposit</t>
        </is>
      </c>
      <c r="K4068" s="5" t="n">
        <v>237.33</v>
      </c>
    </row>
    <row r="4069" ht="15" customFormat="1" customHeight="1" s="5">
      <c r="A4069" s="89" t="n">
        <v>45688</v>
      </c>
      <c r="B4069" s="82" t="n">
        <v>0.2916666666666667</v>
      </c>
      <c r="C4069" s="5" t="inlineStr">
        <is>
          <t>GM</t>
        </is>
      </c>
      <c r="D4069" s="5" t="n">
        <v>1</v>
      </c>
      <c r="F4069" s="6" t="inlineStr">
        <is>
          <t>GM_Paycheck_049</t>
        </is>
      </c>
      <c r="G4069" s="7" t="n"/>
      <c r="H4069" s="9" t="inlineStr">
        <is>
          <t>Deposit Offset [Jan 16 - Jan 31]</t>
        </is>
      </c>
      <c r="K4069" s="5" t="n">
        <v>-2373.27</v>
      </c>
    </row>
    <row r="4070" ht="15" customFormat="1" customHeight="1" s="5">
      <c r="A4070" s="89" t="n">
        <v>45688</v>
      </c>
      <c r="B4070" s="82" t="n">
        <v>0.2916666666666667</v>
      </c>
      <c r="C4070" s="5" t="inlineStr">
        <is>
          <t>GM</t>
        </is>
      </c>
      <c r="D4070" s="5" t="n">
        <v>1</v>
      </c>
      <c r="F4070" s="6" t="inlineStr">
        <is>
          <t>GM_Paycheck_049</t>
        </is>
      </c>
      <c r="G4070" s="7" t="n"/>
      <c r="H4070" s="9" t="inlineStr">
        <is>
          <t>Gross Paycheck [Jan 16 - Jan 31]</t>
        </is>
      </c>
      <c r="K4070" s="5" t="n">
        <v>-3751.88</v>
      </c>
    </row>
    <row r="4071" ht="15" customFormat="1" customHeight="1" s="5">
      <c r="A4071" s="89" t="n">
        <v>45688</v>
      </c>
      <c r="B4071" s="82" t="n">
        <v>0.2916666666666667</v>
      </c>
      <c r="C4071" s="5" t="inlineStr">
        <is>
          <t>Fidelity</t>
        </is>
      </c>
      <c r="D4071" s="5" t="n">
        <v>1</v>
      </c>
      <c r="F4071" s="6" t="inlineStr">
        <is>
          <t>GM_Paycheck_049</t>
        </is>
      </c>
      <c r="G4071" s="7" t="n"/>
      <c r="H4071" s="9" t="inlineStr">
        <is>
          <t>RSP Roth Basic</t>
        </is>
      </c>
      <c r="K4071" s="5" t="n">
        <v>225.11</v>
      </c>
    </row>
    <row r="4072" ht="15" customFormat="1" customHeight="1" s="5">
      <c r="A4072" s="89" t="n">
        <v>45688</v>
      </c>
      <c r="B4072" s="82" t="n">
        <v>0.2916666666666667</v>
      </c>
      <c r="C4072" s="5" t="inlineStr">
        <is>
          <t>CO Tax Witholding</t>
        </is>
      </c>
      <c r="D4072" s="5" t="n">
        <v>1</v>
      </c>
      <c r="F4072" s="6" t="inlineStr">
        <is>
          <t>GM_Paycheck_049</t>
        </is>
      </c>
      <c r="G4072" s="7" t="n"/>
      <c r="H4072" s="9" t="inlineStr">
        <is>
          <t>Tax Deductions: Colorado Withholding Tax</t>
        </is>
      </c>
      <c r="K4072" s="5" t="n">
        <v>171</v>
      </c>
    </row>
    <row r="4073" ht="15" customFormat="1" customHeight="1" s="5">
      <c r="A4073" s="89" t="n">
        <v>45688</v>
      </c>
      <c r="B4073" s="82" t="n">
        <v>0.2916666666666667</v>
      </c>
      <c r="C4073" s="5" t="inlineStr">
        <is>
          <t>CO Tax Witholding</t>
        </is>
      </c>
      <c r="D4073" s="5" t="n">
        <v>1</v>
      </c>
      <c r="F4073" s="6" t="inlineStr">
        <is>
          <t>GM_Paycheck_049</t>
        </is>
      </c>
      <c r="G4073" s="7" t="n"/>
      <c r="H4073" s="9" t="inlineStr">
        <is>
          <t>EE PFML TAX STATE</t>
        </is>
      </c>
      <c r="K4073" s="5" t="n">
        <v>18.42</v>
      </c>
    </row>
    <row r="4074" ht="15" customFormat="1" customHeight="1" s="5">
      <c r="A4074" s="89" t="n">
        <v>45688</v>
      </c>
      <c r="B4074" s="82" t="n">
        <v>0.2916666666666667</v>
      </c>
      <c r="C4074" s="5" t="inlineStr">
        <is>
          <t>CIT</t>
        </is>
      </c>
      <c r="D4074" s="5" t="n">
        <v>1</v>
      </c>
      <c r="F4074" s="6" t="inlineStr">
        <is>
          <t>GM_Paycheck_049</t>
        </is>
      </c>
      <c r="G4074" s="17" t="inlineStr">
        <is>
          <t>124084834</t>
        </is>
      </c>
      <c r="H4074" s="9" t="inlineStr">
        <is>
          <t>CIT Direct Deposit</t>
        </is>
      </c>
      <c r="K4074" s="5" t="n">
        <v>2135.94</v>
      </c>
    </row>
    <row r="4075" ht="15" customFormat="1" customHeight="1" s="5">
      <c r="A4075" s="89" t="n">
        <v>45688</v>
      </c>
      <c r="B4075" s="82" t="n">
        <v>0.2916666666666667</v>
      </c>
      <c r="C4075" s="5" t="inlineStr">
        <is>
          <t>BcBs</t>
        </is>
      </c>
      <c r="D4075" s="5" t="n">
        <v>1</v>
      </c>
      <c r="F4075" s="6" t="inlineStr">
        <is>
          <t>GM_Paycheck_049</t>
        </is>
      </c>
      <c r="G4075" s="7" t="n"/>
      <c r="H4075" s="9" t="inlineStr">
        <is>
          <t>Health Care (minus vision) — $130/mo</t>
        </is>
      </c>
      <c r="K4075" s="5" t="n">
        <v>65</v>
      </c>
    </row>
    <row r="4076" ht="15" customFormat="1" customHeight="1" s="5">
      <c r="A4076" s="89" t="n">
        <v>45688</v>
      </c>
      <c r="B4076" s="82" t="n">
        <v>0.2916666666666667</v>
      </c>
      <c r="C4076" s="5" t="inlineStr">
        <is>
          <t>BcBs</t>
        </is>
      </c>
      <c r="D4076" s="5" t="n">
        <v>1</v>
      </c>
      <c r="F4076" s="6" t="inlineStr">
        <is>
          <t>GM_Paycheck_049</t>
        </is>
      </c>
      <c r="G4076" s="7" t="n"/>
      <c r="H4076" s="9" t="inlineStr">
        <is>
          <t>Vision Insurance ($14.98/mo)</t>
        </is>
      </c>
      <c r="K4076" s="5" t="n">
        <v>7.49</v>
      </c>
    </row>
    <row r="4077" ht="15" customFormat="1" customHeight="1" s="5">
      <c r="A4077" s="89" t="n">
        <v>45688</v>
      </c>
      <c r="B4077" s="82" t="n">
        <v>0.2916666666666667</v>
      </c>
      <c r="C4077" s="5" t="inlineStr">
        <is>
          <t>Bank of America</t>
        </is>
      </c>
      <c r="D4077" s="5" t="n">
        <v>1</v>
      </c>
      <c r="F4077" s="6" t="inlineStr">
        <is>
          <t>GM_Paycheck_049</t>
        </is>
      </c>
      <c r="G4077" s="7" t="n"/>
      <c r="H4077" s="9" t="inlineStr">
        <is>
          <t>Health Savings ACCT</t>
        </is>
      </c>
      <c r="K4077" s="5" t="n">
        <v>110.41</v>
      </c>
    </row>
    <row r="4078" ht="15" customFormat="1" customHeight="1" s="5">
      <c r="A4078" s="81" t="n">
        <v>45687</v>
      </c>
      <c r="B4078" s="82" t="n">
        <v>0.2803935185185185</v>
      </c>
      <c r="C4078" s="5" t="inlineStr">
        <is>
          <t>Venmo</t>
        </is>
      </c>
      <c r="D4078" s="5" t="n">
        <v>1</v>
      </c>
      <c r="F4078" s="6" t="inlineStr">
        <is>
          <t>4257022480634754381</t>
        </is>
      </c>
      <c r="G4078" s="10" t="n"/>
      <c r="H4078" s="9" t="inlineStr">
        <is>
          <t>Ellie Richards: Coffee "Thinking of You"</t>
        </is>
      </c>
      <c r="I4078" s="9" t="n">
        <v>1</v>
      </c>
      <c r="J4078" s="9" t="inlineStr">
        <is>
          <t>cnt</t>
        </is>
      </c>
      <c r="K4078" s="9" t="n">
        <v>8</v>
      </c>
    </row>
    <row r="4079" ht="15" customFormat="1" customHeight="1" s="5">
      <c r="A4079" s="81" t="n">
        <v>45686</v>
      </c>
      <c r="B4079" s="82" t="n">
        <v>0.7999652777777778</v>
      </c>
      <c r="C4079" s="5" t="inlineStr">
        <is>
          <t>J's Noodles and New Thai</t>
        </is>
      </c>
      <c r="E4079" s="5" t="n">
        <v>1</v>
      </c>
      <c r="F4079" s="6" t="inlineStr">
        <is>
          <t>1 5 1 20M</t>
        </is>
      </c>
      <c r="G4079" s="10" t="n"/>
      <c r="H4079" s="9" t="inlineStr">
        <is>
          <t>Curry Pad Thai - Chicken - Medium Spice</t>
        </is>
      </c>
      <c r="I4079" s="9" t="n"/>
      <c r="J4079" s="9" t="n"/>
      <c r="K4079" s="9" t="n">
        <v>14.95</v>
      </c>
    </row>
    <row r="4080" ht="15" customFormat="1" customHeight="1" s="5">
      <c r="A4080" s="81" t="n">
        <v>45686</v>
      </c>
      <c r="B4080" s="82" t="n">
        <v>0.7999652777777778</v>
      </c>
      <c r="C4080" s="5" t="inlineStr">
        <is>
          <t>J's Noodles and New Thai</t>
        </is>
      </c>
      <c r="E4080" s="5" t="n">
        <v>1</v>
      </c>
      <c r="F4080" s="6" t="inlineStr">
        <is>
          <t>1 5 1 20M</t>
        </is>
      </c>
      <c r="G4080" s="10" t="n"/>
      <c r="H4080" s="9" t="inlineStr">
        <is>
          <t>Pad Prik Now - Chicken - Mild Spice</t>
        </is>
      </c>
      <c r="I4080" s="9" t="n"/>
      <c r="J4080" s="9" t="n"/>
      <c r="K4080" s="9" t="n">
        <v>12.95</v>
      </c>
    </row>
    <row r="4081" ht="15" customFormat="1" customHeight="1" s="5">
      <c r="A4081" s="81" t="n">
        <v>45686</v>
      </c>
      <c r="B4081" s="82" t="n">
        <v>0.7999652777777778</v>
      </c>
      <c r="C4081" s="5" t="inlineStr">
        <is>
          <t>J's Noodles and New Thai</t>
        </is>
      </c>
      <c r="E4081" s="5" t="n">
        <v>1</v>
      </c>
      <c r="F4081" s="6" t="inlineStr">
        <is>
          <t>1 5 1 20M</t>
        </is>
      </c>
      <c r="G4081" s="10" t="n"/>
      <c r="H4081" s="9" t="inlineStr">
        <is>
          <t>PPN: Add Eggplant</t>
        </is>
      </c>
      <c r="I4081" s="9" t="n"/>
      <c r="J4081" s="9" t="n"/>
      <c r="K4081" s="9" t="n">
        <v>3</v>
      </c>
    </row>
    <row r="4082" ht="15" customFormat="1" customHeight="1" s="5">
      <c r="A4082" s="81" t="n">
        <v>45686</v>
      </c>
      <c r="B4082" s="82" t="n">
        <v>0.7999652777777778</v>
      </c>
      <c r="C4082" s="5" t="inlineStr">
        <is>
          <t>J's Noodles and New Thai</t>
        </is>
      </c>
      <c r="E4082" s="5" t="n">
        <v>1</v>
      </c>
      <c r="F4082" s="6" t="inlineStr">
        <is>
          <t>1 5 1 20M</t>
        </is>
      </c>
      <c r="G4082" s="10" t="n"/>
      <c r="H4082" s="9" t="inlineStr">
        <is>
          <t>Tax</t>
        </is>
      </c>
      <c r="I4082" s="9" t="n"/>
      <c r="J4082" s="9" t="n"/>
      <c r="K4082" s="9" t="n">
        <v>1.35</v>
      </c>
    </row>
    <row r="4083" ht="15" customFormat="1" customHeight="1" s="5">
      <c r="A4083" s="81" t="n">
        <v>45686</v>
      </c>
      <c r="B4083" s="82" t="n">
        <v>0.2916666666666667</v>
      </c>
      <c r="C4083" s="5" t="inlineStr">
        <is>
          <t>Bright Horizons</t>
        </is>
      </c>
      <c r="D4083" s="5" t="n">
        <v>1</v>
      </c>
      <c r="F4083" s="6" t="n"/>
      <c r="G4083" s="10" t="n"/>
      <c r="H4083" s="9" t="inlineStr">
        <is>
          <t>Bright Horizons Edi Payments NFCU</t>
        </is>
      </c>
      <c r="I4083" s="9" t="n">
        <v>1</v>
      </c>
      <c r="J4083" s="9" t="inlineStr">
        <is>
          <t>cnt</t>
        </is>
      </c>
      <c r="K4083" s="9" t="n">
        <v>-59.67</v>
      </c>
    </row>
    <row r="4084" ht="15" customFormat="1" customHeight="1" s="5">
      <c r="A4084" s="81" t="n">
        <v>45684</v>
      </c>
      <c r="B4084" s="82" t="n">
        <v>0.6305555555555555</v>
      </c>
      <c r="C4084" s="5" t="inlineStr">
        <is>
          <t>Costco</t>
        </is>
      </c>
      <c r="E4084" s="5" t="n">
        <v>1</v>
      </c>
      <c r="F4084" s="6" t="inlineStr">
        <is>
          <t>650 5 377 677</t>
        </is>
      </c>
      <c r="G4084" s="10" t="inlineStr">
        <is>
          <t>E 1528787</t>
        </is>
      </c>
      <c r="H4084" s="9" t="inlineStr">
        <is>
          <t>KS French Roast Coffee: Whole Bean Rich Smooth Deep Dark Enveritas</t>
        </is>
      </c>
      <c r="I4084" s="9" t="n">
        <v>2.5</v>
      </c>
      <c r="J4084" s="9" t="inlineStr">
        <is>
          <t>lb</t>
        </is>
      </c>
      <c r="K4084" s="9" t="n">
        <v>13.99</v>
      </c>
    </row>
    <row r="4085" ht="15" customFormat="1" customHeight="1" s="5">
      <c r="A4085" s="81" t="n">
        <v>45684</v>
      </c>
      <c r="B4085" s="82" t="n">
        <v>0.6305555555555555</v>
      </c>
      <c r="C4085" s="5" t="inlineStr">
        <is>
          <t>Costco</t>
        </is>
      </c>
      <c r="E4085" s="5" t="n">
        <v>1</v>
      </c>
      <c r="F4085" s="6" t="inlineStr">
        <is>
          <t>650 5 377 677</t>
        </is>
      </c>
      <c r="G4085" s="10" t="inlineStr">
        <is>
          <t>E 28978</t>
        </is>
      </c>
      <c r="H4085" s="9" t="inlineStr">
        <is>
          <t>MTN HIGH YOGURT</t>
        </is>
      </c>
      <c r="I4085" s="9" t="n">
        <v>64</v>
      </c>
      <c r="J4085" s="9" t="inlineStr">
        <is>
          <t>oz</t>
        </is>
      </c>
      <c r="K4085" s="9" t="n">
        <v>5.69</v>
      </c>
    </row>
    <row r="4086" ht="15" customFormat="1" customHeight="1" s="5">
      <c r="A4086" s="81" t="n">
        <v>45684</v>
      </c>
      <c r="B4086" s="82" t="n">
        <v>0.6305555555555555</v>
      </c>
      <c r="C4086" s="5" t="inlineStr">
        <is>
          <t>Costco</t>
        </is>
      </c>
      <c r="E4086" s="5" t="n">
        <v>1</v>
      </c>
      <c r="F4086" s="6" t="inlineStr">
        <is>
          <t>650 5 377 677</t>
        </is>
      </c>
      <c r="G4086" s="10" t="inlineStr">
        <is>
          <t>E 1597590</t>
        </is>
      </c>
      <c r="H4086" s="9" t="inlineStr">
        <is>
          <t>Beef Marrow Bones Swift</t>
        </is>
      </c>
      <c r="I4086" s="9" t="n">
        <v>4</v>
      </c>
      <c r="J4086" s="9" t="inlineStr">
        <is>
          <t>lb</t>
        </is>
      </c>
      <c r="K4086" s="9" t="n">
        <v>12.99</v>
      </c>
    </row>
    <row r="4087" ht="15" customFormat="1" customHeight="1" s="5">
      <c r="A4087" s="81" t="n">
        <v>45684</v>
      </c>
      <c r="B4087" s="82" t="n">
        <v>0.5909722222222222</v>
      </c>
      <c r="C4087" s="5" t="inlineStr">
        <is>
          <t>Costco</t>
        </is>
      </c>
      <c r="E4087" s="5" t="n">
        <v>1</v>
      </c>
      <c r="F4087" s="6" t="inlineStr">
        <is>
          <t>439 122 66 604</t>
        </is>
      </c>
      <c r="G4087" s="10" t="inlineStr">
        <is>
          <t>E 1528787</t>
        </is>
      </c>
      <c r="H4087" s="9" t="inlineStr">
        <is>
          <t>**RETURNED** KS French Roast Coffee: Whole Bean Rich Smooth Deep Dark Enveritas</t>
        </is>
      </c>
      <c r="I4087" s="9" t="n">
        <v>2.5</v>
      </c>
      <c r="J4087" s="9" t="inlineStr">
        <is>
          <t>lb</t>
        </is>
      </c>
      <c r="K4087" s="9" t="n">
        <v>-13.99</v>
      </c>
    </row>
    <row r="4088" ht="15" customFormat="1" customHeight="1" s="5">
      <c r="A4088" s="81" t="n">
        <v>45684</v>
      </c>
      <c r="B4088" s="82" t="n">
        <v>0.5888888888888889</v>
      </c>
      <c r="C4088" s="5" t="inlineStr">
        <is>
          <t>Costco</t>
        </is>
      </c>
      <c r="E4088" s="5" t="n">
        <v>1</v>
      </c>
      <c r="F4088" s="6" t="inlineStr">
        <is>
          <t>439 203 100 703</t>
        </is>
      </c>
      <c r="G4088" s="10" t="inlineStr">
        <is>
          <t>'0000346619</t>
        </is>
      </c>
      <c r="H4088" s="9" t="inlineStr">
        <is>
          <t>**DISCOUNT** /1332345 Natural Calm Powder</t>
        </is>
      </c>
      <c r="I4088" s="9" t="n">
        <v>20</v>
      </c>
      <c r="J4088" s="9" t="inlineStr">
        <is>
          <t>oz</t>
        </is>
      </c>
      <c r="K4088" s="9" t="inlineStr">
        <is>
          <t>5.0-A</t>
        </is>
      </c>
    </row>
    <row r="4089" ht="15" customFormat="1" customHeight="1" s="5">
      <c r="A4089" s="81" t="n">
        <v>45684</v>
      </c>
      <c r="B4089" s="82" t="n">
        <v>0.5888888888888889</v>
      </c>
      <c r="C4089" s="5" t="inlineStr">
        <is>
          <t>Costco</t>
        </is>
      </c>
      <c r="E4089" s="5" t="n">
        <v>1</v>
      </c>
      <c r="F4089" s="6" t="inlineStr">
        <is>
          <t>439 203 100 703</t>
        </is>
      </c>
      <c r="G4089" s="15" t="inlineStr">
        <is>
          <t>1332345</t>
        </is>
      </c>
      <c r="H4089" s="9" t="inlineStr">
        <is>
          <t>NATURAL CALM Magnesium Citrate Supplement</t>
        </is>
      </c>
      <c r="I4089" s="9" t="n">
        <v>20</v>
      </c>
      <c r="J4089" s="9" t="inlineStr">
        <is>
          <t>oz</t>
        </is>
      </c>
      <c r="K4089" s="9" t="inlineStr">
        <is>
          <t>24.99 A</t>
        </is>
      </c>
    </row>
    <row r="4090" ht="15" customFormat="1" customHeight="1" s="5">
      <c r="A4090" s="81" t="n">
        <v>45684</v>
      </c>
      <c r="B4090" s="82" t="n">
        <v>0.5888888888888889</v>
      </c>
      <c r="C4090" s="5" t="inlineStr">
        <is>
          <t>Costco</t>
        </is>
      </c>
      <c r="E4090" s="5" t="n">
        <v>1</v>
      </c>
      <c r="F4090" s="6" t="inlineStr">
        <is>
          <t>439 203 100 703</t>
        </is>
      </c>
      <c r="G4090" s="10" t="inlineStr">
        <is>
          <t>E 0000346692</t>
        </is>
      </c>
      <c r="H4090" s="9" t="inlineStr">
        <is>
          <t>**DISCOUNT** /1793017 Kimchi</t>
        </is>
      </c>
      <c r="I4090" s="9" t="n">
        <v>52.9</v>
      </c>
      <c r="J4090" s="9" t="inlineStr">
        <is>
          <t>oz</t>
        </is>
      </c>
      <c r="K4090" s="9" t="inlineStr">
        <is>
          <t>2.5-</t>
        </is>
      </c>
    </row>
    <row r="4091" ht="15" customFormat="1" customHeight="1" s="5">
      <c r="A4091" s="81" t="n">
        <v>45684</v>
      </c>
      <c r="B4091" s="82" t="n">
        <v>0.5888888888888889</v>
      </c>
      <c r="C4091" s="5" t="inlineStr">
        <is>
          <t>Costco</t>
        </is>
      </c>
      <c r="E4091" s="5" t="n">
        <v>1</v>
      </c>
      <c r="F4091" s="6" t="inlineStr">
        <is>
          <t>439 203 100 703</t>
        </is>
      </c>
      <c r="G4091" s="10" t="inlineStr">
        <is>
          <t>E 118677</t>
        </is>
      </c>
      <c r="H4091" s="9" t="inlineStr">
        <is>
          <t>Morsels Tollhouse Semi-Sweet Chocolate Chips</t>
        </is>
      </c>
      <c r="I4091" s="9" t="n">
        <v>72</v>
      </c>
      <c r="J4091" s="9" t="inlineStr">
        <is>
          <t>oz</t>
        </is>
      </c>
      <c r="K4091" s="9" t="inlineStr">
        <is>
          <t>13.99 EF</t>
        </is>
      </c>
    </row>
    <row r="4092" ht="15" customFormat="1" customHeight="1" s="5">
      <c r="A4092" s="81" t="n">
        <v>45684</v>
      </c>
      <c r="B4092" s="82" t="n">
        <v>0.5888888888888889</v>
      </c>
      <c r="C4092" s="5" t="inlineStr">
        <is>
          <t>Costco</t>
        </is>
      </c>
      <c r="E4092" s="5" t="n">
        <v>1</v>
      </c>
      <c r="F4092" s="6" t="inlineStr">
        <is>
          <t>439 203 100 703</t>
        </is>
      </c>
      <c r="G4092" s="10" t="inlineStr">
        <is>
          <t>E 1528787</t>
        </is>
      </c>
      <c r="H4092" s="9" t="inlineStr">
        <is>
          <t>KS French Roast Coffee: Whole Bean Rich Smooth Deep Dark Enveritas</t>
        </is>
      </c>
      <c r="I4092" s="9" t="n">
        <v>2.5</v>
      </c>
      <c r="J4092" s="9" t="inlineStr">
        <is>
          <t>lb</t>
        </is>
      </c>
      <c r="K4092" s="9" t="n">
        <v>13.99</v>
      </c>
    </row>
    <row r="4093" ht="15" customFormat="1" customHeight="1" s="5">
      <c r="A4093" s="81" t="n">
        <v>45684</v>
      </c>
      <c r="B4093" s="82" t="n">
        <v>0.5888888888888889</v>
      </c>
      <c r="C4093" s="5" t="inlineStr">
        <is>
          <t>Costco</t>
        </is>
      </c>
      <c r="E4093" s="5" t="n">
        <v>1</v>
      </c>
      <c r="F4093" s="6" t="inlineStr">
        <is>
          <t>439 203 100 703</t>
        </is>
      </c>
      <c r="G4093" s="10" t="inlineStr">
        <is>
          <t>E 1335089</t>
        </is>
      </c>
      <c r="H4093" s="9" t="inlineStr">
        <is>
          <t>Bagels: 12 plain</t>
        </is>
      </c>
      <c r="I4093" s="9" t="n">
        <v>3</v>
      </c>
      <c r="J4093" s="9" t="inlineStr">
        <is>
          <t>lb</t>
        </is>
      </c>
      <c r="K4093" s="9" t="n">
        <v>7.99</v>
      </c>
    </row>
    <row r="4094" ht="15" customFormat="1" customHeight="1" s="5">
      <c r="A4094" s="81" t="n">
        <v>45684</v>
      </c>
      <c r="B4094" s="82" t="n">
        <v>0.5888888888888889</v>
      </c>
      <c r="C4094" s="5" t="inlineStr">
        <is>
          <t>Costco</t>
        </is>
      </c>
      <c r="E4094" s="5" t="n">
        <v>1</v>
      </c>
      <c r="F4094" s="6" t="inlineStr">
        <is>
          <t>439 203 100 703</t>
        </is>
      </c>
      <c r="G4094" s="10" t="inlineStr">
        <is>
          <t>E 1793017</t>
        </is>
      </c>
      <c r="H4094" s="9" t="inlineStr">
        <is>
          <t>Kimchi Jongga</t>
        </is>
      </c>
      <c r="I4094" s="9" t="n">
        <v>52.9</v>
      </c>
      <c r="J4094" s="9" t="inlineStr">
        <is>
          <t>oz</t>
        </is>
      </c>
      <c r="K4094" s="9" t="n">
        <v>7.99</v>
      </c>
    </row>
    <row r="4095" ht="15" customFormat="1" customHeight="1" s="5">
      <c r="A4095" s="81" t="n">
        <v>45684</v>
      </c>
      <c r="B4095" s="82" t="n">
        <v>0.5888888888888889</v>
      </c>
      <c r="C4095" s="5" t="inlineStr">
        <is>
          <t>Costco</t>
        </is>
      </c>
      <c r="E4095" s="5" t="n">
        <v>1</v>
      </c>
      <c r="F4095" s="6" t="inlineStr">
        <is>
          <t>439 203 100 703</t>
        </is>
      </c>
      <c r="G4095" s="10" t="inlineStr">
        <is>
          <t>E 96716</t>
        </is>
      </c>
      <c r="H4095" s="9" t="inlineStr">
        <is>
          <t>Org Spinach</t>
        </is>
      </c>
      <c r="I4095" s="9" t="n">
        <v>16</v>
      </c>
      <c r="J4095" s="9" t="inlineStr">
        <is>
          <t>oz</t>
        </is>
      </c>
      <c r="K4095" s="9" t="n">
        <v>3.89</v>
      </c>
    </row>
    <row r="4096" ht="15" customFormat="1" customHeight="1" s="5">
      <c r="A4096" s="81" t="n">
        <v>45684</v>
      </c>
      <c r="B4096" s="82" t="n">
        <v>0.5888888888888889</v>
      </c>
      <c r="C4096" s="5" t="inlineStr">
        <is>
          <t>Costco</t>
        </is>
      </c>
      <c r="E4096" s="5" t="n">
        <v>1</v>
      </c>
      <c r="F4096" s="6" t="inlineStr">
        <is>
          <t>439 203 100 703</t>
        </is>
      </c>
      <c r="G4096" s="10" t="n"/>
      <c r="H4096" s="9" t="inlineStr">
        <is>
          <t>TAX A 8.00%</t>
        </is>
      </c>
      <c r="I4096" s="9" t="n">
        <v>1</v>
      </c>
      <c r="J4096" s="9" t="inlineStr">
        <is>
          <t>cnt</t>
        </is>
      </c>
      <c r="K4096" s="9" t="n">
        <v>1.6</v>
      </c>
    </row>
    <row r="4097" ht="15" customFormat="1" customHeight="1" s="5">
      <c r="A4097" s="81" t="n">
        <v>45684</v>
      </c>
      <c r="B4097" s="82" t="n">
        <v>0.5888888888888889</v>
      </c>
      <c r="C4097" s="5" t="inlineStr">
        <is>
          <t>Costco</t>
        </is>
      </c>
      <c r="E4097" s="5" t="n">
        <v>1</v>
      </c>
      <c r="F4097" s="6" t="inlineStr">
        <is>
          <t>439 203 100 703</t>
        </is>
      </c>
      <c r="G4097" s="10" t="inlineStr">
        <is>
          <t>E 30669</t>
        </is>
      </c>
      <c r="H4097" s="9" t="inlineStr">
        <is>
          <t>Bananas</t>
        </is>
      </c>
      <c r="I4097" s="9" t="n">
        <v>3</v>
      </c>
      <c r="J4097" s="9" t="inlineStr">
        <is>
          <t>lb</t>
        </is>
      </c>
      <c r="K4097" s="9" t="n">
        <v>1.49</v>
      </c>
    </row>
    <row r="4098" ht="15" customFormat="1" customHeight="1" s="5">
      <c r="A4098" s="81" t="n">
        <v>45684</v>
      </c>
      <c r="B4098" s="82" t="n">
        <v>0.5888888888888889</v>
      </c>
      <c r="C4098" s="5" t="inlineStr">
        <is>
          <t>Costco</t>
        </is>
      </c>
      <c r="E4098" s="5" t="n">
        <v>1</v>
      </c>
      <c r="F4098" s="6" t="inlineStr">
        <is>
          <t>439 203 100 703</t>
        </is>
      </c>
      <c r="G4098" s="10" t="n"/>
      <c r="H4098" s="9" t="inlineStr">
        <is>
          <t>TAX F 4.00%</t>
        </is>
      </c>
      <c r="I4098" s="9" t="n">
        <v>1</v>
      </c>
      <c r="J4098" s="9" t="inlineStr">
        <is>
          <t>cnt</t>
        </is>
      </c>
      <c r="K4098" s="9" t="n">
        <v>0.5600000000000001</v>
      </c>
    </row>
    <row r="4099" ht="15" customFormat="1" customHeight="1" s="5">
      <c r="A4099" s="81" t="n">
        <v>45684</v>
      </c>
      <c r="B4099" s="82" t="n">
        <v>0.5888888888888889</v>
      </c>
      <c r="C4099" s="5" t="inlineStr">
        <is>
          <t>Costco</t>
        </is>
      </c>
      <c r="E4099" s="5" t="n">
        <v>1</v>
      </c>
      <c r="F4099" s="6" t="inlineStr">
        <is>
          <t>439 203 100 703</t>
        </is>
      </c>
      <c r="G4099" s="10" t="n"/>
      <c r="H4099" s="9" t="inlineStr">
        <is>
          <t>TAX E 3.75%</t>
        </is>
      </c>
      <c r="I4099" s="9" t="n">
        <v>1</v>
      </c>
      <c r="J4099" s="9" t="inlineStr">
        <is>
          <t>cnt</t>
        </is>
      </c>
      <c r="K4099" s="9" t="n">
        <v>0.52</v>
      </c>
    </row>
    <row r="4100" ht="15" customFormat="1" customHeight="1" s="5">
      <c r="A4100" s="81" t="n">
        <v>45684</v>
      </c>
      <c r="B4100" s="82" t="n">
        <v>0.4581597222222222</v>
      </c>
      <c r="C4100" s="5" t="inlineStr">
        <is>
          <t>Amazon</t>
        </is>
      </c>
      <c r="D4100" s="5" t="n">
        <v>1</v>
      </c>
      <c r="F4100" s="6" t="inlineStr">
        <is>
          <t>GMCB-250121-1191665</t>
        </is>
      </c>
      <c r="G4100" s="10" t="inlineStr">
        <is>
          <t>6WLY-CUYM3K-V9A3</t>
        </is>
      </c>
      <c r="H4100" s="9" t="inlineStr">
        <is>
          <t>GM Recognition: 28000 points redeemed</t>
        </is>
      </c>
      <c r="I4100" s="9" t="n">
        <v>1</v>
      </c>
      <c r="J4100" s="9" t="inlineStr">
        <is>
          <t>cnt</t>
        </is>
      </c>
      <c r="K4100" s="9" t="n">
        <v>-250</v>
      </c>
    </row>
    <row r="4101" ht="15" customFormat="1" customHeight="1" s="5">
      <c r="A4101" s="81" t="n">
        <v>45684</v>
      </c>
      <c r="B4101" s="82" t="n">
        <v>0.4576388888888889</v>
      </c>
      <c r="C4101" s="5" t="inlineStr">
        <is>
          <t>Amazon</t>
        </is>
      </c>
      <c r="D4101" s="5" t="n">
        <v>1</v>
      </c>
      <c r="F4101" s="6" t="inlineStr">
        <is>
          <t>GMCB-250121-1191665</t>
        </is>
      </c>
      <c r="G4101" s="10" t="inlineStr">
        <is>
          <t>GNDR-8KFCTK-Z3AP</t>
        </is>
      </c>
      <c r="H4101" s="9" t="inlineStr">
        <is>
          <t>GM Recognition: 28000 points redeemed</t>
        </is>
      </c>
      <c r="I4101" s="9" t="n">
        <v>1</v>
      </c>
      <c r="J4101" s="9" t="inlineStr">
        <is>
          <t>cnt</t>
        </is>
      </c>
      <c r="K4101" s="9" t="n">
        <v>-10</v>
      </c>
    </row>
    <row r="4102" ht="15" customFormat="1" customHeight="1" s="5">
      <c r="A4102" s="81" t="n">
        <v>45684</v>
      </c>
      <c r="B4102" s="82" t="n">
        <v>0.4574652777777778</v>
      </c>
      <c r="C4102" s="5" t="inlineStr">
        <is>
          <t>Amazon</t>
        </is>
      </c>
      <c r="D4102" s="5" t="n">
        <v>1</v>
      </c>
      <c r="F4102" s="6" t="inlineStr">
        <is>
          <t>GMCB-250121-1191665</t>
        </is>
      </c>
      <c r="G4102" s="10" t="inlineStr">
        <is>
          <t>H527-9KSUJT-ELA5</t>
        </is>
      </c>
      <c r="H4102" s="9" t="inlineStr">
        <is>
          <t>GM Recognition: 28000 points redeemed</t>
        </is>
      </c>
      <c r="I4102" s="9" t="n">
        <v>1</v>
      </c>
      <c r="J4102" s="9" t="inlineStr">
        <is>
          <t>cnt</t>
        </is>
      </c>
      <c r="K4102" s="9" t="n">
        <v>-10</v>
      </c>
    </row>
    <row r="4103" ht="15" customFormat="1" customHeight="1" s="5">
      <c r="A4103" s="81" t="n">
        <v>45684</v>
      </c>
      <c r="B4103" s="82" t="n">
        <v>0.4569444444444444</v>
      </c>
      <c r="C4103" s="5" t="inlineStr">
        <is>
          <t>Amazon</t>
        </is>
      </c>
      <c r="D4103" s="5" t="n">
        <v>1</v>
      </c>
      <c r="F4103" s="6" t="inlineStr">
        <is>
          <t>GMCB-250121-1191665</t>
        </is>
      </c>
      <c r="G4103" s="15" t="inlineStr">
        <is>
          <t>YASC-EGSCN2-NRAJ</t>
        </is>
      </c>
      <c r="H4103" s="9" t="inlineStr">
        <is>
          <t>GM Recognition: 28000 points redeemed</t>
        </is>
      </c>
      <c r="I4103" s="9" t="n">
        <v>1</v>
      </c>
      <c r="J4103" s="9" t="inlineStr">
        <is>
          <t>cnt</t>
        </is>
      </c>
      <c r="K4103" s="9" t="n">
        <v>-10</v>
      </c>
    </row>
    <row r="4104" ht="15" customFormat="1" customHeight="1" s="5">
      <c r="A4104" s="81" t="n">
        <v>45684</v>
      </c>
      <c r="B4104" s="82" t="n">
        <v>0.4354166666666667</v>
      </c>
      <c r="C4104" s="5" t="inlineStr">
        <is>
          <t>Bank of America</t>
        </is>
      </c>
      <c r="D4104" s="5" t="n">
        <v>1</v>
      </c>
      <c r="F4104" s="6" t="n"/>
      <c r="G4104" s="10" t="n"/>
      <c r="H4104" s="9" t="inlineStr">
        <is>
          <t>Lydia: Glasses Reimbursement from FSA (remainign balance of $419.68)</t>
        </is>
      </c>
      <c r="I4104" s="9" t="n">
        <v>1</v>
      </c>
      <c r="J4104" s="9" t="inlineStr">
        <is>
          <t>cnt</t>
        </is>
      </c>
      <c r="K4104" s="9" t="n">
        <v>-419.68</v>
      </c>
    </row>
    <row r="4105" ht="15" customFormat="1" customHeight="1" s="5">
      <c r="A4105" s="81" t="n">
        <v>45684</v>
      </c>
      <c r="B4105" s="82" t="n">
        <v>0.4333333333333333</v>
      </c>
      <c r="C4105" s="5" t="inlineStr">
        <is>
          <t>Bank of America</t>
        </is>
      </c>
      <c r="D4105" s="5" t="n">
        <v>1</v>
      </c>
      <c r="F4105" s="6" t="n"/>
      <c r="G4105" s="10" t="n"/>
      <c r="H4105" s="9" t="inlineStr">
        <is>
          <t>Eli: Mileage Reimbursement from FSA</t>
        </is>
      </c>
      <c r="I4105" s="9" t="n">
        <v>1</v>
      </c>
      <c r="J4105" s="9" t="inlineStr">
        <is>
          <t>cnt</t>
        </is>
      </c>
      <c r="K4105" s="9" t="n">
        <v>-6.09</v>
      </c>
    </row>
    <row r="4106" ht="15" customFormat="1" customHeight="1" s="5">
      <c r="A4106" s="81" t="n">
        <v>45684</v>
      </c>
      <c r="B4106" s="82" t="n">
        <v>0.4333333333333333</v>
      </c>
      <c r="C4106" s="5" t="inlineStr">
        <is>
          <t>Bank of America</t>
        </is>
      </c>
      <c r="D4106" s="5" t="n">
        <v>1</v>
      </c>
      <c r="F4106" s="6" t="n"/>
      <c r="G4106" s="10" t="n"/>
      <c r="H4106" s="9" t="inlineStr">
        <is>
          <t>Eli: Glasses Reimbursement from FSA</t>
        </is>
      </c>
      <c r="I4106" s="9" t="n">
        <v>1</v>
      </c>
      <c r="J4106" s="9" t="inlineStr">
        <is>
          <t>cnt</t>
        </is>
      </c>
      <c r="K4106" s="9" t="n">
        <v>-186.94</v>
      </c>
    </row>
    <row r="4107" ht="15" customFormat="1" customHeight="1" s="5">
      <c r="A4107" s="81" t="n">
        <v>45682</v>
      </c>
      <c r="B4107" s="82" t="n">
        <v>0.5875</v>
      </c>
      <c r="C4107" s="5" t="inlineStr">
        <is>
          <t>Safeway</t>
        </is>
      </c>
      <c r="E4107" s="5" t="n">
        <v>1</v>
      </c>
      <c r="F4107" s="6" t="inlineStr">
        <is>
          <t>2612 52 12 8852</t>
        </is>
      </c>
      <c r="G4107" s="15" t="inlineStr">
        <is>
          <t>2113050149</t>
        </is>
      </c>
      <c r="H4107" s="9" t="inlineStr">
        <is>
          <t>Sig Bean Soup Mix: Baby Lima Beans, Green Split Peas, Lentils, Navy Beans, Great Northern Beans, Large Lima Beans, Blackeyed Peas, Black Beans, Light Red Kidney Beans, Pink Beans, Pinto Beans, Small Red Beans, Yellow Split Peas, Whole Green Peas, Garbanzo Beans, Small White Beans, Cranberry Beans</t>
        </is>
      </c>
      <c r="I4107" s="9" t="n">
        <v>20</v>
      </c>
      <c r="J4107" s="9" t="inlineStr">
        <is>
          <t>oz</t>
        </is>
      </c>
      <c r="K4107" s="9" t="n">
        <v>3.29</v>
      </c>
    </row>
    <row r="4108" ht="15" customFormat="1" customHeight="1" s="5">
      <c r="A4108" s="81" t="n">
        <v>45682</v>
      </c>
      <c r="B4108" s="82" t="n">
        <v>0.5875</v>
      </c>
      <c r="C4108" s="5" t="inlineStr">
        <is>
          <t>Safeway</t>
        </is>
      </c>
      <c r="E4108" s="5" t="n">
        <v>1</v>
      </c>
      <c r="F4108" s="6" t="inlineStr">
        <is>
          <t>2612 52 12 8852</t>
        </is>
      </c>
      <c r="G4108" s="15" t="inlineStr">
        <is>
          <t>7227313530</t>
        </is>
      </c>
      <c r="H4108" s="9" t="inlineStr">
        <is>
          <t>4 cans of Kuners White Beans Kuners Beans Cannellini - 15 Oz</t>
        </is>
      </c>
      <c r="I4108" s="9" t="n">
        <v>60</v>
      </c>
      <c r="J4108" s="9" t="inlineStr">
        <is>
          <t>oz</t>
        </is>
      </c>
      <c r="K4108" s="9" t="n">
        <v>7.16</v>
      </c>
    </row>
    <row r="4109" ht="15" customFormat="1" customHeight="1" s="5">
      <c r="A4109" s="81" t="n">
        <v>45682</v>
      </c>
      <c r="B4109" s="82" t="n">
        <v>0.5875</v>
      </c>
      <c r="C4109" s="5" t="inlineStr">
        <is>
          <t>Safeway</t>
        </is>
      </c>
      <c r="E4109" s="5" t="n">
        <v>1</v>
      </c>
      <c r="F4109" s="6" t="inlineStr">
        <is>
          <t>2612 52 12 8852</t>
        </is>
      </c>
      <c r="G4109" s="15" t="inlineStr">
        <is>
          <t>2113028498</t>
        </is>
      </c>
      <c r="H4109" s="9" t="inlineStr">
        <is>
          <t>Sig Kale Chopped</t>
        </is>
      </c>
      <c r="I4109" s="9" t="n">
        <v>10</v>
      </c>
      <c r="J4109" s="9" t="inlineStr">
        <is>
          <t>oz</t>
        </is>
      </c>
      <c r="K4109" s="9" t="n">
        <v>3.49</v>
      </c>
    </row>
    <row r="4110" ht="15" customFormat="1" customHeight="1" s="5">
      <c r="A4110" s="81" t="n">
        <v>45682</v>
      </c>
      <c r="B4110" s="82" t="n">
        <v>0.5875</v>
      </c>
      <c r="C4110" s="5" t="inlineStr">
        <is>
          <t>Safeway</t>
        </is>
      </c>
      <c r="E4110" s="5" t="n">
        <v>1</v>
      </c>
      <c r="F4110" s="6" t="inlineStr">
        <is>
          <t>2612 52 12 8852</t>
        </is>
      </c>
      <c r="G4110" s="10" t="n"/>
      <c r="H4110" s="9" t="inlineStr">
        <is>
          <t>Tax</t>
        </is>
      </c>
      <c r="I4110" s="9" t="n">
        <v>6</v>
      </c>
      <c r="J4110" s="9" t="inlineStr">
        <is>
          <t>cnt</t>
        </is>
      </c>
      <c r="K4110" s="9" t="n">
        <v>0</v>
      </c>
    </row>
    <row r="4111" ht="15" customFormat="1" customHeight="1" s="5">
      <c r="A4111" s="81" t="n">
        <v>45682</v>
      </c>
      <c r="B4111" s="82" t="n">
        <v>0.5875</v>
      </c>
      <c r="C4111" s="5" t="inlineStr">
        <is>
          <t>Safeway</t>
        </is>
      </c>
      <c r="E4111" s="5" t="n">
        <v>1</v>
      </c>
      <c r="F4111" s="6" t="inlineStr">
        <is>
          <t>2612 52 12 8852</t>
        </is>
      </c>
      <c r="G4111" s="10" t="n"/>
      <c r="H4111" s="9" t="inlineStr">
        <is>
          <t>**DISCOUNT** Rewards and CashOff</t>
        </is>
      </c>
      <c r="I4111" s="9" t="n">
        <v>10</v>
      </c>
      <c r="J4111" s="9" t="inlineStr">
        <is>
          <t>oz</t>
        </is>
      </c>
      <c r="K4111" s="9" t="n">
        <v>-1</v>
      </c>
    </row>
    <row r="4112" ht="15" customFormat="1" customHeight="1" s="5">
      <c r="A4112" s="81" t="n">
        <v>45682</v>
      </c>
      <c r="B4112" s="82" t="n">
        <v>0.5875</v>
      </c>
      <c r="C4112" s="5" t="inlineStr">
        <is>
          <t>Safeway</t>
        </is>
      </c>
      <c r="E4112" s="5" t="n">
        <v>1</v>
      </c>
      <c r="F4112" s="6" t="inlineStr">
        <is>
          <t>2612 52 12 8852</t>
        </is>
      </c>
      <c r="G4112" s="10" t="n"/>
      <c r="H4112" s="9" t="inlineStr">
        <is>
          <t>**DISCOUNT** Member Savings White Beans</t>
        </is>
      </c>
      <c r="I4112" s="9" t="n">
        <v>60</v>
      </c>
      <c r="J4112" s="9" t="inlineStr">
        <is>
          <t>oz</t>
        </is>
      </c>
      <c r="K4112" s="9" t="n">
        <v>-3.16</v>
      </c>
    </row>
    <row r="4113" ht="15" customFormat="1" customHeight="1" s="5">
      <c r="A4113" s="81" t="n">
        <v>45682</v>
      </c>
      <c r="B4113" s="82" t="n">
        <v>0.5805555555555556</v>
      </c>
      <c r="C4113" s="5" t="inlineStr">
        <is>
          <t>Safeway</t>
        </is>
      </c>
      <c r="E4113" s="5" t="n">
        <v>1</v>
      </c>
      <c r="F4113" s="6" t="inlineStr">
        <is>
          <t>2612 25 36 4425</t>
        </is>
      </c>
      <c r="G4113" s="10" t="inlineStr">
        <is>
          <t>RF</t>
        </is>
      </c>
      <c r="H4113" s="9" t="inlineStr">
        <is>
          <t>**RETURNED** MT Olive Jumbo Kosher Pickle</t>
        </is>
      </c>
      <c r="I4113" s="9" t="n">
        <v>16</v>
      </c>
      <c r="J4113" s="9" t="inlineStr">
        <is>
          <t>fl oz</t>
        </is>
      </c>
      <c r="K4113" s="9" t="n">
        <v>-3.49</v>
      </c>
    </row>
    <row r="4114" ht="15" customFormat="1" customHeight="1" s="5">
      <c r="A4114" s="81" t="n">
        <v>45682</v>
      </c>
      <c r="B4114" s="82" t="n">
        <v>0.5708333333333333</v>
      </c>
      <c r="C4114" s="5" t="inlineStr">
        <is>
          <t>Costco</t>
        </is>
      </c>
      <c r="E4114" s="5" t="n">
        <v>1</v>
      </c>
      <c r="F4114" s="6" t="inlineStr">
        <is>
          <t>439 209 109 709</t>
        </is>
      </c>
      <c r="G4114" s="10" t="inlineStr">
        <is>
          <t>E 7099</t>
        </is>
      </c>
      <c r="H4114" s="9" t="inlineStr">
        <is>
          <t>Organic Pitted Dates Fresh Medjool</t>
        </is>
      </c>
      <c r="I4114" s="9" t="n">
        <v>24</v>
      </c>
      <c r="J4114" s="9" t="inlineStr">
        <is>
          <t>oz</t>
        </is>
      </c>
      <c r="K4114" s="9" t="n">
        <v>11.99</v>
      </c>
    </row>
    <row r="4115" ht="15" customFormat="1" customHeight="1" s="5">
      <c r="A4115" s="81" t="n">
        <v>45682</v>
      </c>
      <c r="B4115" s="82" t="n">
        <v>0.5708333333333333</v>
      </c>
      <c r="C4115" s="5" t="inlineStr">
        <is>
          <t>Costco</t>
        </is>
      </c>
      <c r="E4115" s="5" t="n">
        <v>1</v>
      </c>
      <c r="F4115" s="6" t="inlineStr">
        <is>
          <t>439 209 109 709</t>
        </is>
      </c>
      <c r="G4115" s="10" t="inlineStr">
        <is>
          <t>E 468062</t>
        </is>
      </c>
      <c r="H4115" s="9" t="inlineStr">
        <is>
          <t>Jimmy Dean All Natural Regular Pork Sausage Roll</t>
        </is>
      </c>
      <c r="I4115" s="9" t="n">
        <v>48</v>
      </c>
      <c r="J4115" s="9" t="inlineStr">
        <is>
          <t>oz</t>
        </is>
      </c>
      <c r="K4115" s="9" t="n">
        <v>10.59</v>
      </c>
    </row>
    <row r="4116" ht="15" customFormat="1" customHeight="1" s="5">
      <c r="A4116" s="81" t="n">
        <v>45682</v>
      </c>
      <c r="B4116" s="82" t="n">
        <v>0.5708333333333333</v>
      </c>
      <c r="C4116" s="5" t="inlineStr">
        <is>
          <t>Costco</t>
        </is>
      </c>
      <c r="E4116" s="5" t="n">
        <v>1</v>
      </c>
      <c r="F4116" s="6" t="inlineStr">
        <is>
          <t>439 209 109 709</t>
        </is>
      </c>
      <c r="G4116" s="10" t="inlineStr">
        <is>
          <t>E 1048072</t>
        </is>
      </c>
      <c r="H4116" s="9" t="inlineStr">
        <is>
          <t>Greek Yogurt KS Plain NonFat Yogurt rBST-Free Grade A</t>
        </is>
      </c>
      <c r="I4116" s="9" t="n">
        <v>48</v>
      </c>
      <c r="J4116" s="9" t="inlineStr">
        <is>
          <t>oz</t>
        </is>
      </c>
      <c r="K4116" s="9" t="n">
        <v>6.89</v>
      </c>
    </row>
    <row r="4117" ht="15" customFormat="1" customHeight="1" s="5">
      <c r="A4117" s="81" t="n">
        <v>45682</v>
      </c>
      <c r="B4117" s="82" t="n">
        <v>0.5708333333333333</v>
      </c>
      <c r="C4117" s="5" t="inlineStr">
        <is>
          <t>Costco</t>
        </is>
      </c>
      <c r="E4117" s="5" t="n">
        <v>1</v>
      </c>
      <c r="F4117" s="6" t="inlineStr">
        <is>
          <t>439 209 109 709</t>
        </is>
      </c>
      <c r="G4117" s="10" t="inlineStr">
        <is>
          <t>E 1352</t>
        </is>
      </c>
      <c r="H4117" s="9" t="inlineStr">
        <is>
          <t>Organic Carrots</t>
        </is>
      </c>
      <c r="I4117" s="9" t="n">
        <v>6</v>
      </c>
      <c r="J4117" s="9" t="inlineStr">
        <is>
          <t>lb</t>
        </is>
      </c>
      <c r="K4117" s="9" t="n">
        <v>5.29</v>
      </c>
    </row>
    <row r="4118" ht="15" customFormat="1" customHeight="1" s="5">
      <c r="A4118" s="81" t="n">
        <v>45682</v>
      </c>
      <c r="B4118" s="82" t="n">
        <v>0.5708333333333333</v>
      </c>
      <c r="C4118" s="5" t="inlineStr">
        <is>
          <t>Costco</t>
        </is>
      </c>
      <c r="E4118" s="5" t="n">
        <v>1</v>
      </c>
      <c r="F4118" s="6" t="inlineStr">
        <is>
          <t>439 209 109 709</t>
        </is>
      </c>
      <c r="G4118" s="10" t="n"/>
      <c r="H4118" s="9" t="inlineStr">
        <is>
          <t>TAX</t>
        </is>
      </c>
      <c r="I4118" s="9" t="n">
        <v>6</v>
      </c>
      <c r="J4118" s="9" t="inlineStr">
        <is>
          <t>cnt</t>
        </is>
      </c>
      <c r="K4118" s="9" t="n">
        <v>0</v>
      </c>
    </row>
    <row r="4119" ht="15" customFormat="1" customHeight="1" s="5">
      <c r="A4119" s="81" t="n">
        <v>45682</v>
      </c>
      <c r="B4119" s="82" t="n">
        <v>0.5708333333333333</v>
      </c>
      <c r="C4119" s="5" t="inlineStr">
        <is>
          <t>Costco</t>
        </is>
      </c>
      <c r="E4119" s="5" t="n">
        <v>1</v>
      </c>
      <c r="F4119" s="6" t="inlineStr">
        <is>
          <t>439 209 109 709</t>
        </is>
      </c>
      <c r="G4119" s="10" t="inlineStr">
        <is>
          <t>E 0000346978</t>
        </is>
      </c>
      <c r="H4119" s="9" t="inlineStr">
        <is>
          <t>**DISCOUNT** Dates</t>
        </is>
      </c>
      <c r="I4119" s="9" t="n">
        <v>24</v>
      </c>
      <c r="J4119" s="9" t="inlineStr">
        <is>
          <t>oz</t>
        </is>
      </c>
      <c r="K4119" s="9" t="n">
        <v>-2</v>
      </c>
    </row>
    <row r="4120" ht="15" customFormat="1" customHeight="1" s="5">
      <c r="A4120" s="81" t="n">
        <v>45682</v>
      </c>
      <c r="B4120" s="82" t="n">
        <v>0.5708333333333333</v>
      </c>
      <c r="C4120" s="5" t="inlineStr">
        <is>
          <t>Costco</t>
        </is>
      </c>
      <c r="E4120" s="5" t="n">
        <v>1</v>
      </c>
      <c r="F4120" s="6" t="inlineStr">
        <is>
          <t>439 209 109 709</t>
        </is>
      </c>
      <c r="G4120" s="10" t="inlineStr">
        <is>
          <t>E 468062</t>
        </is>
      </c>
      <c r="H4120" s="9" t="inlineStr">
        <is>
          <t>Jimmy Dean All Natural Regular Pork Sausage Roll</t>
        </is>
      </c>
      <c r="I4120" s="9" t="n">
        <v>48</v>
      </c>
      <c r="J4120" s="9" t="inlineStr">
        <is>
          <t>oz</t>
        </is>
      </c>
      <c r="K4120" s="9" t="n">
        <v>10.59</v>
      </c>
    </row>
    <row r="4121" ht="15" customFormat="1" customHeight="1" s="5">
      <c r="A4121" s="81" t="n">
        <v>45682</v>
      </c>
      <c r="B4121" s="82" t="n">
        <v>0.5708333333333333</v>
      </c>
      <c r="C4121" s="5" t="inlineStr">
        <is>
          <t>Costco</t>
        </is>
      </c>
      <c r="E4121" s="5" t="n">
        <v>1</v>
      </c>
      <c r="F4121" s="6" t="inlineStr">
        <is>
          <t>439 209 109 709</t>
        </is>
      </c>
      <c r="G4121" s="10" t="inlineStr">
        <is>
          <t>E 1199652</t>
        </is>
      </c>
      <c r="H4121" s="9" t="inlineStr">
        <is>
          <t>Butter Croissants, 12 count</t>
        </is>
      </c>
      <c r="I4121" s="9" t="n">
        <v>28</v>
      </c>
      <c r="J4121" s="9" t="inlineStr">
        <is>
          <t>oz</t>
        </is>
      </c>
      <c r="K4121" s="9" t="n">
        <v>5.99</v>
      </c>
    </row>
    <row r="4122" ht="15" customFormat="1" customHeight="1" s="5">
      <c r="A4122" s="81" t="n">
        <v>45681</v>
      </c>
      <c r="B4122" s="82" t="n">
        <v>0.8069444444444445</v>
      </c>
      <c r="C4122" s="5" t="inlineStr">
        <is>
          <t>FedEx</t>
        </is>
      </c>
      <c r="E4122" s="5" t="n">
        <v>1</v>
      </c>
      <c r="F4122" s="6" t="inlineStr">
        <is>
          <t>797145833004</t>
        </is>
      </c>
      <c r="G4122" s="15" t="inlineStr">
        <is>
          <t>2555398</t>
        </is>
      </c>
      <c r="H4122" s="9" t="inlineStr">
        <is>
          <t>2 Laptops, 1 docking station, 1 mouse, 1 cell phone, 1 DP cable, 1 HDMI cable, 1 monitor, 2 power cords</t>
        </is>
      </c>
      <c r="I4122" s="9" t="n">
        <v>9</v>
      </c>
      <c r="J4122" s="9" t="inlineStr">
        <is>
          <t>cnt</t>
        </is>
      </c>
      <c r="K4122" s="9" t="n">
        <v>0</v>
      </c>
    </row>
    <row r="4123" ht="15" customFormat="1" customHeight="1" s="5">
      <c r="A4123" s="81" t="n">
        <v>45681</v>
      </c>
      <c r="B4123" s="82" t="n">
        <v>0.7651736111111112</v>
      </c>
      <c r="C4123" s="5" t="inlineStr">
        <is>
          <t>J's Noodles and New Thai</t>
        </is>
      </c>
      <c r="E4123" s="5" t="n">
        <v>1</v>
      </c>
      <c r="F4123" s="6" t="inlineStr">
        <is>
          <t>1 4 1</t>
        </is>
      </c>
      <c r="G4123" s="10" t="n"/>
      <c r="H4123" s="9" t="inlineStr">
        <is>
          <t>Med+ Chicken Pad Thai, Fresh Noodle</t>
        </is>
      </c>
      <c r="I4123" s="9" t="n">
        <v>1</v>
      </c>
      <c r="J4123" s="9" t="inlineStr">
        <is>
          <t>cnt</t>
        </is>
      </c>
      <c r="K4123" s="9" t="n">
        <v>13.95</v>
      </c>
    </row>
    <row r="4124" ht="15" customFormat="1" customHeight="1" s="5">
      <c r="A4124" s="81" t="n">
        <v>45681</v>
      </c>
      <c r="B4124" s="82" t="n">
        <v>0.7651736111111112</v>
      </c>
      <c r="C4124" s="5" t="inlineStr">
        <is>
          <t>J's Noodles and New Thai</t>
        </is>
      </c>
      <c r="E4124" s="5" t="n">
        <v>1</v>
      </c>
      <c r="F4124" s="6" t="inlineStr">
        <is>
          <t>1 4 1</t>
        </is>
      </c>
      <c r="G4124" s="10" t="n"/>
      <c r="H4124" s="9" t="inlineStr">
        <is>
          <t>Coconut Lemongrass Soup</t>
        </is>
      </c>
      <c r="I4124" s="9" t="n">
        <v>1</v>
      </c>
      <c r="J4124" s="9" t="inlineStr">
        <is>
          <t>quart</t>
        </is>
      </c>
      <c r="K4124" s="9" t="n">
        <v>13.95</v>
      </c>
    </row>
    <row r="4125" ht="15" customFormat="1" customHeight="1" s="5">
      <c r="A4125" s="81" t="n">
        <v>45681</v>
      </c>
      <c r="B4125" s="82" t="n">
        <v>0.7651736111111112</v>
      </c>
      <c r="C4125" s="5" t="inlineStr">
        <is>
          <t>J's Noodles and New Thai</t>
        </is>
      </c>
      <c r="E4125" s="5" t="n">
        <v>1</v>
      </c>
      <c r="F4125" s="6" t="inlineStr">
        <is>
          <t>1 4 1</t>
        </is>
      </c>
      <c r="G4125" s="10" t="n"/>
      <c r="H4125" s="9" t="inlineStr">
        <is>
          <t>Tax</t>
        </is>
      </c>
      <c r="I4125" s="9" t="n">
        <v>2</v>
      </c>
      <c r="J4125" s="9" t="inlineStr">
        <is>
          <t>cnt</t>
        </is>
      </c>
      <c r="K4125" s="9" t="n">
        <v>1.25</v>
      </c>
    </row>
    <row r="4126" ht="15" customFormat="1" customHeight="1" s="5">
      <c r="A4126" s="81" t="n">
        <v>45680</v>
      </c>
      <c r="B4126" s="82" t="n">
        <v>0.7398726851851852</v>
      </c>
      <c r="C4126" s="5" t="inlineStr">
        <is>
          <t>Golden Banh Mi</t>
        </is>
      </c>
      <c r="E4126" s="5" t="n">
        <v>1</v>
      </c>
      <c r="F4126" s="6" t="inlineStr">
        <is>
          <t>26 2 26</t>
        </is>
      </c>
      <c r="G4126" s="10" t="n"/>
      <c r="H4126" s="9" t="inlineStr">
        <is>
          <t>Braised Pork Belly Banh Mi</t>
        </is>
      </c>
      <c r="I4126" s="9" t="n">
        <v>1</v>
      </c>
      <c r="J4126" s="9" t="inlineStr">
        <is>
          <t>cnt</t>
        </is>
      </c>
      <c r="K4126" s="9" t="n">
        <v>14</v>
      </c>
    </row>
    <row r="4127" ht="15" customFormat="1" customHeight="1" s="5">
      <c r="A4127" s="81" t="n">
        <v>45680</v>
      </c>
      <c r="B4127" s="82" t="n">
        <v>0.7398726851851852</v>
      </c>
      <c r="C4127" s="5" t="inlineStr">
        <is>
          <t>Golden Banh Mi</t>
        </is>
      </c>
      <c r="E4127" s="5" t="n">
        <v>1</v>
      </c>
      <c r="F4127" s="6" t="inlineStr">
        <is>
          <t>26 2 26</t>
        </is>
      </c>
      <c r="G4127" s="10" t="n"/>
      <c r="H4127" s="9" t="inlineStr">
        <is>
          <t>Chicken Katsu Banh Mi</t>
        </is>
      </c>
      <c r="I4127" s="9" t="n">
        <v>1</v>
      </c>
      <c r="J4127" s="9" t="inlineStr">
        <is>
          <t>cnt</t>
        </is>
      </c>
      <c r="K4127" s="9" t="n">
        <v>14</v>
      </c>
    </row>
    <row r="4128" ht="15" customFormat="1" customHeight="1" s="5">
      <c r="A4128" s="81" t="n">
        <v>45680</v>
      </c>
      <c r="B4128" s="82" t="n">
        <v>0.7398726851851852</v>
      </c>
      <c r="C4128" s="5" t="inlineStr">
        <is>
          <t>Golden Banh Mi</t>
        </is>
      </c>
      <c r="E4128" s="5" t="n">
        <v>1</v>
      </c>
      <c r="F4128" s="6" t="inlineStr">
        <is>
          <t>26 2 26</t>
        </is>
      </c>
      <c r="G4128" s="10" t="n"/>
      <c r="H4128" s="9" t="inlineStr">
        <is>
          <t>Tip</t>
        </is>
      </c>
      <c r="I4128" s="9" t="n">
        <v>2</v>
      </c>
      <c r="J4128" s="9" t="inlineStr">
        <is>
          <t>cnt</t>
        </is>
      </c>
      <c r="K4128" s="9" t="n">
        <v>3.7</v>
      </c>
    </row>
    <row r="4129" ht="15" customFormat="1" customHeight="1" s="5">
      <c r="A4129" s="81" t="n">
        <v>45680</v>
      </c>
      <c r="B4129" s="82" t="n">
        <v>0.7398726851851852</v>
      </c>
      <c r="C4129" s="5" t="inlineStr">
        <is>
          <t>Golden Banh Mi</t>
        </is>
      </c>
      <c r="E4129" s="5" t="n">
        <v>1</v>
      </c>
      <c r="F4129" s="6" t="inlineStr">
        <is>
          <t>26 2 26</t>
        </is>
      </c>
      <c r="G4129" s="10" t="n"/>
      <c r="H4129" s="9" t="inlineStr">
        <is>
          <t>Tax</t>
        </is>
      </c>
      <c r="I4129" s="9" t="n">
        <v>2</v>
      </c>
      <c r="J4129" s="9" t="inlineStr">
        <is>
          <t>cnt</t>
        </is>
      </c>
      <c r="K4129" s="9" t="n">
        <v>2.3</v>
      </c>
    </row>
    <row r="4130" ht="15" customFormat="1" customHeight="1" s="5">
      <c r="A4130" s="89" t="n">
        <v>45680</v>
      </c>
      <c r="B4130" s="82" t="n">
        <v>0.2916666666666667</v>
      </c>
      <c r="C4130" s="5" t="inlineStr">
        <is>
          <t>US Tax Witholding</t>
        </is>
      </c>
      <c r="D4130" s="5" t="n">
        <v>1</v>
      </c>
      <c r="F4130" s="6" t="inlineStr">
        <is>
          <t>RTX_Paycheck_25_29</t>
        </is>
      </c>
      <c r="G4130" s="17" t="n"/>
      <c r="H4130" s="9" t="inlineStr">
        <is>
          <t>Social Security Tax</t>
        </is>
      </c>
      <c r="K4130" s="5" t="n">
        <v>237.25</v>
      </c>
    </row>
    <row r="4131" ht="15" customFormat="1" customHeight="1" s="5">
      <c r="A4131" s="89" t="n">
        <v>45680</v>
      </c>
      <c r="B4131" s="82" t="n">
        <v>0.2916666666666667</v>
      </c>
      <c r="C4131" s="5" t="inlineStr">
        <is>
          <t>US Tax Witholding</t>
        </is>
      </c>
      <c r="D4131" s="5" t="n">
        <v>1</v>
      </c>
      <c r="F4131" s="6" t="inlineStr">
        <is>
          <t>RTX_Paycheck_25_29</t>
        </is>
      </c>
      <c r="G4131" s="17" t="n"/>
      <c r="H4131" s="9" t="inlineStr">
        <is>
          <t>Medicare Tax</t>
        </is>
      </c>
      <c r="K4131" s="5" t="n">
        <v>55.48</v>
      </c>
    </row>
    <row r="4132" ht="15" customFormat="1" customHeight="1" s="5">
      <c r="A4132" s="89" t="n">
        <v>45680</v>
      </c>
      <c r="B4132" s="82" t="n">
        <v>0.2916666666666667</v>
      </c>
      <c r="C4132" s="5" t="inlineStr">
        <is>
          <t>Raytheon</t>
        </is>
      </c>
      <c r="D4132" s="5" t="n">
        <v>1</v>
      </c>
      <c r="F4132" s="6" t="inlineStr">
        <is>
          <t>RTX_Paycheck_25_29</t>
        </is>
      </c>
      <c r="G4132" s="17" t="inlineStr">
        <is>
          <t>XXXX3523</t>
        </is>
      </c>
      <c r="H4132" s="9" t="inlineStr">
        <is>
          <t>Net Paycheck [Jan 04 - Jan 17]</t>
        </is>
      </c>
      <c r="K4132" s="5" t="n">
        <v>3123.4</v>
      </c>
    </row>
    <row r="4133" ht="15" customFormat="1" customHeight="1" s="5">
      <c r="A4133" s="89" t="n">
        <v>45680</v>
      </c>
      <c r="B4133" s="82" t="n">
        <v>0.2916666666666667</v>
      </c>
      <c r="C4133" s="5" t="inlineStr">
        <is>
          <t>Raytheon</t>
        </is>
      </c>
      <c r="D4133" s="5" t="n">
        <v>1</v>
      </c>
      <c r="F4133" s="6" t="inlineStr">
        <is>
          <t>RTX_Paycheck_25_29</t>
        </is>
      </c>
      <c r="G4133" s="17" t="n"/>
      <c r="H4133" s="9" t="inlineStr">
        <is>
          <t>RTX Direct Deposit -- cancelling offset</t>
        </is>
      </c>
      <c r="K4133" s="5" t="n">
        <v>-3123.41</v>
      </c>
    </row>
    <row r="4134" ht="15" customFormat="1" customHeight="1" s="5">
      <c r="A4134" s="89" t="n">
        <v>45680</v>
      </c>
      <c r="B4134" s="82" t="n">
        <v>0.2916666666666667</v>
      </c>
      <c r="C4134" s="5" t="inlineStr">
        <is>
          <t>Raytheon</t>
        </is>
      </c>
      <c r="D4134" s="5" t="n">
        <v>1</v>
      </c>
      <c r="F4134" s="6" t="inlineStr">
        <is>
          <t>RTX_Paycheck_25_29</t>
        </is>
      </c>
      <c r="G4134" s="17" t="n"/>
      <c r="H4134" s="9" t="inlineStr">
        <is>
          <t>Gross Paycheck [Jan 04 - Jan 17]</t>
        </is>
      </c>
      <c r="K4134" s="5" t="n">
        <v>-4040.94</v>
      </c>
    </row>
    <row r="4135" ht="15" customFormat="1" customHeight="1" s="5">
      <c r="A4135" s="89" t="n">
        <v>45680</v>
      </c>
      <c r="B4135" s="82" t="n">
        <v>0.2916666666666667</v>
      </c>
      <c r="C4135" s="5" t="inlineStr">
        <is>
          <t>Parents Gift Account</t>
        </is>
      </c>
      <c r="D4135" s="5" t="n">
        <v>1</v>
      </c>
      <c r="F4135" s="6" t="inlineStr">
        <is>
          <t>RTX_Paycheck_25_29</t>
        </is>
      </c>
      <c r="G4135" s="17" t="inlineStr">
        <is>
          <t>XXXX7146</t>
        </is>
      </c>
      <c r="H4135" s="9" t="inlineStr">
        <is>
          <t>Contribution to Parents Gift Account</t>
        </is>
      </c>
      <c r="K4135" s="5" t="n">
        <v>0.01</v>
      </c>
    </row>
    <row r="4136" ht="15" customFormat="1" customHeight="1" s="5">
      <c r="A4136" s="89" t="n">
        <v>45680</v>
      </c>
      <c r="B4136" s="82" t="n">
        <v>0.2916666666666667</v>
      </c>
      <c r="C4136" s="5" t="inlineStr">
        <is>
          <t>HSA</t>
        </is>
      </c>
      <c r="D4136" s="5" t="n">
        <v>1</v>
      </c>
      <c r="F4136" s="6" t="inlineStr">
        <is>
          <t>RTX_Paycheck_25_29</t>
        </is>
      </c>
      <c r="G4136" s="17" t="n"/>
      <c r="H4136" s="9" t="inlineStr">
        <is>
          <t>Personal contribution to HSA</t>
        </is>
      </c>
      <c r="K4136" s="5" t="n">
        <v>142.31</v>
      </c>
    </row>
    <row r="4137" ht="15" customFormat="1" customHeight="1" s="5">
      <c r="A4137" s="89" t="n">
        <v>45680</v>
      </c>
      <c r="B4137" s="82" t="n">
        <v>0.2916666666666667</v>
      </c>
      <c r="C4137" s="5" t="inlineStr">
        <is>
          <t>Delta Dental</t>
        </is>
      </c>
      <c r="D4137" s="5" t="n">
        <v>1</v>
      </c>
      <c r="F4137" s="6" t="inlineStr">
        <is>
          <t>RTX_Paycheck_25_29</t>
        </is>
      </c>
      <c r="G4137" s="10" t="n"/>
      <c r="H4137" s="9" t="inlineStr">
        <is>
          <t>Dental Insurance</t>
        </is>
      </c>
      <c r="K4137" s="5" t="n">
        <v>4.26</v>
      </c>
    </row>
    <row r="4138" ht="15" customFormat="1" customHeight="1" s="5">
      <c r="A4138" s="89" t="n">
        <v>45680</v>
      </c>
      <c r="B4138" s="82" t="n">
        <v>0.2916666666666667</v>
      </c>
      <c r="C4138" s="5" t="inlineStr">
        <is>
          <t>CO Tax Witholding</t>
        </is>
      </c>
      <c r="D4138" s="5" t="n">
        <v>1</v>
      </c>
      <c r="F4138" s="6" t="inlineStr">
        <is>
          <t>RTX_Paycheck_25_29</t>
        </is>
      </c>
      <c r="G4138" s="17" t="n"/>
      <c r="H4138" s="9" t="inlineStr">
        <is>
          <t>CO State Income Tax</t>
        </is>
      </c>
      <c r="K4138" s="5" t="n">
        <v>142.49</v>
      </c>
    </row>
    <row r="4139" ht="15" customFormat="1" customHeight="1" s="5">
      <c r="A4139" s="89" t="n">
        <v>45680</v>
      </c>
      <c r="B4139" s="82" t="n">
        <v>0.2916666666666667</v>
      </c>
      <c r="C4139" s="5" t="inlineStr">
        <is>
          <t>CO Tax Witholding</t>
        </is>
      </c>
      <c r="D4139" s="5" t="n">
        <v>1</v>
      </c>
      <c r="F4139" s="6" t="inlineStr">
        <is>
          <t>RTX_Paycheck_25_29</t>
        </is>
      </c>
      <c r="G4139" s="17" t="n"/>
      <c r="H4139" s="9" t="inlineStr">
        <is>
          <t>CO Paid Family Leave Insurance</t>
        </is>
      </c>
      <c r="K4139" s="5" t="n">
        <v>18.19</v>
      </c>
    </row>
    <row r="4140" ht="15" customFormat="1" customHeight="1" s="5">
      <c r="A4140" s="89" t="n">
        <v>45680</v>
      </c>
      <c r="B4140" s="82" t="n">
        <v>0.2916666666666667</v>
      </c>
      <c r="C4140" s="5" t="inlineStr">
        <is>
          <t>CO Tax Witholding</t>
        </is>
      </c>
      <c r="D4140" s="5" t="n">
        <v>1</v>
      </c>
      <c r="F4140" s="6" t="inlineStr">
        <is>
          <t>RTX_Paycheck_25_29</t>
        </is>
      </c>
      <c r="G4140" s="7" t="n"/>
      <c r="H4140" s="9" t="inlineStr">
        <is>
          <t xml:space="preserve">"POSTAX INS MRSH" ? </t>
        </is>
      </c>
      <c r="K4140" s="5" t="n">
        <v>5.9</v>
      </c>
    </row>
    <row r="4141" ht="15" customFormat="1" customHeight="1" s="5">
      <c r="A4141" s="89" t="n">
        <v>45680</v>
      </c>
      <c r="B4141" s="82" t="n">
        <v>0.2916666666666667</v>
      </c>
      <c r="C4141" s="5" t="inlineStr">
        <is>
          <t>Anthem BcBs</t>
        </is>
      </c>
      <c r="D4141" s="5" t="n">
        <v>1</v>
      </c>
      <c r="F4141" s="6" t="inlineStr">
        <is>
          <t>RTX_Paycheck_25_29</t>
        </is>
      </c>
      <c r="G4141" s="17" t="n"/>
      <c r="H4141" s="9" t="inlineStr">
        <is>
          <t>Medical Insurance</t>
        </is>
      </c>
      <c r="K4141" s="5" t="n">
        <v>69.2</v>
      </c>
    </row>
    <row r="4142" ht="15" customFormat="1" customHeight="1" s="5">
      <c r="A4142" s="89" t="n">
        <v>45680</v>
      </c>
      <c r="B4142" s="82" t="n">
        <v>0.2916666666666667</v>
      </c>
      <c r="C4142" s="5" t="inlineStr">
        <is>
          <t>Alight</t>
        </is>
      </c>
      <c r="D4142" s="5" t="n">
        <v>1</v>
      </c>
      <c r="F4142" s="6" t="inlineStr">
        <is>
          <t>RTX_Paycheck_25_29</t>
        </is>
      </c>
      <c r="G4142" s="17" t="n"/>
      <c r="H4142" s="9" t="inlineStr">
        <is>
          <t>401k Basic -- Traditional</t>
        </is>
      </c>
      <c r="K4142" s="5" t="n">
        <v>202.05</v>
      </c>
    </row>
    <row r="4143" ht="15" customFormat="1" customHeight="1" s="5">
      <c r="A4143" s="89" t="n">
        <v>45680</v>
      </c>
      <c r="B4143" s="82" t="n">
        <v>0.2916666666666667</v>
      </c>
      <c r="C4143" s="5" t="inlineStr">
        <is>
          <t>Alight</t>
        </is>
      </c>
      <c r="D4143" s="5" t="n">
        <v>1</v>
      </c>
      <c r="F4143" s="6" t="inlineStr">
        <is>
          <t>RTX_Paycheck_25_29</t>
        </is>
      </c>
      <c r="G4143" s="17" t="n"/>
      <c r="H4143" s="9" t="inlineStr">
        <is>
          <t>Roth 401k Basic</t>
        </is>
      </c>
      <c r="K4143" s="5" t="n">
        <v>40.41</v>
      </c>
    </row>
    <row r="4144" ht="15" customFormat="1" customHeight="1" s="5">
      <c r="A4144" s="81" t="n">
        <v>45680</v>
      </c>
      <c r="B4144" s="82" t="n">
        <v>0.2916666666666667</v>
      </c>
      <c r="C4144" s="5" t="inlineStr">
        <is>
          <t>HSA</t>
        </is>
      </c>
      <c r="D4144" s="5" t="n">
        <v>1</v>
      </c>
      <c r="F4144" s="6" t="n"/>
      <c r="G4144" s="7" t="n"/>
      <c r="H4144" s="9" t="inlineStr">
        <is>
          <t>Raytheon yearly HSA contribution</t>
        </is>
      </c>
      <c r="I4144" s="9" t="n">
        <v>1</v>
      </c>
      <c r="J4144" s="9" t="inlineStr">
        <is>
          <t>cnt</t>
        </is>
      </c>
      <c r="K4144" s="9" t="n">
        <v>600</v>
      </c>
    </row>
    <row r="4145" ht="15" customFormat="1" customHeight="1" s="5">
      <c r="A4145" s="81" t="n">
        <v>45680</v>
      </c>
      <c r="B4145" s="82" t="n">
        <v>0.2916666666666667</v>
      </c>
      <c r="C4145" s="5" t="inlineStr">
        <is>
          <t>HSA</t>
        </is>
      </c>
      <c r="D4145" s="5" t="n">
        <v>1</v>
      </c>
      <c r="F4145" s="6" t="n"/>
      <c r="G4145" s="7" t="n"/>
      <c r="H4145" s="9" t="inlineStr">
        <is>
          <t>Raytheon yearly HSA contribution</t>
        </is>
      </c>
      <c r="I4145" s="9" t="n"/>
      <c r="J4145" s="9" t="n"/>
      <c r="K4145" s="9" t="n">
        <v>-600</v>
      </c>
    </row>
    <row r="4146" ht="15" customFormat="1" customHeight="1" s="5">
      <c r="A4146" s="81" t="n">
        <v>45679</v>
      </c>
      <c r="B4146" s="82" t="n">
        <v>0.4666898148148148</v>
      </c>
      <c r="C4146" s="5" t="inlineStr">
        <is>
          <t>Tacos Selene Aurora</t>
        </is>
      </c>
      <c r="E4146" s="5" t="n">
        <v>1</v>
      </c>
      <c r="F4146" s="6" t="inlineStr">
        <is>
          <t>240687</t>
        </is>
      </c>
      <c r="G4146" s="10" t="n"/>
      <c r="H4146" s="9" t="inlineStr">
        <is>
          <t>Buche Torta</t>
        </is>
      </c>
      <c r="I4146" s="9" t="n">
        <v>1</v>
      </c>
      <c r="J4146" s="9" t="inlineStr">
        <is>
          <t>cnt</t>
        </is>
      </c>
      <c r="K4146" s="9" t="n">
        <v>9</v>
      </c>
    </row>
    <row r="4147" ht="15" customFormat="1" customHeight="1" s="5">
      <c r="A4147" s="81" t="n">
        <v>45679</v>
      </c>
      <c r="B4147" s="82" t="n">
        <v>0.4666898148148148</v>
      </c>
      <c r="C4147" s="5" t="inlineStr">
        <is>
          <t>Tacos Selene Aurora</t>
        </is>
      </c>
      <c r="E4147" s="5" t="n">
        <v>1</v>
      </c>
      <c r="F4147" s="6" t="inlineStr">
        <is>
          <t>240687</t>
        </is>
      </c>
      <c r="G4147" s="10" t="n"/>
      <c r="H4147" s="9" t="inlineStr">
        <is>
          <t>Sales Tax 8%</t>
        </is>
      </c>
      <c r="I4147" s="9" t="n">
        <v>1</v>
      </c>
      <c r="J4147" s="9" t="inlineStr">
        <is>
          <t>cnt</t>
        </is>
      </c>
      <c r="K4147" s="9" t="n">
        <v>0.72</v>
      </c>
    </row>
    <row r="4148" ht="15" customFormat="1" customHeight="1" s="5">
      <c r="A4148" s="81" t="n">
        <v>45679</v>
      </c>
      <c r="B4148" s="82" t="n">
        <v>0.2916666666666667</v>
      </c>
      <c r="C4148" s="5" t="inlineStr">
        <is>
          <t>Xcel Energy</t>
        </is>
      </c>
      <c r="D4148" s="5" t="n">
        <v>1</v>
      </c>
      <c r="F4148" s="6" t="inlineStr">
        <is>
          <t>908995887_</t>
        </is>
      </c>
      <c r="G4148" s="17" t="n"/>
      <c r="H4148" s="9" t="inlineStr">
        <is>
          <t>Electricity 11/25/24 - 12/29/24</t>
        </is>
      </c>
      <c r="I4148" s="5" t="n">
        <v>312</v>
      </c>
      <c r="J4148" s="5" t="inlineStr">
        <is>
          <t>kWh</t>
        </is>
      </c>
      <c r="K4148" s="5" t="n">
        <v>49.46</v>
      </c>
    </row>
    <row r="4149" ht="15" customFormat="1" customHeight="1" s="5">
      <c r="A4149" s="81" t="n">
        <v>45679</v>
      </c>
      <c r="B4149" s="82" t="n">
        <v>0.2916666666666667</v>
      </c>
      <c r="C4149" s="5" t="inlineStr">
        <is>
          <t>Xcel Energy</t>
        </is>
      </c>
      <c r="D4149" s="5" t="n">
        <v>1</v>
      </c>
      <c r="F4149" s="6" t="inlineStr">
        <is>
          <t>908995887_</t>
        </is>
      </c>
      <c r="G4149" s="17" t="n"/>
      <c r="H4149" s="9" t="inlineStr">
        <is>
          <t>Natural Gas 11/27/24 - 12/31/24</t>
        </is>
      </c>
      <c r="I4149" s="5" t="n">
        <v>42</v>
      </c>
      <c r="J4149" s="5" t="inlineStr">
        <is>
          <t>therms</t>
        </is>
      </c>
      <c r="K4149" s="5" t="n">
        <v>47.35</v>
      </c>
    </row>
    <row r="4150" ht="15" customFormat="1" customHeight="1" s="5">
      <c r="A4150" s="81" t="n">
        <v>45679</v>
      </c>
      <c r="B4150" s="82" t="n">
        <v>0.2916666666666667</v>
      </c>
      <c r="C4150" s="5" t="inlineStr">
        <is>
          <t>Xcel Energy</t>
        </is>
      </c>
      <c r="D4150" s="5" t="n">
        <v>1</v>
      </c>
      <c r="F4150" s="6" t="inlineStr">
        <is>
          <t>908995887_</t>
        </is>
      </c>
      <c r="G4150" s="17" t="n"/>
      <c r="H4150" s="9" t="inlineStr">
        <is>
          <t>Sales Tax</t>
        </is>
      </c>
      <c r="I4150" s="5" t="n">
        <v>2</v>
      </c>
      <c r="J4150" s="9" t="inlineStr">
        <is>
          <t>cnt</t>
        </is>
      </c>
      <c r="K4150" s="5" t="n">
        <v>3.74</v>
      </c>
    </row>
    <row r="4151" ht="15" customFormat="1" customHeight="1" s="5">
      <c r="A4151" s="81" t="n">
        <v>45679</v>
      </c>
      <c r="B4151" s="82" t="n">
        <v>0.2916666666666667</v>
      </c>
      <c r="C4151" s="5" t="inlineStr">
        <is>
          <t>Xcel Energy</t>
        </is>
      </c>
      <c r="D4151" s="5" t="n">
        <v>1</v>
      </c>
      <c r="F4151" s="6" t="inlineStr">
        <is>
          <t>908995887_</t>
        </is>
      </c>
      <c r="G4151" s="17" t="n"/>
      <c r="H4151" s="9" t="inlineStr">
        <is>
          <t>Franchise Fee 3.00%</t>
        </is>
      </c>
      <c r="I4151" s="5" t="n">
        <v>2</v>
      </c>
      <c r="J4151" s="9" t="inlineStr">
        <is>
          <t>cnt</t>
        </is>
      </c>
      <c r="K4151" s="5" t="n">
        <v>2.91</v>
      </c>
    </row>
    <row r="4152" ht="15" customFormat="1" customHeight="1" s="5">
      <c r="A4152" s="81" t="n">
        <v>45677</v>
      </c>
      <c r="B4152" s="82" t="n">
        <v>0.8506944444444444</v>
      </c>
      <c r="C4152" s="5" t="inlineStr">
        <is>
          <t>Amazon</t>
        </is>
      </c>
      <c r="D4152" s="5" t="n">
        <v>1</v>
      </c>
      <c r="F4152" s="6" t="inlineStr">
        <is>
          <t>#D01-3058703-8473834</t>
        </is>
      </c>
      <c r="G4152" s="10" t="n"/>
      <c r="H4152" s="9" t="inlineStr">
        <is>
          <t>Leviticus: A Parsha Companion (kindle eBook)</t>
        </is>
      </c>
      <c r="I4152" s="9" t="n">
        <v>1</v>
      </c>
      <c r="J4152" s="9" t="inlineStr">
        <is>
          <t>cnt</t>
        </is>
      </c>
      <c r="K4152" s="9" t="n">
        <v>9.99</v>
      </c>
    </row>
    <row r="4153" ht="15" customFormat="1" customHeight="1" s="5">
      <c r="A4153" s="81" t="n">
        <v>45677</v>
      </c>
      <c r="B4153" s="82" t="n">
        <v>0.8506944444444444</v>
      </c>
      <c r="C4153" s="5" t="inlineStr">
        <is>
          <t>Amazon</t>
        </is>
      </c>
      <c r="D4153" s="5" t="n">
        <v>1</v>
      </c>
      <c r="F4153" s="6" t="inlineStr">
        <is>
          <t>#D01-3058703-8473834</t>
        </is>
      </c>
      <c r="G4153" s="10" t="n"/>
      <c r="H4153" s="9" t="inlineStr">
        <is>
          <t>**DISCOUNT** Amazon Promotional $1.50 credit</t>
        </is>
      </c>
      <c r="I4153" s="9" t="n">
        <v>1</v>
      </c>
      <c r="J4153" s="9" t="inlineStr">
        <is>
          <t>cnt</t>
        </is>
      </c>
      <c r="K4153" s="9" t="n">
        <v>-1.5</v>
      </c>
    </row>
    <row r="4154" ht="15" customFormat="1" customHeight="1" s="5">
      <c r="A4154" s="81" t="n">
        <v>45677</v>
      </c>
      <c r="B4154" s="82" t="n">
        <v>0.8472222222222222</v>
      </c>
      <c r="C4154" s="5" t="inlineStr">
        <is>
          <t>Amazon</t>
        </is>
      </c>
      <c r="D4154" s="5" t="n">
        <v>1</v>
      </c>
      <c r="F4154" s="6" t="inlineStr">
        <is>
          <t>477TZF78</t>
        </is>
      </c>
      <c r="G4154" s="10" t="n"/>
      <c r="H4154" s="9" t="inlineStr">
        <is>
          <t>XCel Rebate Credit</t>
        </is>
      </c>
      <c r="I4154" s="9" t="n">
        <v>1</v>
      </c>
      <c r="J4154" s="9" t="inlineStr">
        <is>
          <t>cnt</t>
        </is>
      </c>
      <c r="K4154" s="9" t="n">
        <v>-10</v>
      </c>
    </row>
    <row r="4155" ht="15" customFormat="1" customHeight="1" s="5">
      <c r="A4155" s="81" t="n">
        <v>45677</v>
      </c>
      <c r="B4155" s="82" t="n">
        <v>0.6777777777777778</v>
      </c>
      <c r="C4155" s="5" t="inlineStr">
        <is>
          <t>Aurora Water</t>
        </is>
      </c>
      <c r="D4155" s="5" t="n">
        <v>1</v>
      </c>
      <c r="F4155" s="6" t="inlineStr">
        <is>
          <t>0002591818_4074107868</t>
        </is>
      </c>
      <c r="G4155" s="17" t="n"/>
      <c r="H4155" s="9" t="inlineStr">
        <is>
          <t>Water Monthly Svc Chg</t>
        </is>
      </c>
      <c r="K4155" s="5" t="n">
        <v>14.19</v>
      </c>
    </row>
    <row r="4156" ht="15" customFormat="1" customHeight="1" s="5">
      <c r="A4156" s="81" t="n">
        <v>45677</v>
      </c>
      <c r="B4156" s="82" t="n">
        <v>0.6777777777777778</v>
      </c>
      <c r="C4156" s="5" t="inlineStr">
        <is>
          <t>Aurora Water</t>
        </is>
      </c>
      <c r="D4156" s="5" t="n">
        <v>1</v>
      </c>
      <c r="F4156" s="6" t="inlineStr">
        <is>
          <t>0002591818_4074107868</t>
        </is>
      </c>
      <c r="G4156" s="9" t="n"/>
      <c r="H4156" s="9" t="inlineStr">
        <is>
          <t>First 5K GAL @$5.63/KGal</t>
        </is>
      </c>
      <c r="I4156" s="9" t="n">
        <v>2</v>
      </c>
      <c r="J4156" s="9" t="inlineStr">
        <is>
          <t>KGal</t>
        </is>
      </c>
      <c r="K4156" s="9" t="n">
        <v>11.26</v>
      </c>
    </row>
    <row r="4157" ht="15" customFormat="1" customHeight="1" s="5">
      <c r="A4157" s="81" t="n">
        <v>45677</v>
      </c>
      <c r="B4157" s="82" t="n">
        <v>0.6777777777777778</v>
      </c>
      <c r="C4157" s="5" t="inlineStr">
        <is>
          <t>Aurora Water</t>
        </is>
      </c>
      <c r="D4157" s="5" t="n">
        <v>1</v>
      </c>
      <c r="F4157" s="6" t="inlineStr">
        <is>
          <t>0002591818_4074107868</t>
        </is>
      </c>
      <c r="G4157" s="9" t="n"/>
      <c r="H4157" s="9" t="inlineStr">
        <is>
          <t>Storm Drain Base</t>
        </is>
      </c>
      <c r="I4157" s="9" t="n"/>
      <c r="J4157" s="9" t="n"/>
      <c r="K4157" s="9" t="n">
        <v>11.21</v>
      </c>
    </row>
    <row r="4158" ht="15" customFormat="1" customHeight="1" s="5">
      <c r="A4158" s="81" t="n">
        <v>45677</v>
      </c>
      <c r="B4158" s="82" t="n">
        <v>0.6777777777777778</v>
      </c>
      <c r="C4158" s="5" t="inlineStr">
        <is>
          <t>Aurora Water</t>
        </is>
      </c>
      <c r="D4158" s="5" t="n">
        <v>1</v>
      </c>
      <c r="F4158" s="6" t="inlineStr">
        <is>
          <t>0002591818_4074107868</t>
        </is>
      </c>
      <c r="G4158" s="9" t="n"/>
      <c r="H4158" s="9" t="inlineStr">
        <is>
          <t>Sewer Usage Chg @$4.60/KGal</t>
        </is>
      </c>
      <c r="I4158" s="9" t="n">
        <v>1.67</v>
      </c>
      <c r="J4158" s="9" t="inlineStr">
        <is>
          <t>KGal</t>
        </is>
      </c>
      <c r="K4158" s="9" t="n">
        <v>7.68</v>
      </c>
    </row>
    <row r="4159" ht="15" customFormat="1" customHeight="1" s="5">
      <c r="A4159" s="81" t="n">
        <v>45677</v>
      </c>
      <c r="B4159" s="82" t="n">
        <v>0.6777777777777778</v>
      </c>
      <c r="C4159" s="5" t="inlineStr">
        <is>
          <t>Aurora Water</t>
        </is>
      </c>
      <c r="D4159" s="5" t="n">
        <v>1</v>
      </c>
      <c r="F4159" s="6" t="inlineStr">
        <is>
          <t>0002591818_4074107868</t>
        </is>
      </c>
      <c r="G4159" s="9" t="n"/>
      <c r="H4159" s="9" t="inlineStr">
        <is>
          <t>Sewer Monthly Svc Chg</t>
        </is>
      </c>
      <c r="I4159" s="9" t="n"/>
      <c r="J4159" s="9" t="n"/>
      <c r="K4159" s="9" t="n">
        <v>5.01</v>
      </c>
    </row>
    <row r="4160" ht="15" customFormat="1" customHeight="1" s="5">
      <c r="A4160" s="81" t="n">
        <v>45677</v>
      </c>
      <c r="B4160" s="82" t="n">
        <v>0.4909722222222222</v>
      </c>
      <c r="C4160" s="5" t="inlineStr">
        <is>
          <t>Sanders &amp; Soult Dentistry</t>
        </is>
      </c>
      <c r="E4160" s="5" t="n">
        <v>1</v>
      </c>
      <c r="F4160" s="6" t="n"/>
      <c r="G4160" s="10" t="n"/>
      <c r="H4160" s="9" t="inlineStr">
        <is>
          <t>Lydia: Partial/Denture Adjustment -- FREE</t>
        </is>
      </c>
      <c r="I4160" s="9" t="n">
        <v>1</v>
      </c>
      <c r="J4160" s="9" t="inlineStr">
        <is>
          <t>cnt</t>
        </is>
      </c>
      <c r="K4160" s="9" t="n">
        <v>0</v>
      </c>
    </row>
    <row r="4161" ht="15" customFormat="1" customHeight="1" s="5">
      <c r="A4161" s="81" t="n">
        <v>45675</v>
      </c>
      <c r="B4161" s="82" t="n">
        <v>0.7388888888888889</v>
      </c>
      <c r="C4161" s="5" t="inlineStr">
        <is>
          <t>Safeway</t>
        </is>
      </c>
      <c r="E4161" s="5" t="n">
        <v>1</v>
      </c>
      <c r="F4161" s="6" t="inlineStr">
        <is>
          <t>2612 51 103 8851</t>
        </is>
      </c>
      <c r="G4161" s="15" t="inlineStr">
        <is>
          <t>23362900000</t>
        </is>
      </c>
      <c r="H4161" s="9" t="inlineStr">
        <is>
          <t>Salmon Atlantic Fillet Farm Raised Color Added Fresh Value Pack</t>
        </is>
      </c>
      <c r="I4161" s="9" t="n">
        <v>3.61</v>
      </c>
      <c r="J4161" s="9" t="inlineStr">
        <is>
          <t>lb</t>
        </is>
      </c>
      <c r="K4161" s="9" t="n">
        <v>39.67</v>
      </c>
    </row>
    <row r="4162" ht="15" customFormat="1" customHeight="1" s="5">
      <c r="A4162" s="81" t="n">
        <v>45675</v>
      </c>
      <c r="B4162" s="82" t="n">
        <v>0.7388888888888889</v>
      </c>
      <c r="C4162" s="5" t="inlineStr">
        <is>
          <t>Safeway</t>
        </is>
      </c>
      <c r="E4162" s="5" t="n">
        <v>1</v>
      </c>
      <c r="F4162" s="6" t="inlineStr">
        <is>
          <t>2612 51 103 8851</t>
        </is>
      </c>
      <c r="G4162" s="15" t="inlineStr">
        <is>
          <t>85347900684</t>
        </is>
      </c>
      <c r="H4162" s="9" t="inlineStr">
        <is>
          <t>2 boxes: Brami Lupini Pasta Semolina Spaghetti - 14.5 OZ</t>
        </is>
      </c>
      <c r="I4162" s="9" t="n">
        <v>29</v>
      </c>
      <c r="J4162" s="9" t="inlineStr">
        <is>
          <t>oz</t>
        </is>
      </c>
      <c r="K4162" s="9" t="n">
        <v>7.98</v>
      </c>
    </row>
    <row r="4163" ht="15" customFormat="1" customHeight="1" s="5">
      <c r="A4163" s="81" t="n">
        <v>45675</v>
      </c>
      <c r="B4163" s="82" t="n">
        <v>0.7388888888888889</v>
      </c>
      <c r="C4163" s="5" t="inlineStr">
        <is>
          <t>Safeway</t>
        </is>
      </c>
      <c r="E4163" s="5" t="n">
        <v>1</v>
      </c>
      <c r="F4163" s="6" t="inlineStr">
        <is>
          <t>2612 51 103 8851</t>
        </is>
      </c>
      <c r="G4163" s="15" t="inlineStr">
        <is>
          <t>7756725440</t>
        </is>
      </c>
      <c r="H4163" s="9" t="inlineStr">
        <is>
          <t>Breyers Butter Pecan Frozen Dairy Dessert - 48 Oz</t>
        </is>
      </c>
      <c r="I4163" s="9" t="n">
        <v>48</v>
      </c>
      <c r="J4163" s="9" t="inlineStr">
        <is>
          <t>oz</t>
        </is>
      </c>
      <c r="K4163" s="9" t="n">
        <v>7.49</v>
      </c>
    </row>
    <row r="4164" ht="15" customFormat="1" customHeight="1" s="5">
      <c r="A4164" s="81" t="n">
        <v>45675</v>
      </c>
      <c r="B4164" s="82" t="n">
        <v>0.7388888888888889</v>
      </c>
      <c r="C4164" s="5" t="inlineStr">
        <is>
          <t>Safeway</t>
        </is>
      </c>
      <c r="E4164" s="5" t="n">
        <v>1</v>
      </c>
      <c r="F4164" s="6" t="inlineStr">
        <is>
          <t>2612 51 103 8851</t>
        </is>
      </c>
      <c r="G4164" s="15" t="inlineStr">
        <is>
          <t>7756745728</t>
        </is>
      </c>
      <c r="H4164" s="9" t="inlineStr">
        <is>
          <t>Breyers Original Chocolate Truffle Light Ice Cream - 48 Oz</t>
        </is>
      </c>
      <c r="I4164" s="9" t="n">
        <v>48</v>
      </c>
      <c r="J4164" s="9" t="inlineStr">
        <is>
          <t>oz</t>
        </is>
      </c>
      <c r="K4164" s="9" t="n">
        <v>7.49</v>
      </c>
    </row>
    <row r="4165" ht="15" customFormat="1" customHeight="1" s="5">
      <c r="A4165" s="81" t="n">
        <v>45675</v>
      </c>
      <c r="B4165" s="82" t="n">
        <v>0.7388888888888889</v>
      </c>
      <c r="C4165" s="5" t="inlineStr">
        <is>
          <t>Safeway</t>
        </is>
      </c>
      <c r="E4165" s="5" t="n">
        <v>1</v>
      </c>
      <c r="F4165" s="6" t="inlineStr">
        <is>
          <t>2612 51 103 8851</t>
        </is>
      </c>
      <c r="G4165" s="10" t="n"/>
      <c r="H4165" s="9" t="inlineStr">
        <is>
          <t>Tax</t>
        </is>
      </c>
      <c r="I4165" s="9" t="n">
        <v>5</v>
      </c>
      <c r="J4165" s="9" t="inlineStr">
        <is>
          <t>cnt</t>
        </is>
      </c>
      <c r="K4165" s="9" t="n">
        <v>0</v>
      </c>
    </row>
    <row r="4166" ht="15" customFormat="1" customHeight="1" s="5">
      <c r="A4166" s="81" t="n">
        <v>45675</v>
      </c>
      <c r="B4166" s="82" t="n">
        <v>0.7388888888888889</v>
      </c>
      <c r="C4166" s="5" t="inlineStr">
        <is>
          <t>Safeway</t>
        </is>
      </c>
      <c r="E4166" s="5" t="n">
        <v>1</v>
      </c>
      <c r="F4166" s="6" t="inlineStr">
        <is>
          <t>2612 51 103 8851</t>
        </is>
      </c>
      <c r="G4166" s="15" t="inlineStr">
        <is>
          <t>85347900684</t>
        </is>
      </c>
      <c r="H4166" s="9" t="inlineStr">
        <is>
          <t>**DISCOUNT** Member Savings</t>
        </is>
      </c>
      <c r="I4166" s="9" t="n">
        <v>29</v>
      </c>
      <c r="J4166" s="9" t="inlineStr">
        <is>
          <t>oz</t>
        </is>
      </c>
      <c r="K4166" s="9" t="n">
        <v>-1.98</v>
      </c>
    </row>
    <row r="4167" ht="15" customFormat="1" customHeight="1" s="5">
      <c r="A4167" s="81" t="n">
        <v>45675</v>
      </c>
      <c r="B4167" s="82" t="n">
        <v>0.7388888888888889</v>
      </c>
      <c r="C4167" s="5" t="inlineStr">
        <is>
          <t>Safeway</t>
        </is>
      </c>
      <c r="E4167" s="5" t="n">
        <v>1</v>
      </c>
      <c r="F4167" s="6" t="inlineStr">
        <is>
          <t>2612 51 103 8851</t>
        </is>
      </c>
      <c r="G4167" s="15" t="inlineStr">
        <is>
          <t>7756725440</t>
        </is>
      </c>
      <c r="H4167" s="9" t="inlineStr">
        <is>
          <t>**DISCOUNT** Member Savings</t>
        </is>
      </c>
      <c r="I4167" s="9" t="n">
        <v>48</v>
      </c>
      <c r="J4167" s="9" t="inlineStr">
        <is>
          <t>oz</t>
        </is>
      </c>
      <c r="K4167" s="9" t="n">
        <v>-4</v>
      </c>
    </row>
    <row r="4168" ht="15" customFormat="1" customHeight="1" s="5">
      <c r="A4168" s="81" t="n">
        <v>45675</v>
      </c>
      <c r="B4168" s="82" t="n">
        <v>0.7388888888888889</v>
      </c>
      <c r="C4168" s="5" t="inlineStr">
        <is>
          <t>Safeway</t>
        </is>
      </c>
      <c r="E4168" s="5" t="n">
        <v>1</v>
      </c>
      <c r="F4168" s="6" t="inlineStr">
        <is>
          <t>2612 51 103 8851</t>
        </is>
      </c>
      <c r="G4168" s="15" t="inlineStr">
        <is>
          <t>7756745728</t>
        </is>
      </c>
      <c r="H4168" s="9" t="inlineStr">
        <is>
          <t>**DISCOUNT** Member Savings</t>
        </is>
      </c>
      <c r="I4168" s="9" t="n">
        <v>48</v>
      </c>
      <c r="J4168" s="9" t="inlineStr">
        <is>
          <t>oz</t>
        </is>
      </c>
      <c r="K4168" s="9" t="n">
        <v>-4</v>
      </c>
    </row>
    <row r="4169" ht="15" customFormat="1" customHeight="1" s="5">
      <c r="A4169" s="81" t="n">
        <v>45675</v>
      </c>
      <c r="B4169" s="82" t="n">
        <v>0.7388888888888889</v>
      </c>
      <c r="C4169" s="5" t="inlineStr">
        <is>
          <t>Safeway</t>
        </is>
      </c>
      <c r="E4169" s="5" t="n">
        <v>1</v>
      </c>
      <c r="F4169" s="6" t="inlineStr">
        <is>
          <t>2612 51 103 8851</t>
        </is>
      </c>
      <c r="G4169" s="15" t="inlineStr">
        <is>
          <t>23362900000</t>
        </is>
      </c>
      <c r="H4169" s="9" t="inlineStr">
        <is>
          <t>**DISCOUNT** Member Savings</t>
        </is>
      </c>
      <c r="I4169" s="9" t="n">
        <v>3.61</v>
      </c>
      <c r="J4169" s="9" t="inlineStr">
        <is>
          <t>lb</t>
        </is>
      </c>
      <c r="K4169" s="9" t="n">
        <v>-11.63</v>
      </c>
    </row>
    <row r="4170" ht="15" customFormat="1" customHeight="1" s="5">
      <c r="A4170" s="81" t="n">
        <v>45675</v>
      </c>
      <c r="B4170" s="82" t="n">
        <v>0.7326388888888888</v>
      </c>
      <c r="C4170" s="5" t="inlineStr">
        <is>
          <t>Denver Post, The</t>
        </is>
      </c>
      <c r="E4170" s="5" t="n">
        <v>1</v>
      </c>
      <c r="F4170" s="24" t="inlineStr">
        <is>
          <t>201736028</t>
        </is>
      </c>
      <c r="G4170" s="10" t="n"/>
      <c r="H4170" s="9" t="inlineStr">
        <is>
          <t>3 months at $29.99, through April 7th; cancel after 2/21/25</t>
        </is>
      </c>
      <c r="I4170" s="9" t="n">
        <v>3</v>
      </c>
      <c r="J4170" s="9" t="inlineStr">
        <is>
          <t>cnt</t>
        </is>
      </c>
      <c r="K4170" s="9" t="n">
        <v>29.99</v>
      </c>
    </row>
    <row r="4171" ht="15" customFormat="1" customHeight="1" s="5">
      <c r="A4171" s="81" t="n">
        <v>45675</v>
      </c>
      <c r="B4171" s="82" t="n">
        <v>0.7326388888888888</v>
      </c>
      <c r="C4171" s="5" t="inlineStr">
        <is>
          <t>Denver Post, The</t>
        </is>
      </c>
      <c r="E4171" s="5" t="n">
        <v>1</v>
      </c>
      <c r="F4171" s="24" t="inlineStr">
        <is>
          <t>201736028</t>
        </is>
      </c>
      <c r="G4171" s="10" t="n"/>
      <c r="H4171" s="9" t="inlineStr">
        <is>
          <t>Safeway Gift Cards As Reward for Signing up</t>
        </is>
      </c>
      <c r="I4171" s="9" t="n">
        <v>3</v>
      </c>
      <c r="J4171" s="9" t="inlineStr">
        <is>
          <t>cnt</t>
        </is>
      </c>
      <c r="K4171" s="9" t="n">
        <v>-30</v>
      </c>
    </row>
    <row r="4172" ht="15" customFormat="1" customHeight="1" s="5">
      <c r="A4172" s="81" t="n">
        <v>45675</v>
      </c>
      <c r="B4172" s="82" t="n">
        <v>0.7208333333333333</v>
      </c>
      <c r="C4172" s="5" t="inlineStr">
        <is>
          <t>Costco</t>
        </is>
      </c>
      <c r="E4172" s="5" t="n">
        <v>1</v>
      </c>
      <c r="F4172" s="6" t="inlineStr">
        <is>
          <t>439 208 146 708</t>
        </is>
      </c>
      <c r="G4172" s="10" t="inlineStr">
        <is>
          <t>E 633563</t>
        </is>
      </c>
      <c r="H4172" s="9" t="inlineStr">
        <is>
          <t>Kirkland Organic Tomato Sauce 12 - 15oz cans</t>
        </is>
      </c>
      <c r="I4172" s="9" t="n">
        <v>11.3</v>
      </c>
      <c r="J4172" s="9" t="inlineStr">
        <is>
          <t>lb</t>
        </is>
      </c>
      <c r="K4172" s="9" t="n">
        <v>11.99</v>
      </c>
    </row>
    <row r="4173" ht="15" customFormat="1" customHeight="1" s="5">
      <c r="A4173" s="81" t="n">
        <v>45675</v>
      </c>
      <c r="B4173" s="82" t="n">
        <v>0.7208333333333333</v>
      </c>
      <c r="C4173" s="5" t="inlineStr">
        <is>
          <t>Costco</t>
        </is>
      </c>
      <c r="E4173" s="5" t="n">
        <v>1</v>
      </c>
      <c r="F4173" s="6" t="inlineStr">
        <is>
          <t>439 208 146 708</t>
        </is>
      </c>
      <c r="G4173" s="10" t="inlineStr">
        <is>
          <t>E 21020</t>
        </is>
      </c>
      <c r="H4173" s="9" t="inlineStr">
        <is>
          <t>Vine Tomatos 14 count</t>
        </is>
      </c>
      <c r="I4173" s="9" t="n">
        <v>5</v>
      </c>
      <c r="J4173" s="9" t="inlineStr">
        <is>
          <t>lb</t>
        </is>
      </c>
      <c r="K4173" s="9" t="n">
        <v>6.46</v>
      </c>
    </row>
    <row r="4174" ht="15" customFormat="1" customHeight="1" s="5">
      <c r="A4174" s="81" t="n">
        <v>45675</v>
      </c>
      <c r="B4174" s="82" t="n">
        <v>0.7208333333333333</v>
      </c>
      <c r="C4174" s="5" t="inlineStr">
        <is>
          <t>Costco</t>
        </is>
      </c>
      <c r="E4174" s="5" t="n">
        <v>1</v>
      </c>
      <c r="F4174" s="6" t="inlineStr">
        <is>
          <t>439 208 146 708</t>
        </is>
      </c>
      <c r="G4174" s="10" t="n"/>
      <c r="H4174" s="9" t="inlineStr">
        <is>
          <t>Costco statement says $18.48 for this charge… can't find receipt, so must've fat-fingered it wrong in the itemized purchase log</t>
        </is>
      </c>
      <c r="I4174" s="9" t="n">
        <v>1</v>
      </c>
      <c r="J4174" s="9" t="inlineStr">
        <is>
          <t>cnt</t>
        </is>
      </c>
      <c r="K4174" s="9" t="n">
        <v>0.03</v>
      </c>
    </row>
    <row r="4175" ht="15" customFormat="1" customHeight="1" s="5">
      <c r="A4175" s="81" t="n">
        <v>45675</v>
      </c>
      <c r="B4175" s="82" t="n">
        <v>0.7208333333333333</v>
      </c>
      <c r="C4175" s="5" t="inlineStr">
        <is>
          <t>Costco</t>
        </is>
      </c>
      <c r="E4175" s="5" t="n">
        <v>1</v>
      </c>
      <c r="F4175" s="6" t="inlineStr">
        <is>
          <t>439 208 146 708</t>
        </is>
      </c>
      <c r="G4175" s="10" t="n"/>
      <c r="H4175" s="9" t="inlineStr">
        <is>
          <t>tax</t>
        </is>
      </c>
      <c r="I4175" s="9" t="n">
        <v>2</v>
      </c>
      <c r="J4175" s="9" t="inlineStr">
        <is>
          <t>cnt</t>
        </is>
      </c>
      <c r="K4175" s="9" t="n">
        <v>0</v>
      </c>
    </row>
    <row r="4176" ht="15" customFormat="1" customHeight="1" s="5">
      <c r="A4176" s="81" t="n">
        <v>45675</v>
      </c>
      <c r="B4176" s="82" t="n">
        <v>0.7201388888888889</v>
      </c>
      <c r="C4176" s="5" t="inlineStr">
        <is>
          <t>Costco</t>
        </is>
      </c>
      <c r="E4176" s="5" t="n">
        <v>1</v>
      </c>
      <c r="F4176" s="6" t="inlineStr">
        <is>
          <t>439 208 145 708</t>
        </is>
      </c>
      <c r="G4176" s="15" t="inlineStr">
        <is>
          <t>87745</t>
        </is>
      </c>
      <c r="H4176" s="9" t="inlineStr">
        <is>
          <t>Rotisserie</t>
        </is>
      </c>
      <c r="I4176" s="9" t="n">
        <v>3</v>
      </c>
      <c r="J4176" s="9" t="inlineStr">
        <is>
          <t>lb</t>
        </is>
      </c>
      <c r="K4176" s="9" t="inlineStr">
        <is>
          <t>4.99 A</t>
        </is>
      </c>
    </row>
    <row r="4177" ht="15" customFormat="1" customHeight="1" s="5">
      <c r="A4177" s="81" t="n">
        <v>45675</v>
      </c>
      <c r="B4177" s="82" t="n">
        <v>0.7201388888888889</v>
      </c>
      <c r="C4177" s="5" t="inlineStr">
        <is>
          <t>Costco</t>
        </is>
      </c>
      <c r="E4177" s="5" t="n">
        <v>1</v>
      </c>
      <c r="F4177" s="6" t="inlineStr">
        <is>
          <t>439 208 145 708</t>
        </is>
      </c>
      <c r="G4177" s="10" t="inlineStr">
        <is>
          <t>E 0000346736</t>
        </is>
      </c>
      <c r="H4177" s="9" t="inlineStr">
        <is>
          <t>**DISCOUNT** Cara Cara Oranges</t>
        </is>
      </c>
      <c r="I4177" s="9" t="n">
        <v>5</v>
      </c>
      <c r="J4177" s="9" t="inlineStr">
        <is>
          <t>lb</t>
        </is>
      </c>
      <c r="K4177" s="9" t="inlineStr">
        <is>
          <t>1.5-</t>
        </is>
      </c>
    </row>
    <row r="4178" ht="15" customFormat="1" customHeight="1" s="5">
      <c r="A4178" s="81" t="n">
        <v>45675</v>
      </c>
      <c r="B4178" s="82" t="n">
        <v>0.7201388888888889</v>
      </c>
      <c r="C4178" s="5" t="inlineStr">
        <is>
          <t>Costco</t>
        </is>
      </c>
      <c r="E4178" s="5" t="n">
        <v>1</v>
      </c>
      <c r="F4178" s="6" t="inlineStr">
        <is>
          <t>439 208 145 708</t>
        </is>
      </c>
      <c r="G4178" s="10" t="inlineStr">
        <is>
          <t>E 33841</t>
        </is>
      </c>
      <c r="H4178" s="9" t="inlineStr">
        <is>
          <t>BNLS/SL BRST boneless skinless chicken breasts @$2.99/lb</t>
        </is>
      </c>
      <c r="I4178" s="9" t="n">
        <v>8.69</v>
      </c>
      <c r="J4178" s="9" t="inlineStr">
        <is>
          <t>lb</t>
        </is>
      </c>
      <c r="K4178" s="9" t="n">
        <v>25.98</v>
      </c>
    </row>
    <row r="4179" ht="15" customFormat="1" customHeight="1" s="5">
      <c r="A4179" s="81" t="n">
        <v>45675</v>
      </c>
      <c r="B4179" s="82" t="n">
        <v>0.7201388888888889</v>
      </c>
      <c r="C4179" s="5" t="inlineStr">
        <is>
          <t>Costco</t>
        </is>
      </c>
      <c r="E4179" s="5" t="n">
        <v>1</v>
      </c>
      <c r="F4179" s="6" t="inlineStr">
        <is>
          <t>439 208 145 708</t>
        </is>
      </c>
      <c r="G4179" s="10" t="inlineStr">
        <is>
          <t>E 7099</t>
        </is>
      </c>
      <c r="H4179" s="9" t="inlineStr">
        <is>
          <t>Fresh Medjook Organic Pitted Dates</t>
        </is>
      </c>
      <c r="I4179" s="9" t="n">
        <v>24</v>
      </c>
      <c r="J4179" s="9" t="inlineStr">
        <is>
          <t>oz</t>
        </is>
      </c>
      <c r="K4179" s="9" t="n">
        <v>11.99</v>
      </c>
    </row>
    <row r="4180" ht="15" customFormat="1" customHeight="1" s="5">
      <c r="A4180" s="81" t="n">
        <v>45675</v>
      </c>
      <c r="B4180" s="82" t="n">
        <v>0.7201388888888889</v>
      </c>
      <c r="C4180" s="5" t="inlineStr">
        <is>
          <t>Costco</t>
        </is>
      </c>
      <c r="E4180" s="5" t="n">
        <v>1</v>
      </c>
      <c r="F4180" s="6" t="inlineStr">
        <is>
          <t>439 208 145 708</t>
        </is>
      </c>
      <c r="G4180" s="10" t="inlineStr">
        <is>
          <t>E 36285</t>
        </is>
      </c>
      <c r="H4180" s="9" t="inlineStr">
        <is>
          <t>KS Walnuts 48 oz</t>
        </is>
      </c>
      <c r="I4180" s="9" t="n">
        <v>3</v>
      </c>
      <c r="J4180" s="9" t="inlineStr">
        <is>
          <t>lb</t>
        </is>
      </c>
      <c r="K4180" s="9" t="n">
        <v>11.59</v>
      </c>
    </row>
    <row r="4181" ht="15" customFormat="1" customHeight="1" s="5">
      <c r="A4181" s="81" t="n">
        <v>45675</v>
      </c>
      <c r="B4181" s="82" t="n">
        <v>0.7201388888888889</v>
      </c>
      <c r="C4181" s="5" t="inlineStr">
        <is>
          <t>Costco</t>
        </is>
      </c>
      <c r="E4181" s="5" t="n">
        <v>1</v>
      </c>
      <c r="F4181" s="6" t="inlineStr">
        <is>
          <t>439 208 145 708</t>
        </is>
      </c>
      <c r="G4181" s="10" t="inlineStr">
        <is>
          <t>E 1335089</t>
        </is>
      </c>
      <c r="H4181" s="9" t="inlineStr">
        <is>
          <t>Bagels: 12 plain</t>
        </is>
      </c>
      <c r="I4181" s="9" t="n">
        <v>48</v>
      </c>
      <c r="J4181" s="9" t="inlineStr">
        <is>
          <t>oz</t>
        </is>
      </c>
      <c r="K4181" s="9" t="n">
        <v>7.99</v>
      </c>
    </row>
    <row r="4182" ht="15" customFormat="1" customHeight="1" s="5">
      <c r="A4182" s="81" t="n">
        <v>45675</v>
      </c>
      <c r="B4182" s="82" t="n">
        <v>0.7201388888888889</v>
      </c>
      <c r="C4182" s="5" t="inlineStr">
        <is>
          <t>Costco</t>
        </is>
      </c>
      <c r="E4182" s="5" t="n">
        <v>1</v>
      </c>
      <c r="F4182" s="6" t="inlineStr">
        <is>
          <t>439 208 145 708</t>
        </is>
      </c>
      <c r="G4182" s="10" t="inlineStr">
        <is>
          <t>E 38175</t>
        </is>
      </c>
      <c r="H4182" s="9" t="inlineStr">
        <is>
          <t>Cara Oranges</t>
        </is>
      </c>
      <c r="I4182" s="9" t="n">
        <v>5</v>
      </c>
      <c r="J4182" s="9" t="inlineStr">
        <is>
          <t>lb</t>
        </is>
      </c>
      <c r="K4182" s="9" t="n">
        <v>6.99</v>
      </c>
    </row>
    <row r="4183" ht="15" customFormat="1" customHeight="1" s="5">
      <c r="A4183" s="81" t="n">
        <v>45675</v>
      </c>
      <c r="B4183" s="82" t="n">
        <v>0.7201388888888889</v>
      </c>
      <c r="C4183" s="5" t="inlineStr">
        <is>
          <t>Costco</t>
        </is>
      </c>
      <c r="E4183" s="5" t="n">
        <v>1</v>
      </c>
      <c r="F4183" s="6" t="inlineStr">
        <is>
          <t>439 208 145 708</t>
        </is>
      </c>
      <c r="G4183" s="10" t="inlineStr">
        <is>
          <t>E 24587</t>
        </is>
      </c>
      <c r="H4183" s="9" t="inlineStr">
        <is>
          <t>ORganic Romaine Lettuce</t>
        </is>
      </c>
      <c r="I4183" s="9" t="n">
        <v>6</v>
      </c>
      <c r="J4183" s="9" t="inlineStr">
        <is>
          <t>cnt</t>
        </is>
      </c>
      <c r="K4183" s="9" t="n">
        <v>5.49</v>
      </c>
    </row>
    <row r="4184" ht="15" customFormat="1" customHeight="1" s="5">
      <c r="A4184" s="81" t="n">
        <v>45675</v>
      </c>
      <c r="B4184" s="82" t="n">
        <v>0.7201388888888889</v>
      </c>
      <c r="C4184" s="5" t="inlineStr">
        <is>
          <t>Costco</t>
        </is>
      </c>
      <c r="E4184" s="5" t="n">
        <v>1</v>
      </c>
      <c r="F4184" s="6" t="inlineStr">
        <is>
          <t>439 208 145 708</t>
        </is>
      </c>
      <c r="G4184" s="10" t="inlineStr">
        <is>
          <t>E 96716</t>
        </is>
      </c>
      <c r="H4184" s="9" t="inlineStr">
        <is>
          <t>Organic Spinach Box</t>
        </is>
      </c>
      <c r="I4184" s="9" t="n">
        <v>16</v>
      </c>
      <c r="J4184" s="9" t="inlineStr">
        <is>
          <t>oz</t>
        </is>
      </c>
      <c r="K4184" s="9" t="n">
        <v>3.89</v>
      </c>
    </row>
    <row r="4185" ht="15" customFormat="1" customHeight="1" s="5">
      <c r="A4185" s="81" t="n">
        <v>45675</v>
      </c>
      <c r="B4185" s="82" t="n">
        <v>0.7201388888888889</v>
      </c>
      <c r="C4185" s="5" t="inlineStr">
        <is>
          <t>Costco</t>
        </is>
      </c>
      <c r="E4185" s="5" t="n">
        <v>1</v>
      </c>
      <c r="F4185" s="6" t="inlineStr">
        <is>
          <t>439 208 145 708</t>
        </is>
      </c>
      <c r="G4185" s="10" t="n"/>
      <c r="H4185" s="9" t="inlineStr">
        <is>
          <t>TAX A 8.00%</t>
        </is>
      </c>
      <c r="I4185" s="9" t="n"/>
      <c r="J4185" s="9" t="n"/>
      <c r="K4185" s="9" t="n">
        <v>0.4</v>
      </c>
    </row>
    <row r="4186" ht="15" customFormat="1" customHeight="1" s="5">
      <c r="A4186" s="81" t="n">
        <v>45675</v>
      </c>
      <c r="B4186" s="82" t="n">
        <v>0.5208333333333334</v>
      </c>
      <c r="C4186" s="5" t="inlineStr">
        <is>
          <t>Highlands Ranch HD EyeCare Karla Quinton OD</t>
        </is>
      </c>
      <c r="E4186" s="5" t="n">
        <v>1</v>
      </c>
      <c r="F4186" s="6" t="inlineStr">
        <is>
          <t>15962855</t>
        </is>
      </c>
      <c r="G4186" s="15" t="inlineStr">
        <is>
          <t>15367142</t>
        </is>
      </c>
      <c r="H4186" s="9" t="inlineStr">
        <is>
          <t>V2103, V2782, V2100, V2762 Single Vision Trivex Polarized Brown</t>
        </is>
      </c>
      <c r="I4186" s="9" t="n">
        <v>1</v>
      </c>
      <c r="J4186" s="9" t="inlineStr">
        <is>
          <t>cnt</t>
        </is>
      </c>
      <c r="K4186" s="9" t="n">
        <v>385</v>
      </c>
    </row>
    <row r="4187" ht="15" customFormat="1" customHeight="1" s="5">
      <c r="A4187" s="81" t="n">
        <v>45675</v>
      </c>
      <c r="B4187" s="82" t="n">
        <v>0.5208333333333334</v>
      </c>
      <c r="C4187" s="5" t="inlineStr">
        <is>
          <t>Highlands Ranch HD EyeCare Karla Quinton OD</t>
        </is>
      </c>
      <c r="E4187" s="5" t="n">
        <v>1</v>
      </c>
      <c r="F4187" s="6" t="inlineStr">
        <is>
          <t>15962855</t>
        </is>
      </c>
      <c r="G4187" s="15" t="inlineStr">
        <is>
          <t>15367142</t>
        </is>
      </c>
      <c r="H4187" s="9" t="inlineStr">
        <is>
          <t>V2103, V2782, V2100, V2799 Single Vision Clear Blue Defense Trivex</t>
        </is>
      </c>
      <c r="I4187" s="9" t="n">
        <v>1</v>
      </c>
      <c r="J4187" s="9" t="inlineStr">
        <is>
          <t>cnt</t>
        </is>
      </c>
      <c r="K4187" s="9" t="n">
        <v>310</v>
      </c>
    </row>
    <row r="4188" ht="15" customFormat="1" customHeight="1" s="5">
      <c r="A4188" s="81" t="n">
        <v>45675</v>
      </c>
      <c r="B4188" s="82" t="n">
        <v>0.5208333333333334</v>
      </c>
      <c r="C4188" s="5" t="inlineStr">
        <is>
          <t>Highlands Ranch HD EyeCare Karla Quinton OD</t>
        </is>
      </c>
      <c r="E4188" s="5" t="n">
        <v>1</v>
      </c>
      <c r="F4188" s="6" t="inlineStr">
        <is>
          <t>15962855</t>
        </is>
      </c>
      <c r="G4188" s="15" t="inlineStr">
        <is>
          <t>15367101</t>
        </is>
      </c>
      <c r="H4188" s="9" t="inlineStr">
        <is>
          <t>92004 Comprehensive Exam - New Patient</t>
        </is>
      </c>
      <c r="I4188" s="9" t="n">
        <v>1</v>
      </c>
      <c r="J4188" s="9" t="inlineStr">
        <is>
          <t>cnt</t>
        </is>
      </c>
      <c r="K4188" s="9" t="n">
        <v>195</v>
      </c>
    </row>
    <row r="4189" ht="15" customFormat="1" customHeight="1" s="5">
      <c r="A4189" s="81" t="n">
        <v>45675</v>
      </c>
      <c r="B4189" s="82" t="n">
        <v>0.5208333333333334</v>
      </c>
      <c r="C4189" s="5" t="inlineStr">
        <is>
          <t>Highlands Ranch HD EyeCare Karla Quinton OD</t>
        </is>
      </c>
      <c r="E4189" s="5" t="n">
        <v>1</v>
      </c>
      <c r="F4189" s="6" t="inlineStr">
        <is>
          <t>15962855</t>
        </is>
      </c>
      <c r="G4189" s="15" t="inlineStr">
        <is>
          <t>15367142</t>
        </is>
      </c>
      <c r="H4189" s="9" t="inlineStr">
        <is>
          <t>V2020 Longchamp Sun LO685S Gold/Smoke 59/17/140</t>
        </is>
      </c>
      <c r="I4189" s="9" t="n">
        <v>1</v>
      </c>
      <c r="J4189" s="9" t="inlineStr">
        <is>
          <t>cnt</t>
        </is>
      </c>
      <c r="K4189" s="9" t="n">
        <v>175</v>
      </c>
    </row>
    <row r="4190" ht="15" customFormat="1" customHeight="1" s="5">
      <c r="A4190" s="81" t="n">
        <v>45675</v>
      </c>
      <c r="B4190" s="82" t="n">
        <v>0.5208333333333334</v>
      </c>
      <c r="C4190" s="5" t="inlineStr">
        <is>
          <t>Highlands Ranch HD EyeCare Karla Quinton OD</t>
        </is>
      </c>
      <c r="E4190" s="5" t="n">
        <v>1</v>
      </c>
      <c r="F4190" s="6" t="inlineStr">
        <is>
          <t>15962855</t>
        </is>
      </c>
      <c r="G4190" s="15" t="inlineStr">
        <is>
          <t>15367142</t>
        </is>
      </c>
      <c r="H4190" s="9" t="inlineStr">
        <is>
          <t>V2750 Standard AR</t>
        </is>
      </c>
      <c r="I4190" s="9" t="n">
        <v>1</v>
      </c>
      <c r="J4190" s="9" t="inlineStr">
        <is>
          <t>cnt</t>
        </is>
      </c>
      <c r="K4190" s="9" t="n">
        <v>130</v>
      </c>
    </row>
    <row r="4191" ht="15" customFormat="1" customHeight="1" s="5">
      <c r="A4191" s="81" t="n">
        <v>45675</v>
      </c>
      <c r="B4191" s="82" t="n">
        <v>0.5208333333333334</v>
      </c>
      <c r="C4191" s="5" t="inlineStr">
        <is>
          <t>Highlands Ranch HD EyeCare Karla Quinton OD</t>
        </is>
      </c>
      <c r="E4191" s="5" t="n">
        <v>1</v>
      </c>
      <c r="F4191" s="6" t="inlineStr">
        <is>
          <t>15962855</t>
        </is>
      </c>
      <c r="G4191" s="15" t="inlineStr">
        <is>
          <t>15367142</t>
        </is>
      </c>
      <c r="H4191" s="9" t="inlineStr">
        <is>
          <t>V2750 VSP Techshield AR</t>
        </is>
      </c>
      <c r="I4191" s="9" t="n">
        <v>1</v>
      </c>
      <c r="J4191" s="9" t="inlineStr">
        <is>
          <t>cnt</t>
        </is>
      </c>
      <c r="K4191" s="9" t="n">
        <v>90</v>
      </c>
    </row>
    <row r="4192" ht="15" customFormat="1" customHeight="1" s="5">
      <c r="A4192" s="81" t="n">
        <v>45675</v>
      </c>
      <c r="B4192" s="82" t="n">
        <v>0.5208333333333334</v>
      </c>
      <c r="C4192" s="5" t="inlineStr">
        <is>
          <t>Highlands Ranch HD EyeCare Karla Quinton OD</t>
        </is>
      </c>
      <c r="E4192" s="5" t="n">
        <v>1</v>
      </c>
      <c r="F4192" s="6" t="inlineStr">
        <is>
          <t>15962855</t>
        </is>
      </c>
      <c r="G4192" s="15" t="inlineStr">
        <is>
          <t>15367101</t>
        </is>
      </c>
      <c r="H4192" s="9" t="inlineStr">
        <is>
          <t>92015 Refraction</t>
        </is>
      </c>
      <c r="I4192" s="9" t="n">
        <v>1</v>
      </c>
      <c r="J4192" s="9" t="inlineStr">
        <is>
          <t>cnt</t>
        </is>
      </c>
      <c r="K4192" s="9" t="n">
        <v>80</v>
      </c>
    </row>
    <row r="4193" ht="15" customFormat="1" customHeight="1" s="5">
      <c r="A4193" s="81" t="n">
        <v>45675</v>
      </c>
      <c r="B4193" s="82" t="n">
        <v>0.5208333333333334</v>
      </c>
      <c r="C4193" s="5" t="inlineStr">
        <is>
          <t>Highlands Ranch HD EyeCare Karla Quinton OD</t>
        </is>
      </c>
      <c r="E4193" s="5" t="n">
        <v>1</v>
      </c>
      <c r="F4193" s="6" t="inlineStr">
        <is>
          <t>15962855</t>
        </is>
      </c>
      <c r="G4193" s="15" t="inlineStr">
        <is>
          <t>15367142</t>
        </is>
      </c>
      <c r="H4193" s="9" t="inlineStr">
        <is>
          <t>V2020 4u US110 Crystal 53.19.150</t>
        </is>
      </c>
      <c r="I4193" s="9" t="n">
        <v>1</v>
      </c>
      <c r="J4193" s="9" t="inlineStr">
        <is>
          <t>cnt</t>
        </is>
      </c>
      <c r="K4193" s="9" t="n">
        <v>69</v>
      </c>
    </row>
    <row r="4194" ht="15" customFormat="1" customHeight="1" s="5">
      <c r="A4194" s="81" t="n">
        <v>45675</v>
      </c>
      <c r="B4194" s="82" t="n">
        <v>0.5208333333333334</v>
      </c>
      <c r="C4194" s="5" t="inlineStr">
        <is>
          <t>Highlands Ranch HD EyeCare Karla Quinton OD</t>
        </is>
      </c>
      <c r="E4194" s="5" t="n">
        <v>1</v>
      </c>
      <c r="F4194" s="6" t="inlineStr">
        <is>
          <t>15962855</t>
        </is>
      </c>
      <c r="G4194" s="15" t="inlineStr">
        <is>
          <t>15367101</t>
        </is>
      </c>
      <c r="H4194" s="9" t="inlineStr">
        <is>
          <t>S9986.4 Screening Retinal Photos</t>
        </is>
      </c>
      <c r="I4194" s="9" t="n">
        <v>1</v>
      </c>
      <c r="J4194" s="9" t="inlineStr">
        <is>
          <t>cnt</t>
        </is>
      </c>
      <c r="K4194" s="9" t="n">
        <v>45</v>
      </c>
    </row>
    <row r="4195" ht="15" customFormat="1" customHeight="1" s="5">
      <c r="A4195" s="81" t="n">
        <v>45675</v>
      </c>
      <c r="B4195" s="82" t="n">
        <v>0.5208333333333334</v>
      </c>
      <c r="C4195" s="5" t="inlineStr">
        <is>
          <t>Highlands Ranch HD EyeCare Karla Quinton OD</t>
        </is>
      </c>
      <c r="E4195" s="5" t="n">
        <v>1</v>
      </c>
      <c r="F4195" s="6" t="inlineStr">
        <is>
          <t>15962855</t>
        </is>
      </c>
      <c r="G4195" s="15" t="inlineStr">
        <is>
          <t>15367101</t>
        </is>
      </c>
      <c r="H4195" s="9" t="inlineStr">
        <is>
          <t>SPOCT - Screening OCT - SROCT</t>
        </is>
      </c>
      <c r="I4195" s="9" t="n">
        <v>1</v>
      </c>
      <c r="J4195" s="9" t="inlineStr">
        <is>
          <t>cnt</t>
        </is>
      </c>
      <c r="K4195" s="9" t="n">
        <v>45</v>
      </c>
    </row>
    <row r="4196" ht="15" customFormat="1" customHeight="1" s="5">
      <c r="A4196" s="81" t="n">
        <v>45675</v>
      </c>
      <c r="B4196" s="82" t="n">
        <v>0.5208333333333334</v>
      </c>
      <c r="C4196" s="5" t="inlineStr">
        <is>
          <t>Highlands Ranch HD EyeCare Karla Quinton OD</t>
        </is>
      </c>
      <c r="E4196" s="5" t="n">
        <v>1</v>
      </c>
      <c r="F4196" s="6" t="inlineStr">
        <is>
          <t>15962855</t>
        </is>
      </c>
      <c r="G4196" s="15" t="inlineStr">
        <is>
          <t>15367142</t>
        </is>
      </c>
      <c r="H4196" s="9" t="inlineStr">
        <is>
          <t>V2799 Warranty</t>
        </is>
      </c>
      <c r="I4196" s="9" t="n">
        <v>1</v>
      </c>
      <c r="J4196" s="9" t="inlineStr">
        <is>
          <t>cnt</t>
        </is>
      </c>
      <c r="K4196" s="9" t="n">
        <v>39.94</v>
      </c>
    </row>
    <row r="4197" ht="15" customFormat="1" customHeight="1" s="5">
      <c r="A4197" s="81" t="n">
        <v>45675</v>
      </c>
      <c r="B4197" s="82" t="n">
        <v>0.5208333333333334</v>
      </c>
      <c r="C4197" s="5" t="inlineStr">
        <is>
          <t>Highlands Ranch HD EyeCare Karla Quinton OD</t>
        </is>
      </c>
      <c r="E4197" s="5" t="n">
        <v>1</v>
      </c>
      <c r="F4197" s="6" t="inlineStr">
        <is>
          <t>15962855</t>
        </is>
      </c>
      <c r="G4197" s="15" t="inlineStr">
        <is>
          <t>15367142</t>
        </is>
      </c>
      <c r="H4197" s="9" t="inlineStr">
        <is>
          <t>HD Eyecare DISCOUNT 50% second glasses pair</t>
        </is>
      </c>
      <c r="I4197" s="9" t="n">
        <v>7</v>
      </c>
      <c r="J4197" s="9" t="inlineStr">
        <is>
          <t>cnt</t>
        </is>
      </c>
      <c r="K4197" s="9" t="n">
        <v>-254.5</v>
      </c>
    </row>
    <row r="4198" ht="15" customFormat="1" customHeight="1" s="5">
      <c r="A4198" s="81" t="n">
        <v>45675</v>
      </c>
      <c r="B4198" s="82" t="n">
        <v>0.5208333333333334</v>
      </c>
      <c r="C4198" s="5" t="inlineStr">
        <is>
          <t>Highlands Ranch HD EyeCare Karla Quinton OD</t>
        </is>
      </c>
      <c r="E4198" s="5" t="n">
        <v>1</v>
      </c>
      <c r="F4198" s="6" t="inlineStr">
        <is>
          <t>15962855</t>
        </is>
      </c>
      <c r="G4198" s="15" t="inlineStr">
        <is>
          <t>15367101</t>
        </is>
      </c>
      <c r="H4198" s="9" t="inlineStr">
        <is>
          <t>VSP Insurance Allowance</t>
        </is>
      </c>
      <c r="I4198" s="9" t="n">
        <v>4</v>
      </c>
      <c r="J4198" s="9" t="inlineStr">
        <is>
          <t>cnt</t>
        </is>
      </c>
      <c r="K4198" s="9" t="n">
        <v>-301</v>
      </c>
    </row>
    <row r="4199" ht="15" customFormat="1" customHeight="1" s="5">
      <c r="A4199" s="81" t="n">
        <v>45675</v>
      </c>
      <c r="B4199" s="82" t="n">
        <v>0.5208333333333334</v>
      </c>
      <c r="C4199" s="5" t="inlineStr">
        <is>
          <t>Highlands Ranch HD EyeCare Karla Quinton OD</t>
        </is>
      </c>
      <c r="E4199" s="5" t="n">
        <v>1</v>
      </c>
      <c r="F4199" s="6" t="inlineStr">
        <is>
          <t>15962855</t>
        </is>
      </c>
      <c r="G4199" s="15" t="inlineStr">
        <is>
          <t>15367142</t>
        </is>
      </c>
      <c r="H4199" s="9" t="inlineStr">
        <is>
          <t>VSP Insurance Allowance</t>
        </is>
      </c>
      <c r="I4199" s="9" t="n">
        <v>7</v>
      </c>
      <c r="J4199" s="9" t="inlineStr">
        <is>
          <t>cnt</t>
        </is>
      </c>
      <c r="K4199" s="9" t="n">
        <v>-517</v>
      </c>
    </row>
    <row r="4200" ht="15" customFormat="1" customHeight="1" s="5">
      <c r="A4200" s="81" t="n">
        <v>45675</v>
      </c>
      <c r="B4200" s="82" t="n">
        <v>0.5</v>
      </c>
      <c r="C4200" s="5" t="inlineStr">
        <is>
          <t>Highlands Ranch HD EyeCare Karla Quinton OD</t>
        </is>
      </c>
      <c r="E4200" s="5" t="n">
        <v>1</v>
      </c>
      <c r="F4200" s="6" t="inlineStr">
        <is>
          <t>15962697</t>
        </is>
      </c>
      <c r="G4200" s="15" t="inlineStr">
        <is>
          <t>15367052</t>
        </is>
      </c>
      <c r="H4200" s="9" t="inlineStr">
        <is>
          <t>V2103, V2782, V2410, V2762</t>
        </is>
      </c>
      <c r="I4200" s="9" t="n">
        <v>1</v>
      </c>
      <c r="J4200" s="9" t="inlineStr">
        <is>
          <t>cnt</t>
        </is>
      </c>
      <c r="K4200" s="9" t="n">
        <v>495</v>
      </c>
    </row>
    <row r="4201" ht="15" customFormat="1" customHeight="1" s="5">
      <c r="A4201" s="81" t="n">
        <v>45675</v>
      </c>
      <c r="B4201" s="82" t="n">
        <v>0.5</v>
      </c>
      <c r="C4201" s="5" t="inlineStr">
        <is>
          <t>Highlands Ranch HD EyeCare Karla Quinton OD</t>
        </is>
      </c>
      <c r="E4201" s="5" t="n">
        <v>1</v>
      </c>
      <c r="F4201" s="6" t="inlineStr">
        <is>
          <t>15962697</t>
        </is>
      </c>
      <c r="G4201" s="15" t="inlineStr">
        <is>
          <t>15367052</t>
        </is>
      </c>
      <c r="H4201" s="9" t="inlineStr">
        <is>
          <t>V2020 Lacoste Optical L2890 GREY 56/18/145</t>
        </is>
      </c>
      <c r="I4201" s="9" t="n">
        <v>1</v>
      </c>
      <c r="J4201" s="9" t="inlineStr">
        <is>
          <t>cnt</t>
        </is>
      </c>
      <c r="K4201" s="9" t="n">
        <v>269</v>
      </c>
    </row>
    <row r="4202" ht="15" customFormat="1" customHeight="1" s="5">
      <c r="A4202" s="81" t="n">
        <v>45675</v>
      </c>
      <c r="B4202" s="82" t="n">
        <v>0.5</v>
      </c>
      <c r="C4202" s="5" t="inlineStr">
        <is>
          <t>Highlands Ranch HD EyeCare Karla Quinton OD</t>
        </is>
      </c>
      <c r="E4202" s="5" t="n">
        <v>1</v>
      </c>
      <c r="F4202" s="6" t="inlineStr">
        <is>
          <t>15962697</t>
        </is>
      </c>
      <c r="G4202" s="15" t="inlineStr">
        <is>
          <t>15367035</t>
        </is>
      </c>
      <c r="H4202" s="9" t="inlineStr">
        <is>
          <t>92014 Comprehensive Exam</t>
        </is>
      </c>
      <c r="I4202" s="9" t="n">
        <v>1</v>
      </c>
      <c r="J4202" s="9" t="inlineStr">
        <is>
          <t>cnt</t>
        </is>
      </c>
      <c r="K4202" s="9" t="n">
        <v>165</v>
      </c>
    </row>
    <row r="4203" ht="15" customFormat="1" customHeight="1" s="5">
      <c r="A4203" s="81" t="n">
        <v>45675</v>
      </c>
      <c r="B4203" s="82" t="n">
        <v>0.5</v>
      </c>
      <c r="C4203" s="5" t="inlineStr">
        <is>
          <t>Highlands Ranch HD EyeCare Karla Quinton OD</t>
        </is>
      </c>
      <c r="E4203" s="5" t="n">
        <v>1</v>
      </c>
      <c r="F4203" s="6" t="inlineStr">
        <is>
          <t>15962697</t>
        </is>
      </c>
      <c r="G4203" s="15" t="inlineStr">
        <is>
          <t>15367035</t>
        </is>
      </c>
      <c r="H4203" s="9" t="inlineStr">
        <is>
          <t>92310.2 CL Lev 2 - Moderate Complexity</t>
        </is>
      </c>
      <c r="I4203" s="9" t="n">
        <v>1</v>
      </c>
      <c r="J4203" s="9" t="inlineStr">
        <is>
          <t>cnt</t>
        </is>
      </c>
      <c r="K4203" s="9" t="n">
        <v>110</v>
      </c>
    </row>
    <row r="4204" ht="15" customFormat="1" customHeight="1" s="5">
      <c r="A4204" s="81" t="n">
        <v>45675</v>
      </c>
      <c r="B4204" s="82" t="n">
        <v>0.5</v>
      </c>
      <c r="C4204" s="5" t="inlineStr">
        <is>
          <t>Highlands Ranch HD EyeCare Karla Quinton OD</t>
        </is>
      </c>
      <c r="E4204" s="5" t="n">
        <v>1</v>
      </c>
      <c r="F4204" s="6" t="inlineStr">
        <is>
          <t>15962697</t>
        </is>
      </c>
      <c r="G4204" s="15" t="inlineStr">
        <is>
          <t>15367052</t>
        </is>
      </c>
      <c r="H4204" s="9" t="inlineStr">
        <is>
          <t>V2750 VSP Techshield AR</t>
        </is>
      </c>
      <c r="I4204" s="9" t="n">
        <v>1</v>
      </c>
      <c r="J4204" s="9" t="inlineStr">
        <is>
          <t>cnt</t>
        </is>
      </c>
      <c r="K4204" s="9" t="n">
        <v>90</v>
      </c>
    </row>
    <row r="4205" ht="15" customFormat="1" customHeight="1" s="5">
      <c r="A4205" s="81" t="n">
        <v>45675</v>
      </c>
      <c r="B4205" s="82" t="n">
        <v>0.5</v>
      </c>
      <c r="C4205" s="5" t="inlineStr">
        <is>
          <t>Highlands Ranch HD EyeCare Karla Quinton OD</t>
        </is>
      </c>
      <c r="E4205" s="5" t="n">
        <v>1</v>
      </c>
      <c r="F4205" s="6" t="inlineStr">
        <is>
          <t>15962697</t>
        </is>
      </c>
      <c r="G4205" s="15" t="inlineStr">
        <is>
          <t>15367035</t>
        </is>
      </c>
      <c r="H4205" s="9" t="inlineStr">
        <is>
          <t>92015 Refraction</t>
        </is>
      </c>
      <c r="I4205" s="9" t="n">
        <v>1</v>
      </c>
      <c r="J4205" s="9" t="inlineStr">
        <is>
          <t>cnt</t>
        </is>
      </c>
      <c r="K4205" s="9" t="n">
        <v>80</v>
      </c>
    </row>
    <row r="4206" ht="15" customFormat="1" customHeight="1" s="5">
      <c r="A4206" s="81" t="n">
        <v>45675</v>
      </c>
      <c r="B4206" s="82" t="n">
        <v>0.5</v>
      </c>
      <c r="C4206" s="5" t="inlineStr">
        <is>
          <t>Highlands Ranch HD EyeCare Karla Quinton OD</t>
        </is>
      </c>
      <c r="E4206" s="5" t="n">
        <v>1</v>
      </c>
      <c r="F4206" s="6" t="inlineStr">
        <is>
          <t>15962697</t>
        </is>
      </c>
      <c r="G4206" s="15" t="inlineStr">
        <is>
          <t>15367052</t>
        </is>
      </c>
      <c r="H4206" s="9" t="inlineStr">
        <is>
          <t>V2799 Warranty</t>
        </is>
      </c>
      <c r="I4206" s="9" t="n">
        <v>1</v>
      </c>
      <c r="J4206" s="9" t="inlineStr">
        <is>
          <t>cnt</t>
        </is>
      </c>
      <c r="K4206" s="9" t="n">
        <v>39.94</v>
      </c>
    </row>
    <row r="4207" ht="15" customFormat="1" customHeight="1" s="5">
      <c r="A4207" s="81" t="n">
        <v>45675</v>
      </c>
      <c r="B4207" s="82" t="n">
        <v>0.5</v>
      </c>
      <c r="C4207" s="5" t="inlineStr">
        <is>
          <t>Highlands Ranch HD EyeCare Karla Quinton OD</t>
        </is>
      </c>
      <c r="E4207" s="5" t="n">
        <v>1</v>
      </c>
      <c r="F4207" s="6" t="inlineStr">
        <is>
          <t>15962697</t>
        </is>
      </c>
      <c r="G4207" s="15" t="inlineStr">
        <is>
          <t>15367035</t>
        </is>
      </c>
      <c r="H4207" s="9" t="inlineStr">
        <is>
          <t>VSP Insurance Allowance</t>
        </is>
      </c>
      <c r="I4207" s="9" t="n">
        <v>3</v>
      </c>
      <c r="J4207" s="9" t="inlineStr">
        <is>
          <t>cnt</t>
        </is>
      </c>
      <c r="K4207" s="9" t="n">
        <v>-355</v>
      </c>
    </row>
    <row r="4208" ht="15" customFormat="1" customHeight="1" s="5">
      <c r="A4208" s="81" t="n">
        <v>45675</v>
      </c>
      <c r="B4208" s="82" t="n">
        <v>0.5</v>
      </c>
      <c r="C4208" s="5" t="inlineStr">
        <is>
          <t>Highlands Ranch HD EyeCare Karla Quinton OD</t>
        </is>
      </c>
      <c r="E4208" s="5" t="n">
        <v>1</v>
      </c>
      <c r="F4208" s="6" t="inlineStr">
        <is>
          <t>15962697</t>
        </is>
      </c>
      <c r="G4208" s="15" t="inlineStr">
        <is>
          <t>15367035</t>
        </is>
      </c>
      <c r="H4208" s="9" t="inlineStr">
        <is>
          <t>VSP SInsurance Allowance</t>
        </is>
      </c>
      <c r="I4208" s="9" t="n">
        <v>4</v>
      </c>
      <c r="J4208" s="9" t="inlineStr">
        <is>
          <t>cnt</t>
        </is>
      </c>
      <c r="K4208" s="9" t="n">
        <v>-707</v>
      </c>
    </row>
    <row r="4209" ht="15" customFormat="1" customHeight="1" s="5">
      <c r="A4209" s="81" t="n">
        <v>45672</v>
      </c>
      <c r="B4209" s="82" t="n">
        <v>0.7097222222222223</v>
      </c>
      <c r="C4209" s="5" t="inlineStr">
        <is>
          <t>Safeway</t>
        </is>
      </c>
      <c r="E4209" s="5" t="n">
        <v>1</v>
      </c>
      <c r="F4209" s="6" t="inlineStr">
        <is>
          <t>2612 2 40 1650</t>
        </is>
      </c>
      <c r="G4209" s="10" t="n"/>
      <c r="H4209" s="9" t="inlineStr">
        <is>
          <t>Green Seedless Grapes @$3.69/lb</t>
        </is>
      </c>
      <c r="I4209" s="9" t="n">
        <v>2.22</v>
      </c>
      <c r="J4209" s="9" t="inlineStr">
        <is>
          <t>lb</t>
        </is>
      </c>
      <c r="K4209" s="9" t="n">
        <v>8.19</v>
      </c>
    </row>
    <row r="4210" ht="15" customFormat="1" customHeight="1" s="5">
      <c r="A4210" s="81" t="n">
        <v>45672</v>
      </c>
      <c r="B4210" s="82" t="n">
        <v>0.7097222222222223</v>
      </c>
      <c r="C4210" s="5" t="inlineStr">
        <is>
          <t>Safeway</t>
        </is>
      </c>
      <c r="E4210" s="5" t="n">
        <v>1</v>
      </c>
      <c r="F4210" s="6" t="inlineStr">
        <is>
          <t>2612 2 40 1650</t>
        </is>
      </c>
      <c r="G4210" s="10" t="n"/>
      <c r="H4210" s="9" t="inlineStr">
        <is>
          <t>V CRNR Whole Milk</t>
        </is>
      </c>
      <c r="I4210" s="9" t="n">
        <v>1</v>
      </c>
      <c r="J4210" s="9" t="inlineStr">
        <is>
          <t>gal</t>
        </is>
      </c>
      <c r="K4210" s="9" t="n">
        <v>3.79</v>
      </c>
    </row>
    <row r="4211" ht="15" customFormat="1" customHeight="1" s="5">
      <c r="A4211" s="81" t="n">
        <v>45672</v>
      </c>
      <c r="B4211" s="82" t="n">
        <v>0.7097222222222223</v>
      </c>
      <c r="C4211" s="5" t="inlineStr">
        <is>
          <t>Safeway</t>
        </is>
      </c>
      <c r="E4211" s="5" t="n">
        <v>1</v>
      </c>
      <c r="F4211" s="6" t="inlineStr">
        <is>
          <t>2612 2 40 1650</t>
        </is>
      </c>
      <c r="G4211" s="10" t="n"/>
      <c r="H4211" s="9" t="inlineStr">
        <is>
          <t>Lucerne Cheese Cottage Small Curd 4% Milkfat Min. - 24 Oz</t>
        </is>
      </c>
      <c r="I4211" s="9" t="n">
        <v>24</v>
      </c>
      <c r="J4211" s="9" t="inlineStr">
        <is>
          <t>oz</t>
        </is>
      </c>
      <c r="K4211" s="9" t="n">
        <v>3.29</v>
      </c>
    </row>
    <row r="4212" ht="15" customFormat="1" customHeight="1" s="5">
      <c r="A4212" s="81" t="n">
        <v>45672</v>
      </c>
      <c r="B4212" s="82" t="n">
        <v>0.7097222222222223</v>
      </c>
      <c r="C4212" s="5" t="inlineStr">
        <is>
          <t>Safeway</t>
        </is>
      </c>
      <c r="E4212" s="5" t="n">
        <v>1</v>
      </c>
      <c r="F4212" s="6" t="inlineStr">
        <is>
          <t>2612 2 40 1650</t>
        </is>
      </c>
      <c r="G4212" s="10" t="n"/>
      <c r="H4212" s="9" t="inlineStr">
        <is>
          <t>Grapefruit Red XLARGE @$0.99/lb</t>
        </is>
      </c>
      <c r="I4212" s="9" t="n">
        <v>1.9</v>
      </c>
      <c r="J4212" s="9" t="inlineStr">
        <is>
          <t>lb</t>
        </is>
      </c>
      <c r="K4212" s="9" t="n">
        <v>3.21</v>
      </c>
    </row>
    <row r="4213" ht="15" customFormat="1" customHeight="1" s="5">
      <c r="A4213" s="81" t="n">
        <v>45672</v>
      </c>
      <c r="B4213" s="82" t="n">
        <v>0.7097222222222223</v>
      </c>
      <c r="C4213" s="5" t="inlineStr">
        <is>
          <t>Safeway</t>
        </is>
      </c>
      <c r="E4213" s="5" t="n">
        <v>1</v>
      </c>
      <c r="F4213" s="6" t="inlineStr">
        <is>
          <t>2612 2 40 1650</t>
        </is>
      </c>
      <c r="G4213" s="10" t="n"/>
      <c r="H4213" s="9" t="inlineStr">
        <is>
          <t>Organic Cilantro Bunch</t>
        </is>
      </c>
      <c r="I4213" s="9" t="n">
        <v>2</v>
      </c>
      <c r="J4213" s="9" t="inlineStr">
        <is>
          <t>cnt</t>
        </is>
      </c>
      <c r="K4213" s="9" t="n">
        <v>1.99</v>
      </c>
    </row>
    <row r="4214" ht="15" customFormat="1" customHeight="1" s="5">
      <c r="A4214" s="81" t="n">
        <v>45672</v>
      </c>
      <c r="B4214" s="82" t="n">
        <v>0.7097222222222223</v>
      </c>
      <c r="C4214" s="5" t="inlineStr">
        <is>
          <t>Safeway</t>
        </is>
      </c>
      <c r="E4214" s="5" t="n">
        <v>1</v>
      </c>
      <c r="F4214" s="6" t="inlineStr">
        <is>
          <t>2612 2 40 1650</t>
        </is>
      </c>
      <c r="G4214" s="10" t="n"/>
      <c r="H4214" s="9" t="inlineStr">
        <is>
          <t>Tax</t>
        </is>
      </c>
      <c r="I4214" s="9" t="n">
        <v>5</v>
      </c>
      <c r="J4214" s="9" t="inlineStr">
        <is>
          <t>cnt</t>
        </is>
      </c>
      <c r="K4214" s="9" t="n">
        <v>0</v>
      </c>
    </row>
    <row r="4215" ht="15" customFormat="1" customHeight="1" s="5">
      <c r="A4215" s="81" t="n">
        <v>45672</v>
      </c>
      <c r="B4215" s="82" t="n">
        <v>0.7097222222222223</v>
      </c>
      <c r="C4215" s="5" t="inlineStr">
        <is>
          <t>Safeway</t>
        </is>
      </c>
      <c r="E4215" s="5" t="n">
        <v>1</v>
      </c>
      <c r="F4215" s="6" t="inlineStr">
        <is>
          <t>2612 2 40 1650</t>
        </is>
      </c>
      <c r="G4215" s="10" t="n"/>
      <c r="H4215" s="9" t="inlineStr">
        <is>
          <t>**DISCOUNT** Member Savings</t>
        </is>
      </c>
      <c r="I4215" s="9" t="n">
        <v>24</v>
      </c>
      <c r="J4215" s="9" t="inlineStr">
        <is>
          <t>oz</t>
        </is>
      </c>
      <c r="K4215" s="9" t="n">
        <v>-0.3</v>
      </c>
    </row>
    <row r="4216" ht="15" customFormat="1" customHeight="1" s="5">
      <c r="A4216" s="81" t="n">
        <v>45672</v>
      </c>
      <c r="B4216" s="82" t="n">
        <v>0.7097222222222223</v>
      </c>
      <c r="C4216" s="5" t="inlineStr">
        <is>
          <t>Safeway</t>
        </is>
      </c>
      <c r="E4216" s="5" t="n">
        <v>1</v>
      </c>
      <c r="F4216" s="6" t="inlineStr">
        <is>
          <t>2612 2 40 1650</t>
        </is>
      </c>
      <c r="G4216" s="10" t="n"/>
      <c r="H4216" s="9" t="inlineStr">
        <is>
          <t>**DISCOUNT** Member Savings</t>
        </is>
      </c>
      <c r="I4216" s="9" t="n">
        <v>1.9</v>
      </c>
      <c r="J4216" s="9" t="inlineStr">
        <is>
          <t>lb</t>
        </is>
      </c>
      <c r="K4216" s="9" t="n">
        <v>-1.33</v>
      </c>
    </row>
    <row r="4217" ht="15" customFormat="1" customHeight="1" s="5">
      <c r="A4217" s="89" t="n">
        <v>45672</v>
      </c>
      <c r="B4217" s="82" t="n">
        <v>0.2916666666666667</v>
      </c>
      <c r="C4217" s="5" t="inlineStr">
        <is>
          <t>US Tax Witholding</t>
        </is>
      </c>
      <c r="D4217" s="5" t="n">
        <v>1</v>
      </c>
      <c r="F4217" s="6" t="inlineStr">
        <is>
          <t>GM_Paycheck_048</t>
        </is>
      </c>
      <c r="G4217" s="7" t="n"/>
      <c r="H4217" s="9" t="inlineStr">
        <is>
          <t>Tax Deductions: Federal Witholding Tax</t>
        </is>
      </c>
      <c r="K4217" s="5" t="n">
        <v>353.42</v>
      </c>
    </row>
    <row r="4218" ht="15" customFormat="1" customHeight="1" s="5">
      <c r="A4218" s="89" t="n">
        <v>45672</v>
      </c>
      <c r="B4218" s="82" t="n">
        <v>0.2916666666666667</v>
      </c>
      <c r="C4218" s="5" t="inlineStr">
        <is>
          <t>US Tax Witholding</t>
        </is>
      </c>
      <c r="D4218" s="5" t="n">
        <v>1</v>
      </c>
      <c r="F4218" s="6" t="inlineStr">
        <is>
          <t>GM_Paycheck_048</t>
        </is>
      </c>
      <c r="G4218" s="7" t="n"/>
      <c r="H4218" s="9" t="inlineStr">
        <is>
          <t>EE Social Security Tax</t>
        </is>
      </c>
      <c r="K4218" s="5" t="n">
        <v>221.56</v>
      </c>
    </row>
    <row r="4219" ht="15" customFormat="1" customHeight="1" s="5">
      <c r="A4219" s="89" t="n">
        <v>45672</v>
      </c>
      <c r="B4219" s="82" t="n">
        <v>0.2916666666666667</v>
      </c>
      <c r="C4219" s="5" t="inlineStr">
        <is>
          <t>US Tax Witholding</t>
        </is>
      </c>
      <c r="D4219" s="5" t="n">
        <v>1</v>
      </c>
      <c r="F4219" s="6" t="inlineStr">
        <is>
          <t>GM_Paycheck_048</t>
        </is>
      </c>
      <c r="G4219" s="7" t="n"/>
      <c r="H4219" s="9" t="inlineStr">
        <is>
          <t>EE Medicare Tax</t>
        </is>
      </c>
      <c r="K4219" s="5" t="n">
        <v>51.82</v>
      </c>
    </row>
    <row r="4220" ht="15" customFormat="1" customHeight="1" s="5">
      <c r="A4220" s="89" t="n">
        <v>45672</v>
      </c>
      <c r="B4220" s="82" t="n">
        <v>0.2916666666666667</v>
      </c>
      <c r="C4220" s="5" t="inlineStr">
        <is>
          <t>NFCU</t>
        </is>
      </c>
      <c r="D4220" s="5" t="n">
        <v>1</v>
      </c>
      <c r="F4220" s="6" t="inlineStr">
        <is>
          <t>GM_Paycheck_048</t>
        </is>
      </c>
      <c r="G4220" s="17" t="inlineStr">
        <is>
          <t>245074974</t>
        </is>
      </c>
      <c r="H4220" s="9" t="inlineStr">
        <is>
          <t>NFCU Direct Deposit</t>
        </is>
      </c>
      <c r="K4220" s="5" t="n">
        <v>255.3</v>
      </c>
    </row>
    <row r="4221" ht="15" customFormat="1" customHeight="1" s="5">
      <c r="A4221" s="89" t="n">
        <v>45672</v>
      </c>
      <c r="B4221" s="82" t="n">
        <v>0.2916666666666667</v>
      </c>
      <c r="C4221" s="5" t="inlineStr">
        <is>
          <t>GM</t>
        </is>
      </c>
      <c r="D4221" s="5" t="n">
        <v>1</v>
      </c>
      <c r="F4221" s="6" t="inlineStr">
        <is>
          <t>GM_Paycheck_048</t>
        </is>
      </c>
      <c r="G4221" s="7" t="n"/>
      <c r="H4221" s="9" t="inlineStr">
        <is>
          <t>Deposit Offset [Jan 01 - Jan 15]</t>
        </is>
      </c>
      <c r="K4221" s="5" t="n">
        <v>-2552.98</v>
      </c>
    </row>
    <row r="4222" ht="15" customFormat="1" customHeight="1" s="5">
      <c r="A4222" s="89" t="n">
        <v>45672</v>
      </c>
      <c r="B4222" s="82" t="n">
        <v>0.2916666666666667</v>
      </c>
      <c r="C4222" s="5" t="inlineStr">
        <is>
          <t>GM</t>
        </is>
      </c>
      <c r="D4222" s="5" t="n">
        <v>1</v>
      </c>
      <c r="F4222" s="6" t="inlineStr">
        <is>
          <t>GM_Paycheck_048</t>
        </is>
      </c>
      <c r="G4222" s="7" t="n"/>
      <c r="H4222" s="9" t="inlineStr">
        <is>
          <t>Gross Paycheck [Jan 01 - Jan 15]</t>
        </is>
      </c>
      <c r="K4222" s="5" t="n">
        <v>-3751.88</v>
      </c>
    </row>
    <row r="4223" ht="15" customFormat="1" customHeight="1" s="5">
      <c r="A4223" s="89" t="n">
        <v>45672</v>
      </c>
      <c r="B4223" s="82" t="n">
        <v>0.2916666666666667</v>
      </c>
      <c r="C4223" s="5" t="inlineStr">
        <is>
          <t>Fidelity</t>
        </is>
      </c>
      <c r="D4223" s="5" t="n">
        <v>1</v>
      </c>
      <c r="F4223" s="6" t="inlineStr">
        <is>
          <t>GM_Paycheck_048</t>
        </is>
      </c>
      <c r="G4223" s="7" t="n"/>
      <c r="H4223" s="9" t="inlineStr">
        <is>
          <t>RSP Roth Basic</t>
        </is>
      </c>
      <c r="K4223" s="5" t="n">
        <v>150.07</v>
      </c>
    </row>
    <row r="4224" ht="15" customFormat="1" customHeight="1" s="5">
      <c r="A4224" s="89" t="n">
        <v>45672</v>
      </c>
      <c r="B4224" s="82" t="n">
        <v>0.2916666666666667</v>
      </c>
      <c r="C4224" s="5" t="inlineStr">
        <is>
          <t>Fidelity</t>
        </is>
      </c>
      <c r="D4224" s="5" t="n">
        <v>1</v>
      </c>
      <c r="F4224" s="6" t="inlineStr">
        <is>
          <t>GM_Paycheck_048</t>
        </is>
      </c>
      <c r="G4224" s="7" t="n"/>
      <c r="H4224" s="9" t="inlineStr">
        <is>
          <t>RSP Roth Basic</t>
        </is>
      </c>
      <c r="K4224" s="5" t="n">
        <v>75.04000000000001</v>
      </c>
    </row>
    <row r="4225" ht="15" customFormat="1" customHeight="1" s="5">
      <c r="A4225" s="89" t="n">
        <v>45672</v>
      </c>
      <c r="B4225" s="82" t="n">
        <v>0.2916666666666667</v>
      </c>
      <c r="C4225" s="5" t="inlineStr">
        <is>
          <t>CO Tax Witholding</t>
        </is>
      </c>
      <c r="D4225" s="5" t="n">
        <v>1</v>
      </c>
      <c r="F4225" s="6" t="inlineStr">
        <is>
          <t>GM_Paycheck_048</t>
        </is>
      </c>
      <c r="G4225" s="7" t="n"/>
      <c r="H4225" s="9" t="inlineStr">
        <is>
          <t>Tax Deductions: Colorado Withholding Tax</t>
        </is>
      </c>
      <c r="K4225" s="5" t="n">
        <v>148</v>
      </c>
    </row>
    <row r="4226" ht="15" customFormat="1" customHeight="1" s="5">
      <c r="A4226" s="89" t="n">
        <v>45672</v>
      </c>
      <c r="B4226" s="82" t="n">
        <v>0.2916666666666667</v>
      </c>
      <c r="C4226" s="5" t="inlineStr">
        <is>
          <t>CO Tax Witholding</t>
        </is>
      </c>
      <c r="D4226" s="5" t="n">
        <v>1</v>
      </c>
      <c r="F4226" s="6" t="inlineStr">
        <is>
          <t>GM_Paycheck_048</t>
        </is>
      </c>
      <c r="G4226" s="7" t="n"/>
      <c r="H4226" s="9" t="inlineStr">
        <is>
          <t>EE PFML TAX STATE</t>
        </is>
      </c>
      <c r="K4226" s="5" t="n">
        <v>16.08</v>
      </c>
    </row>
    <row r="4227" ht="15" customFormat="1" customHeight="1" s="5">
      <c r="A4227" s="89" t="n">
        <v>45672</v>
      </c>
      <c r="B4227" s="82" t="n">
        <v>0.2916666666666667</v>
      </c>
      <c r="C4227" s="5" t="inlineStr">
        <is>
          <t>CIT</t>
        </is>
      </c>
      <c r="D4227" s="5" t="n">
        <v>1</v>
      </c>
      <c r="F4227" s="6" t="inlineStr">
        <is>
          <t>GM_Paycheck_048</t>
        </is>
      </c>
      <c r="G4227" s="17" t="inlineStr">
        <is>
          <t>124084834</t>
        </is>
      </c>
      <c r="H4227" s="9" t="inlineStr">
        <is>
          <t>CIT Direct Deposit</t>
        </is>
      </c>
      <c r="K4227" s="5" t="n">
        <v>2297.68</v>
      </c>
    </row>
    <row r="4228" ht="15" customFormat="1" customHeight="1" s="5">
      <c r="A4228" s="89" t="n">
        <v>45672</v>
      </c>
      <c r="B4228" s="82" t="n">
        <v>0.2916666666666667</v>
      </c>
      <c r="C4228" s="5" t="inlineStr">
        <is>
          <t>BcBs</t>
        </is>
      </c>
      <c r="D4228" s="5" t="n">
        <v>1</v>
      </c>
      <c r="F4228" s="6" t="inlineStr">
        <is>
          <t>GM_Paycheck_048</t>
        </is>
      </c>
      <c r="G4228" s="7" t="n"/>
      <c r="H4228" s="9" t="inlineStr">
        <is>
          <t>Health Care (minus vision) — $130/mo</t>
        </is>
      </c>
      <c r="K4228" s="5" t="n">
        <v>65</v>
      </c>
    </row>
    <row r="4229" ht="15" customFormat="1" customHeight="1" s="5">
      <c r="A4229" s="89" t="n">
        <v>45672</v>
      </c>
      <c r="B4229" s="82" t="n">
        <v>0.2916666666666667</v>
      </c>
      <c r="C4229" s="5" t="inlineStr">
        <is>
          <t>BcBs</t>
        </is>
      </c>
      <c r="D4229" s="5" t="n">
        <v>1</v>
      </c>
      <c r="F4229" s="6" t="inlineStr">
        <is>
          <t>GM_Paycheck_048</t>
        </is>
      </c>
      <c r="G4229" s="7" t="n"/>
      <c r="H4229" s="9" t="inlineStr">
        <is>
          <t>Vision Insurance ($14.98/mo)</t>
        </is>
      </c>
      <c r="K4229" s="5" t="n">
        <v>7.49</v>
      </c>
    </row>
    <row r="4230" ht="15" customFormat="1" customHeight="1" s="5">
      <c r="A4230" s="89" t="n">
        <v>45672</v>
      </c>
      <c r="B4230" s="82" t="n">
        <v>0.2916666666666667</v>
      </c>
      <c r="C4230" s="5" t="inlineStr">
        <is>
          <t>Bank of America</t>
        </is>
      </c>
      <c r="D4230" s="5" t="n">
        <v>1</v>
      </c>
      <c r="F4230" s="6" t="inlineStr">
        <is>
          <t>GM_Paycheck_048</t>
        </is>
      </c>
      <c r="G4230" s="7" t="n"/>
      <c r="H4230" s="9" t="inlineStr">
        <is>
          <t>Health Savings ACCT</t>
        </is>
      </c>
      <c r="K4230" s="5" t="n">
        <v>110.42</v>
      </c>
    </row>
    <row r="4231" ht="15" customFormat="1" customHeight="1" s="5">
      <c r="A4231" s="89" t="n">
        <v>45672</v>
      </c>
      <c r="B4231" s="82" t="n">
        <v>0.2916666666666667</v>
      </c>
      <c r="C4231" s="5" t="inlineStr">
        <is>
          <t>Bank of America</t>
        </is>
      </c>
      <c r="D4231" s="5" t="n">
        <v>1</v>
      </c>
      <c r="F4231" s="16" t="inlineStr">
        <is>
          <t>SubmittedJan5th</t>
        </is>
      </c>
      <c r="G4231" s="17" t="inlineStr">
        <is>
          <t>2515D25D484F</t>
        </is>
      </c>
      <c r="H4231" s="9" t="inlineStr">
        <is>
          <t>GM 2025 HSA LifeSteps Wellness Contribution to GM HSA</t>
        </is>
      </c>
      <c r="I4231" s="5" t="n">
        <v>1</v>
      </c>
      <c r="J4231" s="9" t="inlineStr">
        <is>
          <t>cnt</t>
        </is>
      </c>
      <c r="K4231" s="5" t="n">
        <v>1500</v>
      </c>
    </row>
    <row r="4232" ht="15" customFormat="1" customHeight="1" s="5">
      <c r="A4232" s="89" t="n">
        <v>45672</v>
      </c>
      <c r="B4232" s="82" t="n">
        <v>0.2916666666666667</v>
      </c>
      <c r="C4232" s="5" t="inlineStr">
        <is>
          <t>Bank of America</t>
        </is>
      </c>
      <c r="D4232" s="5" t="n">
        <v>1</v>
      </c>
      <c r="F4232" s="16" t="inlineStr">
        <is>
          <t>SubmittedJan5th</t>
        </is>
      </c>
      <c r="G4232" s="17" t="inlineStr">
        <is>
          <t>2515D25D484F</t>
        </is>
      </c>
      <c r="H4232" s="9" t="inlineStr">
        <is>
          <t>GM 2025 HSA $1500 LifeSteps Wellness Incentive Contribution</t>
        </is>
      </c>
      <c r="I4232" s="5" t="n">
        <v>1</v>
      </c>
      <c r="J4232" s="9" t="inlineStr">
        <is>
          <t>cnt</t>
        </is>
      </c>
      <c r="K4232" s="5" t="n">
        <v>-1500</v>
      </c>
    </row>
    <row r="4233" ht="15" customFormat="1" customHeight="1" s="5">
      <c r="A4233" s="81" t="n">
        <v>45670</v>
      </c>
      <c r="B4233" s="82" t="n">
        <v>0.8527777777777777</v>
      </c>
      <c r="C4233" s="5" t="inlineStr">
        <is>
          <t>Costco</t>
        </is>
      </c>
      <c r="E4233" s="5" t="n">
        <v>1</v>
      </c>
      <c r="F4233" s="6" t="inlineStr">
        <is>
          <t>37491</t>
        </is>
      </c>
      <c r="G4233" s="15" t="inlineStr">
        <is>
          <t>9</t>
        </is>
      </c>
      <c r="H4233" s="9" t="inlineStr">
        <is>
          <t>Subaru Gas 15.079 Gallons @ $2.479/gal</t>
        </is>
      </c>
      <c r="I4233" s="9" t="n">
        <v>15.079</v>
      </c>
      <c r="J4233" s="9" t="inlineStr">
        <is>
          <t>gal</t>
        </is>
      </c>
      <c r="K4233" s="9" t="n">
        <v>37.38</v>
      </c>
    </row>
    <row r="4234" ht="15" customFormat="1" customHeight="1" s="5">
      <c r="A4234" s="81" t="n">
        <v>45670</v>
      </c>
      <c r="B4234" s="82" t="n">
        <v>0.5576388888888889</v>
      </c>
      <c r="C4234" s="5" t="inlineStr">
        <is>
          <t>Frontier Airlines</t>
        </is>
      </c>
      <c r="D4234" s="5" t="n">
        <v>1</v>
      </c>
      <c r="F4234" s="6" t="inlineStr">
        <is>
          <t>GEJK2G</t>
        </is>
      </c>
      <c r="G4234" s="10" t="inlineStr">
        <is>
          <t>CIC</t>
        </is>
      </c>
      <c r="H4234" s="9" t="inlineStr">
        <is>
          <t>Carrier Interface Charge (non-refundable)</t>
        </is>
      </c>
      <c r="I4234" s="9" t="n">
        <v>3</v>
      </c>
      <c r="J4234" s="9" t="inlineStr">
        <is>
          <t>cnt</t>
        </is>
      </c>
      <c r="K4234" s="9" t="n">
        <v>99</v>
      </c>
    </row>
    <row r="4235" ht="15" customFormat="1" customHeight="1" s="5">
      <c r="A4235" s="81" t="n">
        <v>45670</v>
      </c>
      <c r="B4235" s="82" t="n">
        <v>0.5576388888888889</v>
      </c>
      <c r="C4235" s="5" t="inlineStr">
        <is>
          <t>Frontier Airlines</t>
        </is>
      </c>
      <c r="D4235" s="5" t="n">
        <v>1</v>
      </c>
      <c r="F4235" s="6" t="inlineStr">
        <is>
          <t>GEJK2G</t>
        </is>
      </c>
      <c r="G4235" s="10" t="n"/>
      <c r="H4235" s="9" t="inlineStr">
        <is>
          <t>Nonstop F1450/F3293 x 3 passengers</t>
        </is>
      </c>
      <c r="I4235" s="9" t="n">
        <v>3</v>
      </c>
      <c r="J4235" s="9" t="inlineStr">
        <is>
          <t>cnt</t>
        </is>
      </c>
      <c r="K4235" s="9">
        <f>10.26+66.09</f>
        <v/>
      </c>
    </row>
    <row r="4236" ht="15" customFormat="1" customHeight="1" s="5">
      <c r="A4236" s="81" t="n">
        <v>45670</v>
      </c>
      <c r="B4236" s="82" t="n">
        <v>0.5576388888888889</v>
      </c>
      <c r="C4236" s="5" t="inlineStr">
        <is>
          <t>Frontier Airlines</t>
        </is>
      </c>
      <c r="D4236" s="5" t="n">
        <v>1</v>
      </c>
      <c r="F4236" s="6" t="inlineStr">
        <is>
          <t>GEJK2G</t>
        </is>
      </c>
      <c r="G4236" s="10" t="inlineStr">
        <is>
          <t>AY1</t>
        </is>
      </c>
      <c r="H4236" s="9" t="inlineStr">
        <is>
          <t>US Passenger Security Fee</t>
        </is>
      </c>
      <c r="I4236" s="9" t="n">
        <v>3</v>
      </c>
      <c r="J4236" s="9" t="inlineStr">
        <is>
          <t>cnt</t>
        </is>
      </c>
      <c r="K4236" s="9" t="n">
        <v>33.6</v>
      </c>
    </row>
    <row r="4237" ht="15" customFormat="1" customHeight="1" s="5">
      <c r="A4237" s="81" t="n">
        <v>45670</v>
      </c>
      <c r="B4237" s="82" t="n">
        <v>0.5576388888888889</v>
      </c>
      <c r="C4237" s="5" t="inlineStr">
        <is>
          <t>Frontier Airlines</t>
        </is>
      </c>
      <c r="D4237" s="5" t="n">
        <v>1</v>
      </c>
      <c r="F4237" s="6" t="inlineStr">
        <is>
          <t>GEJK2G</t>
        </is>
      </c>
      <c r="G4237" s="10" t="inlineStr">
        <is>
          <t>ZP</t>
        </is>
      </c>
      <c r="H4237" s="9" t="inlineStr">
        <is>
          <t>US Domestic Flight Segment Tax</t>
        </is>
      </c>
      <c r="I4237" s="9" t="n">
        <v>3</v>
      </c>
      <c r="J4237" s="9" t="inlineStr">
        <is>
          <t>cnt</t>
        </is>
      </c>
      <c r="K4237" s="9" t="n">
        <v>31.2</v>
      </c>
    </row>
    <row r="4238" ht="15" customFormat="1" customHeight="1" s="5">
      <c r="A4238" s="81" t="n">
        <v>45670</v>
      </c>
      <c r="B4238" s="82" t="n">
        <v>0.5576388888888889</v>
      </c>
      <c r="C4238" s="5" t="inlineStr">
        <is>
          <t>Frontier Airlines</t>
        </is>
      </c>
      <c r="D4238" s="5" t="n">
        <v>1</v>
      </c>
      <c r="F4238" s="6" t="inlineStr">
        <is>
          <t>GEJK2G</t>
        </is>
      </c>
      <c r="G4238" s="10" t="inlineStr">
        <is>
          <t>XF</t>
        </is>
      </c>
      <c r="H4238" s="9" t="inlineStr">
        <is>
          <t>Denver CO (DEN) passenger Facility Charge</t>
        </is>
      </c>
      <c r="I4238" s="9" t="n">
        <v>3</v>
      </c>
      <c r="J4238" s="9" t="inlineStr">
        <is>
          <t>cnt</t>
        </is>
      </c>
      <c r="K4238" s="9" t="n">
        <v>13.5</v>
      </c>
    </row>
    <row r="4239" ht="15" customFormat="1" customHeight="1" s="5">
      <c r="A4239" s="81" t="n">
        <v>45670</v>
      </c>
      <c r="B4239" s="82" t="n">
        <v>0.5576388888888889</v>
      </c>
      <c r="C4239" s="5" t="inlineStr">
        <is>
          <t>Frontier Airlines</t>
        </is>
      </c>
      <c r="D4239" s="5" t="n">
        <v>1</v>
      </c>
      <c r="F4239" s="6" t="inlineStr">
        <is>
          <t>GEJK2G</t>
        </is>
      </c>
      <c r="G4239" s="10" t="inlineStr">
        <is>
          <t>XF</t>
        </is>
      </c>
      <c r="H4239" s="9" t="inlineStr">
        <is>
          <t>Atlanta GA (ATL) passenger Facility Charge</t>
        </is>
      </c>
      <c r="I4239" s="9" t="n">
        <v>3</v>
      </c>
      <c r="J4239" s="9" t="inlineStr">
        <is>
          <t>cnt</t>
        </is>
      </c>
      <c r="K4239" s="9" t="n">
        <v>13.5</v>
      </c>
    </row>
    <row r="4240" ht="15" customFormat="1" customHeight="1" s="5">
      <c r="A4240" s="81" t="n">
        <v>45670</v>
      </c>
      <c r="B4240" s="82" t="n">
        <v>0.5576388888888889</v>
      </c>
      <c r="C4240" s="5" t="inlineStr">
        <is>
          <t>Frontier Airlines</t>
        </is>
      </c>
      <c r="D4240" s="5" t="n">
        <v>1</v>
      </c>
      <c r="F4240" s="6" t="inlineStr">
        <is>
          <t>GEJK2G</t>
        </is>
      </c>
      <c r="G4240" s="10" t="inlineStr">
        <is>
          <t>US1</t>
        </is>
      </c>
      <c r="H4240" s="9" t="inlineStr">
        <is>
          <t>US Transportaiton Tax</t>
        </is>
      </c>
      <c r="I4240" s="9" t="n">
        <v>3</v>
      </c>
      <c r="J4240" s="9" t="inlineStr">
        <is>
          <t>cnt</t>
        </is>
      </c>
      <c r="K4240" s="9" t="n">
        <v>5.73</v>
      </c>
    </row>
    <row r="4241" ht="15" customFormat="1" customHeight="1" s="5">
      <c r="A4241" s="81" t="n">
        <v>45670</v>
      </c>
      <c r="B4241" s="82" t="n">
        <v>0.3881944444444445</v>
      </c>
      <c r="C4241" s="5" t="inlineStr">
        <is>
          <t>Amazon</t>
        </is>
      </c>
      <c r="D4241" s="5" t="n">
        <v>1</v>
      </c>
      <c r="F4241" s="6" t="inlineStr">
        <is>
          <t>114-4951929-7617805</t>
        </is>
      </c>
      <c r="G4241" s="10" t="n"/>
      <c r="H4241" s="9" t="inlineStr">
        <is>
          <t>Boobie Body Superfood Protein Meal Replacement Shake, Chocolate Bliss Flavor | 19g Protein | Safe For Pregnancy, Lactation, &amp; Motherhood | Organic, Vegan, Zero Sugar, 10 Single Serve Packets (1.16 oz each)</t>
        </is>
      </c>
      <c r="I4241" s="9" t="n">
        <v>11.6</v>
      </c>
      <c r="J4241" s="9" t="inlineStr">
        <is>
          <t>oz</t>
        </is>
      </c>
      <c r="K4241" s="9" t="n">
        <v>27.3</v>
      </c>
    </row>
    <row r="4242" ht="15" customFormat="1" customHeight="1" s="5">
      <c r="A4242" s="81" t="n">
        <v>45670</v>
      </c>
      <c r="B4242" s="82" t="n">
        <v>0.3881944444444445</v>
      </c>
      <c r="C4242" s="5" t="inlineStr">
        <is>
          <t>Amazon</t>
        </is>
      </c>
      <c r="D4242" s="5" t="n">
        <v>1</v>
      </c>
      <c r="F4242" s="6" t="inlineStr">
        <is>
          <t>114-4951929-7617805</t>
        </is>
      </c>
      <c r="G4242" s="10" t="n"/>
      <c r="H4242" s="9" t="inlineStr">
        <is>
          <t>Earth Mama Organic Diaper Balm | Diaper Cream with Calendula | Calm Skin Baby Essentials for Diaper Bag |Multipurpose Baby Ointment, 2-Fluid Ounce (2-Pack)</t>
        </is>
      </c>
      <c r="I4242" s="9" t="n">
        <v>4</v>
      </c>
      <c r="J4242" s="9" t="inlineStr">
        <is>
          <t>fl oz</t>
        </is>
      </c>
      <c r="K4242" s="9" t="n">
        <v>26.58</v>
      </c>
    </row>
    <row r="4243" ht="15" customFormat="1" customHeight="1" s="5">
      <c r="A4243" s="81" t="n">
        <v>45670</v>
      </c>
      <c r="B4243" s="82" t="n">
        <v>0.3881944444444445</v>
      </c>
      <c r="C4243" s="5" t="inlineStr">
        <is>
          <t>Amazon</t>
        </is>
      </c>
      <c r="D4243" s="5" t="n">
        <v>1</v>
      </c>
      <c r="F4243" s="6" t="inlineStr">
        <is>
          <t>114-4951929-7617805</t>
        </is>
      </c>
      <c r="G4243" s="10" t="n"/>
      <c r="H4243" s="9" t="inlineStr">
        <is>
          <t>Tax</t>
        </is>
      </c>
      <c r="I4243" s="9" t="n">
        <v>2</v>
      </c>
      <c r="J4243" s="9" t="inlineStr">
        <is>
          <t>cnt</t>
        </is>
      </c>
      <c r="K4243" s="9" t="n">
        <v>1.59</v>
      </c>
    </row>
    <row r="4244" ht="15" customFormat="1" customHeight="1" s="5">
      <c r="A4244" s="81" t="n">
        <v>45670</v>
      </c>
      <c r="B4244" s="82" t="n">
        <v>0.3777777777777778</v>
      </c>
      <c r="C4244" s="5" t="inlineStr">
        <is>
          <t>Amazon</t>
        </is>
      </c>
      <c r="D4244" s="5" t="n">
        <v>1</v>
      </c>
      <c r="F4244" s="6" t="inlineStr">
        <is>
          <t>114-9400095-3467460</t>
        </is>
      </c>
      <c r="G4244" s="10" t="n"/>
      <c r="H4244" s="9" t="inlineStr">
        <is>
          <t>58mm Espresso Tamper, Espresso Accessories, Coffee Tamper with Espresso Distribution Tool, Wdt Tool Espresso, Espresso Tamper with Silicone Mat, Stainless Steel Base Tamper for Espresso Coffe…</t>
        </is>
      </c>
      <c r="I4244" s="9" t="n">
        <v>1</v>
      </c>
      <c r="J4244" s="9" t="inlineStr">
        <is>
          <t>cnt</t>
        </is>
      </c>
      <c r="K4244" s="9" t="n">
        <v>32.99</v>
      </c>
    </row>
    <row r="4245" ht="15" customFormat="1" customHeight="1" s="5">
      <c r="A4245" s="81" t="n">
        <v>45670</v>
      </c>
      <c r="B4245" s="82" t="n">
        <v>0.3777777777777778</v>
      </c>
      <c r="C4245" s="5" t="inlineStr">
        <is>
          <t>Amazon</t>
        </is>
      </c>
      <c r="D4245" s="5" t="n">
        <v>1</v>
      </c>
      <c r="F4245" s="6" t="inlineStr">
        <is>
          <t>114-9400095-3467460</t>
        </is>
      </c>
      <c r="G4245" s="10" t="n"/>
      <c r="H4245" s="9" t="inlineStr">
        <is>
          <t>Milk Frothing Pitcher 350ml/600ml/900ml/1500ml (12oz/20oz/32oz/50oz) Steaming Pitchers Stainless Steel Milk/Coffee/Cappuccino/Latte Art Barista Steam Pitchers Milk Jug Cup with Art Pe…</t>
        </is>
      </c>
      <c r="I4245" s="9" t="n">
        <v>1</v>
      </c>
      <c r="J4245" s="9" t="inlineStr">
        <is>
          <t>cnt</t>
        </is>
      </c>
      <c r="K4245" s="9" t="n">
        <v>9.970000000000001</v>
      </c>
    </row>
    <row r="4246" ht="15" customFormat="1" customHeight="1" s="5">
      <c r="A4246" s="81" t="n">
        <v>45670</v>
      </c>
      <c r="B4246" s="82" t="n">
        <v>0.3777777777777778</v>
      </c>
      <c r="C4246" s="5" t="inlineStr">
        <is>
          <t>Amazon</t>
        </is>
      </c>
      <c r="D4246" s="5" t="n">
        <v>1</v>
      </c>
      <c r="F4246" s="6" t="inlineStr">
        <is>
          <t>114-9400095-3467460</t>
        </is>
      </c>
      <c r="G4246" s="10" t="n"/>
      <c r="H4246" s="9" t="inlineStr">
        <is>
          <t>Tax</t>
        </is>
      </c>
      <c r="I4246" s="9" t="n">
        <v>2</v>
      </c>
      <c r="J4246" s="9" t="inlineStr">
        <is>
          <t>cnt</t>
        </is>
      </c>
      <c r="K4246" s="9" t="n">
        <v>3.11</v>
      </c>
    </row>
    <row r="4247" ht="15" customFormat="1" customHeight="1" s="5">
      <c r="A4247" s="81" t="n">
        <v>45670</v>
      </c>
      <c r="B4247" s="82" t="n">
        <v>0.3715277777777778</v>
      </c>
      <c r="C4247" s="5" t="inlineStr">
        <is>
          <t>American Airlines</t>
        </is>
      </c>
      <c r="D4247" s="5" t="n">
        <v>1</v>
      </c>
      <c r="F4247" s="6" t="inlineStr">
        <is>
          <t>DJNNMF</t>
        </is>
      </c>
      <c r="G4247" s="10" t="inlineStr">
        <is>
          <t>DEN&lt;-&gt;CLT</t>
        </is>
      </c>
      <c r="H4247" s="9" t="inlineStr">
        <is>
          <t>Nonstop AA1328 Fare $146.38 x 3</t>
        </is>
      </c>
      <c r="I4247" s="9" t="n">
        <v>3</v>
      </c>
      <c r="J4247" s="9" t="inlineStr">
        <is>
          <t>cnt</t>
        </is>
      </c>
      <c r="K4247" s="9" t="n">
        <v>439.14</v>
      </c>
    </row>
    <row r="4248" ht="15" customFormat="1" customHeight="1" s="5">
      <c r="A4248" s="81" t="n">
        <v>45670</v>
      </c>
      <c r="B4248" s="82" t="n">
        <v>0.3715277777777778</v>
      </c>
      <c r="C4248" s="5" t="inlineStr">
        <is>
          <t>American Airlines</t>
        </is>
      </c>
      <c r="D4248" s="5" t="n">
        <v>1</v>
      </c>
      <c r="F4248" s="6" t="inlineStr">
        <is>
          <t>DJNNMF</t>
        </is>
      </c>
      <c r="G4248" s="10" t="inlineStr">
        <is>
          <t>DEN&lt;-&gt;CLT</t>
        </is>
      </c>
      <c r="H4248" s="9" t="inlineStr">
        <is>
          <t>US Security Fee</t>
        </is>
      </c>
      <c r="I4248" s="9" t="n">
        <v>3</v>
      </c>
      <c r="J4248" s="9" t="inlineStr">
        <is>
          <t>cnt</t>
        </is>
      </c>
      <c r="K4248" s="9" t="n">
        <v>33.59999999999999</v>
      </c>
    </row>
    <row r="4249" ht="15" customFormat="1" customHeight="1" s="5">
      <c r="A4249" s="81" t="n">
        <v>45670</v>
      </c>
      <c r="B4249" s="82" t="n">
        <v>0.3715277777777778</v>
      </c>
      <c r="C4249" s="5" t="inlineStr">
        <is>
          <t>American Airlines</t>
        </is>
      </c>
      <c r="D4249" s="5" t="n">
        <v>1</v>
      </c>
      <c r="F4249" s="6" t="inlineStr">
        <is>
          <t>DJNNMF</t>
        </is>
      </c>
      <c r="G4249" s="10" t="inlineStr">
        <is>
          <t>DEN&lt;-&gt;CLT</t>
        </is>
      </c>
      <c r="H4249" s="9" t="inlineStr">
        <is>
          <t>IS Domestic Transportation Tax</t>
        </is>
      </c>
      <c r="I4249" s="9" t="n">
        <v>3</v>
      </c>
      <c r="J4249" s="9" t="inlineStr">
        <is>
          <t>cnt</t>
        </is>
      </c>
      <c r="K4249" s="9" t="n">
        <v>32.94</v>
      </c>
    </row>
    <row r="4250" ht="15" customFormat="1" customHeight="1" s="5">
      <c r="A4250" s="81" t="n">
        <v>45670</v>
      </c>
      <c r="B4250" s="82" t="n">
        <v>0.3715277777777778</v>
      </c>
      <c r="C4250" s="5" t="inlineStr">
        <is>
          <t>American Airlines</t>
        </is>
      </c>
      <c r="D4250" s="5" t="n">
        <v>1</v>
      </c>
      <c r="F4250" s="6" t="inlineStr">
        <is>
          <t>DJNNMF</t>
        </is>
      </c>
      <c r="G4250" s="10" t="inlineStr">
        <is>
          <t>DEN&lt;-&gt;CLT</t>
        </is>
      </c>
      <c r="H4250" s="9" t="inlineStr">
        <is>
          <t>Segment TAx US</t>
        </is>
      </c>
      <c r="I4250" s="9" t="n">
        <v>3</v>
      </c>
      <c r="J4250" s="9" t="inlineStr">
        <is>
          <t>cnt</t>
        </is>
      </c>
      <c r="K4250" s="9" t="n">
        <v>31.2</v>
      </c>
    </row>
    <row r="4251" ht="15" customFormat="1" customHeight="1" s="5">
      <c r="A4251" s="81" t="n">
        <v>45670</v>
      </c>
      <c r="B4251" s="82" t="n">
        <v>0.3715277777777778</v>
      </c>
      <c r="C4251" s="5" t="inlineStr">
        <is>
          <t>American Airlines</t>
        </is>
      </c>
      <c r="D4251" s="5" t="n">
        <v>1</v>
      </c>
      <c r="F4251" s="6" t="inlineStr">
        <is>
          <t>DJNNMF</t>
        </is>
      </c>
      <c r="G4251" s="10" t="inlineStr">
        <is>
          <t>DEN&lt;-&gt;CLT</t>
        </is>
      </c>
      <c r="H4251" s="9" t="inlineStr">
        <is>
          <t>Passenger Facility Charge US</t>
        </is>
      </c>
      <c r="I4251" s="9" t="n">
        <v>3</v>
      </c>
      <c r="J4251" s="9" t="inlineStr">
        <is>
          <t>cnt</t>
        </is>
      </c>
      <c r="K4251" s="9" t="n">
        <v>27</v>
      </c>
    </row>
    <row r="4252" ht="15" customFormat="1" customHeight="1" s="5">
      <c r="A4252" s="89" t="n">
        <v>45670</v>
      </c>
      <c r="B4252" s="82" t="n">
        <v>0.2916666666666667</v>
      </c>
      <c r="C4252" s="5" t="inlineStr">
        <is>
          <t>Carrot</t>
        </is>
      </c>
      <c r="D4252" s="5" t="n">
        <v>1</v>
      </c>
      <c r="F4252" s="6" t="n"/>
      <c r="G4252" s="7" t="n"/>
      <c r="H4252" s="9" t="inlineStr">
        <is>
          <t>REIMBURSEMENT: Carrot: 5 x 20 Fertility Max Wands</t>
        </is>
      </c>
      <c r="I4252" s="5" t="n">
        <v>120</v>
      </c>
      <c r="J4252" s="9" t="inlineStr">
        <is>
          <t>cnt</t>
        </is>
      </c>
      <c r="K4252" s="5" t="n">
        <v>-336.71</v>
      </c>
    </row>
    <row r="4253" ht="15" customFormat="1" customHeight="1" s="5">
      <c r="A4253" s="81" t="n">
        <v>45669</v>
      </c>
      <c r="B4253" s="82" t="n">
        <v>0.5076388888888889</v>
      </c>
      <c r="C4253" s="5" t="inlineStr">
        <is>
          <t>Costco</t>
        </is>
      </c>
      <c r="E4253" s="5" t="n">
        <v>1</v>
      </c>
      <c r="F4253" s="6" t="inlineStr">
        <is>
          <t>439 201 60 701</t>
        </is>
      </c>
      <c r="G4253" s="15" t="inlineStr">
        <is>
          <t>87745</t>
        </is>
      </c>
      <c r="H4253" s="9" t="inlineStr">
        <is>
          <t>Rotisserie Chicken</t>
        </is>
      </c>
      <c r="I4253" s="9" t="n">
        <v>3</v>
      </c>
      <c r="J4253" s="9" t="inlineStr">
        <is>
          <t>lb</t>
        </is>
      </c>
      <c r="K4253" s="9" t="inlineStr">
        <is>
          <t>4.99 A</t>
        </is>
      </c>
    </row>
    <row r="4254" ht="15" customFormat="1" customHeight="1" s="5">
      <c r="A4254" s="81" t="n">
        <v>45669</v>
      </c>
      <c r="B4254" s="82" t="n">
        <v>0.5076388888888889</v>
      </c>
      <c r="C4254" s="5" t="inlineStr">
        <is>
          <t>Costco</t>
        </is>
      </c>
      <c r="E4254" s="5" t="n">
        <v>1</v>
      </c>
      <c r="F4254" s="6" t="inlineStr">
        <is>
          <t>439 201 60 701</t>
        </is>
      </c>
      <c r="G4254" s="10" t="inlineStr">
        <is>
          <t>E 0000343405</t>
        </is>
      </c>
      <c r="H4254" s="9" t="inlineStr">
        <is>
          <t>**DISCOUNT** /982859 Ling Ling</t>
        </is>
      </c>
      <c r="I4254" s="9" t="n">
        <v>4.2</v>
      </c>
      <c r="J4254" s="9" t="inlineStr">
        <is>
          <t>lb</t>
        </is>
      </c>
      <c r="K4254" s="9" t="inlineStr">
        <is>
          <t>4.0-</t>
        </is>
      </c>
    </row>
    <row r="4255" ht="15" customFormat="1" customHeight="1" s="5">
      <c r="A4255" s="81" t="n">
        <v>45669</v>
      </c>
      <c r="B4255" s="82" t="n">
        <v>0.5076388888888889</v>
      </c>
      <c r="C4255" s="5" t="inlineStr">
        <is>
          <t>Costco</t>
        </is>
      </c>
      <c r="E4255" s="5" t="n">
        <v>1</v>
      </c>
      <c r="F4255" s="6" t="inlineStr">
        <is>
          <t>439 201 60 701</t>
        </is>
      </c>
      <c r="G4255" s="10" t="inlineStr">
        <is>
          <t>E 000344437</t>
        </is>
      </c>
      <c r="H4255" s="9" t="inlineStr">
        <is>
          <t>**DISCOUNT** /468062 Sausage Roll</t>
        </is>
      </c>
      <c r="I4255" s="9" t="n">
        <v>3</v>
      </c>
      <c r="J4255" s="9" t="inlineStr">
        <is>
          <t>lb</t>
        </is>
      </c>
      <c r="K4255" s="9" t="inlineStr">
        <is>
          <t>2.80-</t>
        </is>
      </c>
    </row>
    <row r="4256" ht="15" customFormat="1" customHeight="1" s="5">
      <c r="A4256" s="81" t="n">
        <v>45669</v>
      </c>
      <c r="B4256" s="82" t="n">
        <v>0.5076388888888889</v>
      </c>
      <c r="C4256" s="5" t="inlineStr">
        <is>
          <t>Costco</t>
        </is>
      </c>
      <c r="E4256" s="5" t="n">
        <v>1</v>
      </c>
      <c r="F4256" s="6" t="inlineStr">
        <is>
          <t>439 201 60 701</t>
        </is>
      </c>
      <c r="G4256" s="10" t="inlineStr">
        <is>
          <t>E 0000344437</t>
        </is>
      </c>
      <c r="H4256" s="9" t="inlineStr">
        <is>
          <t>**DISCOUNT** /468062 Sausage Roll</t>
        </is>
      </c>
      <c r="I4256" s="9" t="n">
        <v>3</v>
      </c>
      <c r="J4256" s="9" t="inlineStr">
        <is>
          <t>lb</t>
        </is>
      </c>
      <c r="K4256" s="9" t="inlineStr">
        <is>
          <t>2.8-</t>
        </is>
      </c>
    </row>
    <row r="4257" ht="15" customFormat="1" customHeight="1" s="5">
      <c r="A4257" s="81" t="n">
        <v>45669</v>
      </c>
      <c r="B4257" s="82" t="n">
        <v>0.5076388888888889</v>
      </c>
      <c r="C4257" s="5" t="inlineStr">
        <is>
          <t>Costco</t>
        </is>
      </c>
      <c r="E4257" s="5" t="n">
        <v>1</v>
      </c>
      <c r="F4257" s="6" t="inlineStr">
        <is>
          <t>439 201 60 701</t>
        </is>
      </c>
      <c r="G4257" s="10" t="inlineStr">
        <is>
          <t>E 47737</t>
        </is>
      </c>
      <c r="H4257" s="9" t="inlineStr">
        <is>
          <t>Fryer Thighs Young Chicken, $1.79/lb</t>
        </is>
      </c>
      <c r="I4257" s="9" t="n">
        <v>11.51</v>
      </c>
      <c r="J4257" s="9" t="inlineStr">
        <is>
          <t>lb</t>
        </is>
      </c>
      <c r="K4257" s="9" t="n">
        <v>20.6</v>
      </c>
    </row>
    <row r="4258" ht="15" customFormat="1" customHeight="1" s="5">
      <c r="A4258" s="81" t="n">
        <v>45669</v>
      </c>
      <c r="B4258" s="82" t="n">
        <v>0.5076388888888889</v>
      </c>
      <c r="C4258" s="5" t="inlineStr">
        <is>
          <t>Costco</t>
        </is>
      </c>
      <c r="E4258" s="5" t="n">
        <v>1</v>
      </c>
      <c r="F4258" s="6" t="inlineStr">
        <is>
          <t>439 201 60 701</t>
        </is>
      </c>
      <c r="G4258" s="10" t="inlineStr">
        <is>
          <t>E 982859</t>
        </is>
      </c>
      <c r="H4258" s="9" t="inlineStr">
        <is>
          <t>Ling Ling Chicken Chive Potstickers</t>
        </is>
      </c>
      <c r="I4258" s="9" t="n">
        <v>4.2</v>
      </c>
      <c r="J4258" s="9" t="inlineStr">
        <is>
          <t>lb</t>
        </is>
      </c>
      <c r="K4258" s="9" t="n">
        <v>12.69</v>
      </c>
    </row>
    <row r="4259" ht="15" customFormat="1" customHeight="1" s="5">
      <c r="A4259" s="81" t="n">
        <v>45669</v>
      </c>
      <c r="B4259" s="82" t="n">
        <v>0.5076388888888889</v>
      </c>
      <c r="C4259" s="5" t="inlineStr">
        <is>
          <t>Costco</t>
        </is>
      </c>
      <c r="E4259" s="5" t="n">
        <v>1</v>
      </c>
      <c r="F4259" s="6" t="inlineStr">
        <is>
          <t>439 201 60 701</t>
        </is>
      </c>
      <c r="G4259" s="10" t="inlineStr">
        <is>
          <t>E 979855</t>
        </is>
      </c>
      <c r="H4259" s="9" t="inlineStr">
        <is>
          <t>KS Green Tea Sachets: Sencha and Matcha, 100 cnt 0.05 oz bags</t>
        </is>
      </c>
      <c r="I4259" s="9" t="n">
        <v>150</v>
      </c>
      <c r="J4259" s="9" t="inlineStr">
        <is>
          <t>g</t>
        </is>
      </c>
      <c r="K4259" s="9" t="n">
        <v>10.99</v>
      </c>
    </row>
    <row r="4260" ht="15" customFormat="1" customHeight="1" s="5">
      <c r="A4260" s="81" t="n">
        <v>45669</v>
      </c>
      <c r="B4260" s="82" t="n">
        <v>0.5076388888888889</v>
      </c>
      <c r="C4260" s="5" t="inlineStr">
        <is>
          <t>Costco</t>
        </is>
      </c>
      <c r="E4260" s="5" t="n">
        <v>1</v>
      </c>
      <c r="F4260" s="6" t="inlineStr">
        <is>
          <t>439 201 60 701</t>
        </is>
      </c>
      <c r="G4260" s="10" t="inlineStr">
        <is>
          <t>E 468062</t>
        </is>
      </c>
      <c r="H4260" s="9" t="inlineStr">
        <is>
          <t>Jimmy Dean Premium Pork Sausage All Natural Regular</t>
        </is>
      </c>
      <c r="I4260" s="9" t="n">
        <v>3</v>
      </c>
      <c r="J4260" s="9" t="inlineStr">
        <is>
          <t>lb</t>
        </is>
      </c>
      <c r="K4260" s="9" t="n">
        <v>10.59</v>
      </c>
    </row>
    <row r="4261" ht="15" customFormat="1" customHeight="1" s="5">
      <c r="A4261" s="81" t="n">
        <v>45669</v>
      </c>
      <c r="B4261" s="82" t="n">
        <v>0.5076388888888889</v>
      </c>
      <c r="C4261" s="5" t="inlineStr">
        <is>
          <t>Costco</t>
        </is>
      </c>
      <c r="E4261" s="5" t="n">
        <v>1</v>
      </c>
      <c r="F4261" s="6" t="inlineStr">
        <is>
          <t>439 201 60 701</t>
        </is>
      </c>
      <c r="G4261" s="10" t="inlineStr">
        <is>
          <t>E 468062</t>
        </is>
      </c>
      <c r="H4261" s="9" t="inlineStr">
        <is>
          <t>Jimmy Dean Premium Pork Sausage All Natural Regular</t>
        </is>
      </c>
      <c r="I4261" s="9" t="n">
        <v>3</v>
      </c>
      <c r="J4261" s="9" t="inlineStr">
        <is>
          <t>lb</t>
        </is>
      </c>
      <c r="K4261" s="9" t="n">
        <v>10.59</v>
      </c>
    </row>
    <row r="4262" ht="15" customFormat="1" customHeight="1" s="5">
      <c r="A4262" s="81" t="n">
        <v>45669</v>
      </c>
      <c r="B4262" s="82" t="n">
        <v>0.5076388888888889</v>
      </c>
      <c r="C4262" s="5" t="inlineStr">
        <is>
          <t>Costco</t>
        </is>
      </c>
      <c r="E4262" s="5" t="n">
        <v>1</v>
      </c>
      <c r="F4262" s="6" t="inlineStr">
        <is>
          <t>439 201 60 701</t>
        </is>
      </c>
      <c r="G4262" s="10" t="inlineStr">
        <is>
          <t>E 901991</t>
        </is>
      </c>
      <c r="H4262" s="9" t="inlineStr">
        <is>
          <t>KS Organic Cane Sugar Fine Granulated</t>
        </is>
      </c>
      <c r="I4262" s="9" t="n">
        <v>10</v>
      </c>
      <c r="J4262" s="9" t="inlineStr">
        <is>
          <t>lb</t>
        </is>
      </c>
      <c r="K4262" s="9" t="n">
        <v>9.99</v>
      </c>
    </row>
    <row r="4263" ht="15" customFormat="1" customHeight="1" s="5">
      <c r="A4263" s="81" t="n">
        <v>45669</v>
      </c>
      <c r="B4263" s="82" t="n">
        <v>0.5076388888888889</v>
      </c>
      <c r="C4263" s="5" t="inlineStr">
        <is>
          <t>Costco</t>
        </is>
      </c>
      <c r="E4263" s="5" t="n">
        <v>1</v>
      </c>
      <c r="F4263" s="6" t="inlineStr">
        <is>
          <t>439 201 60 701</t>
        </is>
      </c>
      <c r="G4263" s="10" t="inlineStr">
        <is>
          <t>E 1178969</t>
        </is>
      </c>
      <c r="H4263" s="9" t="inlineStr">
        <is>
          <t>Almond Flour Blanched KS</t>
        </is>
      </c>
      <c r="I4263" s="9" t="n">
        <v>3</v>
      </c>
      <c r="J4263" s="9" t="inlineStr">
        <is>
          <t>lb</t>
        </is>
      </c>
      <c r="K4263" s="9" t="n">
        <v>9.99</v>
      </c>
    </row>
    <row r="4264" ht="15" customFormat="1" customHeight="1" s="5">
      <c r="A4264" s="81" t="n">
        <v>45669</v>
      </c>
      <c r="B4264" s="82" t="n">
        <v>0.5076388888888889</v>
      </c>
      <c r="C4264" s="5" t="inlineStr">
        <is>
          <t>Costco</t>
        </is>
      </c>
      <c r="E4264" s="5" t="n">
        <v>1</v>
      </c>
      <c r="F4264" s="6" t="inlineStr">
        <is>
          <t>439 201 60 701</t>
        </is>
      </c>
      <c r="G4264" s="10" t="inlineStr">
        <is>
          <t>E 1605476</t>
        </is>
      </c>
      <c r="H4264" s="9" t="inlineStr">
        <is>
          <t>KS Organic Frozen Green Bean</t>
        </is>
      </c>
      <c r="I4264" s="9" t="n">
        <v>5</v>
      </c>
      <c r="J4264" s="9" t="inlineStr">
        <is>
          <t>lb</t>
        </is>
      </c>
      <c r="K4264" s="9" t="n">
        <v>9.59</v>
      </c>
    </row>
    <row r="4265" ht="15" customFormat="1" customHeight="1" s="5">
      <c r="A4265" s="81" t="n">
        <v>45669</v>
      </c>
      <c r="B4265" s="82" t="n">
        <v>0.5076388888888889</v>
      </c>
      <c r="C4265" s="5" t="inlineStr">
        <is>
          <t>Costco</t>
        </is>
      </c>
      <c r="E4265" s="5" t="n">
        <v>1</v>
      </c>
      <c r="F4265" s="6" t="inlineStr">
        <is>
          <t>439 201 60 701</t>
        </is>
      </c>
      <c r="G4265" s="10" t="inlineStr">
        <is>
          <t>E 1129813</t>
        </is>
      </c>
      <c r="H4265" s="9" t="inlineStr">
        <is>
          <t>Miton's Organic Multi-Grain Gourmet Crackers, 4 rolls</t>
        </is>
      </c>
      <c r="I4265" s="9" t="n">
        <v>24</v>
      </c>
      <c r="J4265" s="9" t="inlineStr">
        <is>
          <t>oz</t>
        </is>
      </c>
      <c r="K4265" s="9" t="n">
        <v>9.390000000000001</v>
      </c>
    </row>
    <row r="4266" ht="15" customFormat="1" customHeight="1" s="5">
      <c r="A4266" s="81" t="n">
        <v>45669</v>
      </c>
      <c r="B4266" s="82" t="n">
        <v>0.5076388888888889</v>
      </c>
      <c r="C4266" s="5" t="inlineStr">
        <is>
          <t>Costco</t>
        </is>
      </c>
      <c r="E4266" s="5" t="n">
        <v>1</v>
      </c>
      <c r="F4266" s="6" t="inlineStr">
        <is>
          <t>439 201 60 701</t>
        </is>
      </c>
      <c r="G4266" s="10" t="inlineStr">
        <is>
          <t>E 1335089</t>
        </is>
      </c>
      <c r="H4266" s="9" t="inlineStr">
        <is>
          <t>Bagels: French Toast and Plain, 6 each</t>
        </is>
      </c>
      <c r="I4266" s="9" t="n">
        <v>48</v>
      </c>
      <c r="J4266" s="9" t="inlineStr">
        <is>
          <t>oz</t>
        </is>
      </c>
      <c r="K4266" s="9" t="n">
        <v>7.99</v>
      </c>
    </row>
    <row r="4267" ht="15" customFormat="1" customHeight="1" s="5">
      <c r="A4267" s="81" t="n">
        <v>45669</v>
      </c>
      <c r="B4267" s="82" t="n">
        <v>0.5076388888888889</v>
      </c>
      <c r="C4267" s="5" t="inlineStr">
        <is>
          <t>Costco</t>
        </is>
      </c>
      <c r="E4267" s="5" t="n">
        <v>1</v>
      </c>
      <c r="F4267" s="6" t="inlineStr">
        <is>
          <t>439 201 60 701</t>
        </is>
      </c>
      <c r="G4267" s="10" t="inlineStr">
        <is>
          <t>E 568915</t>
        </is>
      </c>
      <c r="H4267" s="9" t="inlineStr">
        <is>
          <t>Organic Cucumber, windset farms</t>
        </is>
      </c>
      <c r="I4267" s="9" t="n">
        <v>3</v>
      </c>
      <c r="J4267" s="9" t="inlineStr">
        <is>
          <t>cnt</t>
        </is>
      </c>
      <c r="K4267" s="9" t="n">
        <v>6.99</v>
      </c>
    </row>
    <row r="4268" ht="15" customFormat="1" customHeight="1" s="5">
      <c r="A4268" s="81" t="n">
        <v>45669</v>
      </c>
      <c r="B4268" s="82" t="n">
        <v>0.5076388888888889</v>
      </c>
      <c r="C4268" s="5" t="inlineStr">
        <is>
          <t>Costco</t>
        </is>
      </c>
      <c r="E4268" s="5" t="n">
        <v>1</v>
      </c>
      <c r="F4268" s="6" t="inlineStr">
        <is>
          <t>439 201 60 701</t>
        </is>
      </c>
      <c r="G4268" s="10" t="inlineStr">
        <is>
          <t>E 21020</t>
        </is>
      </c>
      <c r="H4268" s="9" t="inlineStr">
        <is>
          <t>Vine Tomato</t>
        </is>
      </c>
      <c r="I4268" s="9" t="n">
        <v>4</v>
      </c>
      <c r="J4268" s="9" t="inlineStr">
        <is>
          <t>lb</t>
        </is>
      </c>
      <c r="K4268" s="9" t="n">
        <v>6.49</v>
      </c>
    </row>
    <row r="4269" ht="15" customFormat="1" customHeight="1" s="5">
      <c r="A4269" s="81" t="n">
        <v>45669</v>
      </c>
      <c r="B4269" s="82" t="n">
        <v>0.5076388888888889</v>
      </c>
      <c r="C4269" s="5" t="inlineStr">
        <is>
          <t>Costco</t>
        </is>
      </c>
      <c r="E4269" s="5" t="n">
        <v>1</v>
      </c>
      <c r="F4269" s="6" t="inlineStr">
        <is>
          <t>439 201 60 701</t>
        </is>
      </c>
      <c r="G4269" s="10" t="inlineStr">
        <is>
          <t>E 1312849</t>
        </is>
      </c>
      <c r="H4269" s="9" t="inlineStr">
        <is>
          <t>Grillo's Pickles Chips Classic Dill</t>
        </is>
      </c>
      <c r="I4269" s="9" t="n">
        <v>32</v>
      </c>
      <c r="J4269" s="9" t="inlineStr">
        <is>
          <t>fl oz</t>
        </is>
      </c>
      <c r="K4269" s="9" t="n">
        <v>5.99</v>
      </c>
    </row>
    <row r="4270" ht="15" customFormat="1" customHeight="1" s="5">
      <c r="A4270" s="81" t="n">
        <v>45669</v>
      </c>
      <c r="B4270" s="82" t="n">
        <v>0.5076388888888889</v>
      </c>
      <c r="C4270" s="5" t="inlineStr">
        <is>
          <t>Costco</t>
        </is>
      </c>
      <c r="E4270" s="5" t="n">
        <v>1</v>
      </c>
      <c r="F4270" s="6" t="inlineStr">
        <is>
          <t>439 201 60 701</t>
        </is>
      </c>
      <c r="G4270" s="10" t="inlineStr">
        <is>
          <t>E 40677</t>
        </is>
      </c>
      <c r="H4270" s="9" t="inlineStr">
        <is>
          <t>10" Flour Tortillas 3 packs of 10 tortillas 24 oz</t>
        </is>
      </c>
      <c r="I4270" s="9" t="n">
        <v>72</v>
      </c>
      <c r="J4270" s="9" t="inlineStr">
        <is>
          <t>oz</t>
        </is>
      </c>
      <c r="K4270" s="9" t="n">
        <v>5.99</v>
      </c>
    </row>
    <row r="4271" ht="15" customFormat="1" customHeight="1" s="5">
      <c r="A4271" s="81" t="n">
        <v>45669</v>
      </c>
      <c r="B4271" s="82" t="n">
        <v>0.5076388888888889</v>
      </c>
      <c r="C4271" s="5" t="inlineStr">
        <is>
          <t>Costco</t>
        </is>
      </c>
      <c r="E4271" s="5" t="n">
        <v>1</v>
      </c>
      <c r="F4271" s="6" t="inlineStr">
        <is>
          <t>439 201 60 701</t>
        </is>
      </c>
      <c r="G4271" s="10" t="inlineStr">
        <is>
          <t>E 7947</t>
        </is>
      </c>
      <c r="H4271" s="9" t="inlineStr">
        <is>
          <t>4lb Fuji Apples</t>
        </is>
      </c>
      <c r="I4271" s="9" t="n">
        <v>4</v>
      </c>
      <c r="J4271" s="9" t="inlineStr">
        <is>
          <t>lb</t>
        </is>
      </c>
      <c r="K4271" s="9" t="n">
        <v>4.89</v>
      </c>
    </row>
    <row r="4272" ht="15" customFormat="1" customHeight="1" s="5">
      <c r="A4272" s="81" t="n">
        <v>45669</v>
      </c>
      <c r="B4272" s="82" t="n">
        <v>0.5076388888888889</v>
      </c>
      <c r="C4272" s="5" t="inlineStr">
        <is>
          <t>Costco</t>
        </is>
      </c>
      <c r="E4272" s="5" t="n">
        <v>1</v>
      </c>
      <c r="F4272" s="6" t="inlineStr">
        <is>
          <t>439 201 60 701</t>
        </is>
      </c>
      <c r="G4272" s="10" t="inlineStr">
        <is>
          <t>E 2619</t>
        </is>
      </c>
      <c r="H4272" s="9" t="inlineStr">
        <is>
          <t>Organic Bananas</t>
        </is>
      </c>
      <c r="I4272" s="9" t="n">
        <v>3</v>
      </c>
      <c r="J4272" s="9" t="inlineStr">
        <is>
          <t>lb</t>
        </is>
      </c>
      <c r="K4272" s="9" t="n">
        <v>1.99</v>
      </c>
    </row>
    <row r="4273" ht="15" customFormat="1" customHeight="1" s="5">
      <c r="A4273" s="81" t="n">
        <v>45669</v>
      </c>
      <c r="B4273" s="82" t="n">
        <v>0.5076388888888889</v>
      </c>
      <c r="C4273" s="5" t="inlineStr">
        <is>
          <t>Costco</t>
        </is>
      </c>
      <c r="E4273" s="5" t="n">
        <v>1</v>
      </c>
      <c r="F4273" s="6" t="inlineStr">
        <is>
          <t>439 201 60 701</t>
        </is>
      </c>
      <c r="G4273" s="15" t="inlineStr">
        <is>
          <t>0000343120</t>
        </is>
      </c>
      <c r="H4273" s="9" t="inlineStr">
        <is>
          <t>**DISCOUNT** /681272 TN Lutein</t>
        </is>
      </c>
      <c r="I4273" s="9" t="n">
        <v>140</v>
      </c>
      <c r="J4273" s="9" t="inlineStr">
        <is>
          <t>cnt</t>
        </is>
      </c>
      <c r="K4273" s="9" t="inlineStr">
        <is>
          <t>4.0-A</t>
        </is>
      </c>
    </row>
    <row r="4274" ht="15" customFormat="1" customHeight="1" s="5">
      <c r="A4274" s="81" t="n">
        <v>45669</v>
      </c>
      <c r="B4274" s="82" t="n">
        <v>0.5076388888888889</v>
      </c>
      <c r="C4274" s="5" t="inlineStr">
        <is>
          <t>Costco</t>
        </is>
      </c>
      <c r="E4274" s="5" t="n">
        <v>1</v>
      </c>
      <c r="F4274" s="6" t="inlineStr">
        <is>
          <t>439 201 60 701</t>
        </is>
      </c>
      <c r="G4274" s="15" t="inlineStr">
        <is>
          <t>681272</t>
        </is>
      </c>
      <c r="H4274" s="9" t="inlineStr">
        <is>
          <t>Trunature Vision Complex Lutein and Zeaxanthin</t>
        </is>
      </c>
      <c r="I4274" s="9" t="n">
        <v>140</v>
      </c>
      <c r="J4274" s="9" t="inlineStr">
        <is>
          <t>cnt</t>
        </is>
      </c>
      <c r="K4274" s="9" t="inlineStr">
        <is>
          <t>19.99 A</t>
        </is>
      </c>
    </row>
    <row r="4275" ht="15" customFormat="1" customHeight="1" s="5">
      <c r="A4275" s="81" t="n">
        <v>45669</v>
      </c>
      <c r="B4275" s="82" t="n">
        <v>0.5076388888888889</v>
      </c>
      <c r="C4275" s="5" t="inlineStr">
        <is>
          <t>Costco</t>
        </is>
      </c>
      <c r="E4275" s="5" t="n">
        <v>1</v>
      </c>
      <c r="F4275" s="6" t="inlineStr">
        <is>
          <t>439 201 60 701</t>
        </is>
      </c>
      <c r="G4275" s="15" t="inlineStr">
        <is>
          <t>6262016</t>
        </is>
      </c>
      <c r="H4275" s="9" t="inlineStr">
        <is>
          <t>KS Bath Tissue: 2-ply 56 rolls, 380 sheets/roll</t>
        </is>
      </c>
      <c r="I4275" s="9" t="n">
        <v>1425</v>
      </c>
      <c r="J4275" s="9" t="inlineStr">
        <is>
          <t>sq ft</t>
        </is>
      </c>
      <c r="K4275" s="9" t="inlineStr">
        <is>
          <t>20.99 A</t>
        </is>
      </c>
    </row>
    <row r="4276" ht="15" customFormat="1" customHeight="1" s="5">
      <c r="A4276" s="81" t="n">
        <v>45669</v>
      </c>
      <c r="B4276" s="82" t="n">
        <v>0.5076388888888889</v>
      </c>
      <c r="C4276" s="5" t="inlineStr">
        <is>
          <t>Costco</t>
        </is>
      </c>
      <c r="E4276" s="5" t="n">
        <v>1</v>
      </c>
      <c r="F4276" s="6" t="inlineStr">
        <is>
          <t>439 201 60 701</t>
        </is>
      </c>
      <c r="G4276" s="10" t="n"/>
      <c r="H4276" s="9" t="inlineStr">
        <is>
          <t>TAX A 8.000%</t>
        </is>
      </c>
      <c r="I4276" s="9" t="n">
        <v>19</v>
      </c>
      <c r="J4276" s="9" t="inlineStr">
        <is>
          <t>cnt</t>
        </is>
      </c>
      <c r="K4276" s="9" t="n">
        <v>3.36</v>
      </c>
    </row>
    <row r="4277" ht="15" customFormat="1" customHeight="1" s="5">
      <c r="A4277" s="81" t="n">
        <v>45668</v>
      </c>
      <c r="B4277" s="82" t="n">
        <v>0.6131944444444445</v>
      </c>
      <c r="C4277" s="5" t="inlineStr">
        <is>
          <t>Amazon</t>
        </is>
      </c>
      <c r="D4277" s="5" t="n">
        <v>1</v>
      </c>
      <c r="F4277" s="6" t="n"/>
      <c r="G4277" s="17" t="n"/>
      <c r="H4277" s="9" t="inlineStr">
        <is>
          <t>**RETURNED** Apple Lightening to AV adapter and tax</t>
        </is>
      </c>
      <c r="I4277" s="5" t="n">
        <v>1</v>
      </c>
      <c r="J4277" s="9" t="inlineStr">
        <is>
          <t>cnt</t>
        </is>
      </c>
      <c r="K4277" s="5" t="n">
        <v>-42.12</v>
      </c>
    </row>
    <row r="4278" ht="15" customFormat="1" customHeight="1" s="5">
      <c r="A4278" s="81" t="n">
        <v>45668</v>
      </c>
      <c r="B4278" s="82" t="n">
        <v>0.1229166666666667</v>
      </c>
      <c r="C4278" s="5" t="inlineStr">
        <is>
          <t>Overland Missions</t>
        </is>
      </c>
      <c r="D4278" s="5" t="n">
        <v>1</v>
      </c>
      <c r="F4278" s="6" t="inlineStr">
        <is>
          <t>3538</t>
        </is>
      </c>
      <c r="G4278" s="10" t="n"/>
      <c r="H4278" s="9" t="inlineStr">
        <is>
          <t>Pelletier - Monthly missions donation</t>
        </is>
      </c>
      <c r="I4278" s="9" t="n">
        <v>1</v>
      </c>
      <c r="J4278" s="9" t="inlineStr">
        <is>
          <t>cnt</t>
        </is>
      </c>
      <c r="K4278" s="9" t="n">
        <v>250</v>
      </c>
    </row>
    <row r="4279" ht="15" customFormat="1" customHeight="1" s="5">
      <c r="A4279" s="81" t="n">
        <v>45667</v>
      </c>
      <c r="B4279" s="82" t="n">
        <v>0.3541666666666667</v>
      </c>
      <c r="C4279" s="5" t="inlineStr">
        <is>
          <t>Sanders &amp; Soult Dentistry</t>
        </is>
      </c>
      <c r="E4279" s="5" t="n">
        <v>1</v>
      </c>
      <c r="F4279" s="6" t="inlineStr">
        <is>
          <t>LydiaJan_NA</t>
        </is>
      </c>
      <c r="G4279" s="10" t="n"/>
      <c r="H4279" s="9" t="inlineStr">
        <is>
          <t>Adult Cleaning</t>
        </is>
      </c>
      <c r="I4279" s="9" t="n">
        <v>1</v>
      </c>
      <c r="J4279" s="9" t="inlineStr">
        <is>
          <t>cnt</t>
        </is>
      </c>
      <c r="K4279" s="9" t="n">
        <v>140</v>
      </c>
    </row>
    <row r="4280" ht="15" customFormat="1" customHeight="1" s="5">
      <c r="A4280" s="81" t="n">
        <v>45667</v>
      </c>
      <c r="B4280" s="82" t="n">
        <v>0.3541666666666667</v>
      </c>
      <c r="C4280" s="5" t="inlineStr">
        <is>
          <t>Sanders &amp; Soult Dentistry</t>
        </is>
      </c>
      <c r="E4280" s="5" t="n">
        <v>1</v>
      </c>
      <c r="F4280" s="6" t="inlineStr">
        <is>
          <t>LydiaJan_NA</t>
        </is>
      </c>
      <c r="G4280" s="10" t="n"/>
      <c r="H4280" s="9" t="inlineStr">
        <is>
          <t>4 Bitewing x-rangs</t>
        </is>
      </c>
      <c r="I4280" s="9" t="n">
        <v>1</v>
      </c>
      <c r="J4280" s="9" t="inlineStr">
        <is>
          <t>cnt</t>
        </is>
      </c>
      <c r="K4280" s="9" t="n">
        <v>102</v>
      </c>
    </row>
    <row r="4281" ht="15" customFormat="1" customHeight="1" s="5">
      <c r="A4281" s="81" t="n">
        <v>45667</v>
      </c>
      <c r="B4281" s="82" t="n">
        <v>0.3541666666666667</v>
      </c>
      <c r="C4281" s="5" t="inlineStr">
        <is>
          <t>Sanders &amp; Soult Dentistry</t>
        </is>
      </c>
      <c r="E4281" s="5" t="n">
        <v>1</v>
      </c>
      <c r="F4281" s="6" t="inlineStr">
        <is>
          <t>LydiaJan_NA</t>
        </is>
      </c>
      <c r="G4281" s="10" t="n"/>
      <c r="H4281" s="9" t="inlineStr">
        <is>
          <t>Periodic Oral Exam</t>
        </is>
      </c>
      <c r="I4281" s="9" t="n">
        <v>1</v>
      </c>
      <c r="J4281" s="9" t="inlineStr">
        <is>
          <t>cnt</t>
        </is>
      </c>
      <c r="K4281" s="9" t="n">
        <v>88</v>
      </c>
    </row>
    <row r="4282" ht="15" customFormat="1" customHeight="1" s="5">
      <c r="A4282" s="81" t="n">
        <v>45667</v>
      </c>
      <c r="B4282" s="82" t="n">
        <v>0.3541666666666667</v>
      </c>
      <c r="C4282" s="5" t="inlineStr">
        <is>
          <t>Sanders &amp; Soult Dentistry</t>
        </is>
      </c>
      <c r="E4282" s="5" t="n">
        <v>1</v>
      </c>
      <c r="F4282" s="6" t="inlineStr">
        <is>
          <t>LydiaJan_NA</t>
        </is>
      </c>
      <c r="G4282" s="10" t="n"/>
      <c r="H4282" s="9" t="inlineStr">
        <is>
          <t>Insurance Summary charged to Delta Dental</t>
        </is>
      </c>
      <c r="I4282" s="9" t="n">
        <v>3</v>
      </c>
      <c r="J4282" s="9" t="inlineStr">
        <is>
          <t>cnt</t>
        </is>
      </c>
      <c r="K4282" s="9" t="n">
        <v>-330</v>
      </c>
    </row>
    <row r="4283" ht="15" customFormat="1" customHeight="1" s="5">
      <c r="A4283" s="81" t="n">
        <v>45666</v>
      </c>
      <c r="B4283" s="82" t="n">
        <v>0.7151620370370371</v>
      </c>
      <c r="C4283" s="5" t="inlineStr">
        <is>
          <t>J's Noodles and New Thai</t>
        </is>
      </c>
      <c r="E4283" s="5" t="n">
        <v>1</v>
      </c>
      <c r="F4283" s="6" t="inlineStr">
        <is>
          <t>00000007</t>
        </is>
      </c>
      <c r="G4283" s="10" t="n"/>
      <c r="H4283" s="9" t="inlineStr">
        <is>
          <t>Chicken Country Pad Thai Med+</t>
        </is>
      </c>
      <c r="I4283" s="9" t="n">
        <v>1</v>
      </c>
      <c r="J4283" s="9" t="inlineStr">
        <is>
          <t>cnt</t>
        </is>
      </c>
      <c r="K4283" s="9" t="n">
        <v>13.95</v>
      </c>
    </row>
    <row r="4284" ht="15" customFormat="1" customHeight="1" s="5">
      <c r="A4284" s="81" t="n">
        <v>45666</v>
      </c>
      <c r="B4284" s="82" t="n">
        <v>0.7151620370370371</v>
      </c>
      <c r="C4284" s="5" t="inlineStr">
        <is>
          <t>J's Noodles and New Thai</t>
        </is>
      </c>
      <c r="E4284" s="5" t="n">
        <v>1</v>
      </c>
      <c r="F4284" s="6" t="inlineStr">
        <is>
          <t>00000007</t>
        </is>
      </c>
      <c r="G4284" s="10" t="n"/>
      <c r="H4284" s="9" t="inlineStr">
        <is>
          <t>Chicken Drunken Noodle Mild</t>
        </is>
      </c>
      <c r="I4284" s="9" t="n">
        <v>1</v>
      </c>
      <c r="J4284" s="9" t="inlineStr">
        <is>
          <t>cnt</t>
        </is>
      </c>
      <c r="K4284" s="9" t="n">
        <v>12.95</v>
      </c>
    </row>
    <row r="4285" ht="15" customFormat="1" customHeight="1" s="5">
      <c r="A4285" s="81" t="n">
        <v>45666</v>
      </c>
      <c r="B4285" s="82" t="n">
        <v>0.7151620370370371</v>
      </c>
      <c r="C4285" s="5" t="inlineStr">
        <is>
          <t>J's Noodles and New Thai</t>
        </is>
      </c>
      <c r="E4285" s="5" t="n">
        <v>1</v>
      </c>
      <c r="F4285" s="6" t="inlineStr">
        <is>
          <t>00000007</t>
        </is>
      </c>
      <c r="G4285" s="10" t="n"/>
      <c r="H4285" s="9" t="inlineStr">
        <is>
          <t>Tip</t>
        </is>
      </c>
      <c r="I4285" s="9" t="n">
        <v>2</v>
      </c>
      <c r="J4285" s="9" t="inlineStr">
        <is>
          <t>cnt</t>
        </is>
      </c>
      <c r="K4285" s="9" t="n">
        <v>5.9</v>
      </c>
    </row>
    <row r="4286" ht="15" customFormat="1" customHeight="1" s="5">
      <c r="A4286" s="81" t="n">
        <v>45666</v>
      </c>
      <c r="B4286" s="82" t="n">
        <v>0.7151620370370371</v>
      </c>
      <c r="C4286" s="5" t="inlineStr">
        <is>
          <t>J's Noodles and New Thai</t>
        </is>
      </c>
      <c r="E4286" s="5" t="n">
        <v>1</v>
      </c>
      <c r="F4286" s="6" t="inlineStr">
        <is>
          <t>00000007</t>
        </is>
      </c>
      <c r="G4286" s="10" t="n"/>
      <c r="H4286" s="9" t="inlineStr">
        <is>
          <t>Tax</t>
        </is>
      </c>
      <c r="I4286" s="9" t="n">
        <v>2</v>
      </c>
      <c r="J4286" s="9" t="inlineStr">
        <is>
          <t>cnt</t>
        </is>
      </c>
      <c r="K4286" s="9" t="n">
        <v>1.2</v>
      </c>
    </row>
    <row r="4287" ht="15" customFormat="1" customHeight="1" s="5">
      <c r="A4287" s="81" t="n">
        <v>45665</v>
      </c>
      <c r="B4287" s="82" t="n">
        <v>0.7597222222222222</v>
      </c>
      <c r="C4287" s="5" t="inlineStr">
        <is>
          <t>Babylist</t>
        </is>
      </c>
      <c r="E4287" s="5" t="n">
        <v>1</v>
      </c>
      <c r="F4287" s="6" t="inlineStr">
        <is>
          <t>BLS-10751442</t>
        </is>
      </c>
      <c r="G4287" s="10" t="n"/>
      <c r="H4287" s="9" t="inlineStr">
        <is>
          <t>**REFUNDED** Tax Credit</t>
        </is>
      </c>
      <c r="I4287" s="9" t="n">
        <v>1</v>
      </c>
      <c r="J4287" s="9" t="inlineStr">
        <is>
          <t>cnt</t>
        </is>
      </c>
      <c r="K4287" s="9" t="n">
        <v>-8</v>
      </c>
    </row>
    <row r="4288" ht="15" customFormat="1" customHeight="1" s="5">
      <c r="A4288" s="81" t="n">
        <v>45665</v>
      </c>
      <c r="B4288" s="82" t="n">
        <v>0.7597222222222222</v>
      </c>
      <c r="C4288" s="5" t="inlineStr">
        <is>
          <t>Babylist</t>
        </is>
      </c>
      <c r="E4288" s="5" t="n">
        <v>1</v>
      </c>
      <c r="F4288" s="6" t="inlineStr">
        <is>
          <t>BLS-10751442</t>
        </is>
      </c>
      <c r="G4288" s="10" t="n"/>
      <c r="H4288" s="9" t="inlineStr">
        <is>
          <t>**RETURNED** Chicco E-Motion Auto-Glider &amp; Bouncer Grey</t>
        </is>
      </c>
      <c r="I4288" s="9" t="n">
        <v>1</v>
      </c>
      <c r="J4288" s="9" t="inlineStr">
        <is>
          <t>cnt</t>
        </is>
      </c>
      <c r="K4288" s="9" t="n">
        <v>-99.98999999999999</v>
      </c>
    </row>
    <row r="4289" ht="15" customFormat="1" customHeight="1" s="5">
      <c r="A4289" s="81" t="n">
        <v>45665</v>
      </c>
      <c r="B4289" s="82" t="n">
        <v>0.6805555555555556</v>
      </c>
      <c r="C4289" s="5" t="inlineStr">
        <is>
          <t>Amazon</t>
        </is>
      </c>
      <c r="D4289" s="5" t="n">
        <v>1</v>
      </c>
      <c r="F4289" s="6" t="inlineStr">
        <is>
          <t>114-1695155-1066666</t>
        </is>
      </c>
      <c r="G4289" s="10" t="n"/>
      <c r="H4289" s="9" t="inlineStr">
        <is>
          <t>**RETURNED** Souper Cubes -- Gift from Kati Bruce</t>
        </is>
      </c>
      <c r="I4289" s="9" t="n">
        <v>1</v>
      </c>
      <c r="J4289" s="9" t="inlineStr">
        <is>
          <t>cnt</t>
        </is>
      </c>
      <c r="K4289" s="9" t="n">
        <v>-38.87</v>
      </c>
    </row>
    <row r="4290" ht="15" customFormat="1" customHeight="1" s="5">
      <c r="A4290" s="81" t="n">
        <v>45665</v>
      </c>
      <c r="B4290" s="82" t="n">
        <v>0.5555555555555556</v>
      </c>
      <c r="C4290" s="5" t="inlineStr">
        <is>
          <t>Amazon</t>
        </is>
      </c>
      <c r="D4290" s="5" t="n">
        <v>1</v>
      </c>
      <c r="F4290" s="6" t="inlineStr">
        <is>
          <t>114-9937972-6076259</t>
        </is>
      </c>
      <c r="G4290" s="10" t="n"/>
      <c r="H4290" s="9" t="inlineStr">
        <is>
          <t>**RETURNED** Scosche MMWSM-XCES0 MagicMount Select Magnetic Phone, GPS, or Tablet Suction Cup Car Cell Phone Holder, 360 Degree Adjustable Head, StickGrip Suction Cup Phone Car Mount, Black -- Gift from Joseph Wu</t>
        </is>
      </c>
      <c r="I4290" s="9" t="n">
        <v>1</v>
      </c>
      <c r="J4290" s="9" t="inlineStr">
        <is>
          <t>cnt</t>
        </is>
      </c>
      <c r="K4290" s="9" t="n">
        <v>-11.87</v>
      </c>
    </row>
    <row r="4291" ht="15" customFormat="1" customHeight="1" s="5">
      <c r="A4291" s="81" t="n">
        <v>45665</v>
      </c>
      <c r="B4291" s="82" t="n">
        <v>0.5340277777777778</v>
      </c>
      <c r="C4291" s="5" t="inlineStr">
        <is>
          <t>Discover</t>
        </is>
      </c>
      <c r="D4291" s="5" t="n">
        <v>1</v>
      </c>
      <c r="F4291" s="6" t="inlineStr">
        <is>
          <t>854864527</t>
        </is>
      </c>
      <c r="G4291" s="10" t="n"/>
      <c r="H4291" s="9" t="inlineStr">
        <is>
          <t>Discover Lydia JANUARY cash back</t>
        </is>
      </c>
      <c r="I4291" s="9" t="n">
        <v>1</v>
      </c>
      <c r="J4291" s="9" t="inlineStr">
        <is>
          <t>cnt</t>
        </is>
      </c>
      <c r="K4291" s="9" t="n">
        <v>-8.31</v>
      </c>
    </row>
    <row r="4292" ht="15" customFormat="1" customHeight="1" s="5">
      <c r="A4292" s="81" t="n">
        <v>45665</v>
      </c>
      <c r="B4292" s="82" t="n">
        <v>0.4000694444444444</v>
      </c>
      <c r="C4292" s="5" t="inlineStr">
        <is>
          <t>H-Mart</t>
        </is>
      </c>
      <c r="E4292" s="5" t="n">
        <v>1</v>
      </c>
      <c r="F4292" s="6" t="inlineStr">
        <is>
          <t>26115 772715</t>
        </is>
      </c>
      <c r="G4292" s="10" t="n"/>
      <c r="H4292" s="9" t="inlineStr">
        <is>
          <t>Cut cucumber kimchi</t>
        </is>
      </c>
      <c r="I4292" s="9" t="n">
        <v>1</v>
      </c>
      <c r="J4292" s="9" t="inlineStr">
        <is>
          <t>cnt</t>
        </is>
      </c>
      <c r="K4292" s="9" t="inlineStr">
        <is>
          <t>6.99 T</t>
        </is>
      </c>
    </row>
    <row r="4293" ht="15" customFormat="1" customHeight="1" s="5">
      <c r="A4293" s="81" t="n">
        <v>45665</v>
      </c>
      <c r="B4293" s="82" t="n">
        <v>0.4000694444444444</v>
      </c>
      <c r="C4293" s="5" t="inlineStr">
        <is>
          <t>H-Mart</t>
        </is>
      </c>
      <c r="E4293" s="5" t="n">
        <v>1</v>
      </c>
      <c r="F4293" s="6" t="inlineStr">
        <is>
          <t>26115 772715</t>
        </is>
      </c>
      <c r="G4293" s="10" t="n"/>
      <c r="H4293" s="9" t="inlineStr">
        <is>
          <t>HF Frozen Roasted Eel</t>
        </is>
      </c>
      <c r="I4293" s="9" t="n">
        <v>12</v>
      </c>
      <c r="J4293" s="9" t="inlineStr">
        <is>
          <t>oz</t>
        </is>
      </c>
      <c r="K4293" s="9" t="n">
        <v>13.99</v>
      </c>
    </row>
    <row r="4294" ht="15" customFormat="1" customHeight="1" s="5">
      <c r="A4294" s="81" t="n">
        <v>45665</v>
      </c>
      <c r="B4294" s="82" t="n">
        <v>0.4000694444444444</v>
      </c>
      <c r="C4294" s="5" t="inlineStr">
        <is>
          <t>H-Mart</t>
        </is>
      </c>
      <c r="E4294" s="5" t="n">
        <v>1</v>
      </c>
      <c r="F4294" s="6" t="inlineStr">
        <is>
          <t>26115 772715</t>
        </is>
      </c>
      <c r="G4294" s="10" t="n"/>
      <c r="H4294" s="9" t="inlineStr">
        <is>
          <t>Hass Medium Avocado @$1.99/each</t>
        </is>
      </c>
      <c r="I4294" s="9" t="n">
        <v>5</v>
      </c>
      <c r="J4294" s="9" t="inlineStr">
        <is>
          <t>cnt</t>
        </is>
      </c>
      <c r="K4294" s="9" t="n">
        <v>9.949999999999999</v>
      </c>
    </row>
    <row r="4295" ht="15" customFormat="1" customHeight="1" s="5">
      <c r="A4295" s="81" t="n">
        <v>45665</v>
      </c>
      <c r="B4295" s="82" t="n">
        <v>0.4000694444444444</v>
      </c>
      <c r="C4295" s="5" t="inlineStr">
        <is>
          <t>H-Mart</t>
        </is>
      </c>
      <c r="E4295" s="5" t="n">
        <v>1</v>
      </c>
      <c r="F4295" s="6" t="inlineStr">
        <is>
          <t>26115 772715</t>
        </is>
      </c>
      <c r="G4295" s="10" t="n"/>
      <c r="H4295" s="9" t="inlineStr">
        <is>
          <t>Kikkoman Organic Soy Sauce</t>
        </is>
      </c>
      <c r="I4295" s="9" t="n">
        <v>10</v>
      </c>
      <c r="J4295" s="9" t="inlineStr">
        <is>
          <t>oz</t>
        </is>
      </c>
      <c r="K4295" s="9" t="n">
        <v>8.789999999999999</v>
      </c>
    </row>
    <row r="4296" ht="15" customFormat="1" customHeight="1" s="5">
      <c r="A4296" s="81" t="n">
        <v>45665</v>
      </c>
      <c r="B4296" s="82" t="n">
        <v>0.4000694444444444</v>
      </c>
      <c r="C4296" s="5" t="inlineStr">
        <is>
          <t>H-Mart</t>
        </is>
      </c>
      <c r="E4296" s="5" t="n">
        <v>1</v>
      </c>
      <c r="F4296" s="6" t="inlineStr">
        <is>
          <t>26115 772715</t>
        </is>
      </c>
      <c r="G4296" s="10" t="n"/>
      <c r="H4296" s="9" t="inlineStr">
        <is>
          <t>Marukan Genuine Brewed Rice Vinegar</t>
        </is>
      </c>
      <c r="I4296" s="9" t="n">
        <v>24</v>
      </c>
      <c r="J4296" s="9" t="inlineStr">
        <is>
          <t>fl oz</t>
        </is>
      </c>
      <c r="K4296" s="9" t="n">
        <v>7.99</v>
      </c>
    </row>
    <row r="4297" ht="15" customFormat="1" customHeight="1" s="5">
      <c r="A4297" s="81" t="n">
        <v>45665</v>
      </c>
      <c r="B4297" s="82" t="n">
        <v>0.4000694444444444</v>
      </c>
      <c r="C4297" s="5" t="inlineStr">
        <is>
          <t>H-Mart</t>
        </is>
      </c>
      <c r="E4297" s="5" t="n">
        <v>1</v>
      </c>
      <c r="F4297" s="6" t="inlineStr">
        <is>
          <t>26115 772715</t>
        </is>
      </c>
      <c r="G4297" s="10" t="n"/>
      <c r="H4297" s="9" t="inlineStr">
        <is>
          <t>TTL Mi Chiu Tou Rice Wine</t>
        </is>
      </c>
      <c r="I4297" s="9" t="n">
        <v>750</v>
      </c>
      <c r="J4297" s="9" t="inlineStr">
        <is>
          <t>mL</t>
        </is>
      </c>
      <c r="K4297" s="9" t="n">
        <v>6.99</v>
      </c>
    </row>
    <row r="4298" ht="15" customFormat="1" customHeight="1" s="5">
      <c r="A4298" s="81" t="n">
        <v>45665</v>
      </c>
      <c r="B4298" s="82" t="n">
        <v>0.4000694444444444</v>
      </c>
      <c r="C4298" s="5" t="inlineStr">
        <is>
          <t>H-Mart</t>
        </is>
      </c>
      <c r="E4298" s="5" t="n">
        <v>1</v>
      </c>
      <c r="F4298" s="6" t="inlineStr">
        <is>
          <t>26115 772715</t>
        </is>
      </c>
      <c r="G4298" s="10" t="n"/>
      <c r="H4298" s="9" t="inlineStr">
        <is>
          <t>Maruman Honzukuri Shinshy Aka Miso</t>
        </is>
      </c>
      <c r="I4298" s="9" t="n">
        <v>26.4</v>
      </c>
      <c r="J4298" s="9" t="inlineStr">
        <is>
          <t>oz</t>
        </is>
      </c>
      <c r="K4298" s="9" t="n">
        <v>6.99</v>
      </c>
    </row>
    <row r="4299" ht="15" customFormat="1" customHeight="1" s="5">
      <c r="A4299" s="81" t="n">
        <v>45665</v>
      </c>
      <c r="B4299" s="82" t="n">
        <v>0.4000694444444444</v>
      </c>
      <c r="C4299" s="5" t="inlineStr">
        <is>
          <t>H-Mart</t>
        </is>
      </c>
      <c r="E4299" s="5" t="n">
        <v>1</v>
      </c>
      <c r="F4299" s="6" t="inlineStr">
        <is>
          <t>26115 772715</t>
        </is>
      </c>
      <c r="G4299" s="10" t="n"/>
      <c r="H4299" s="9" t="inlineStr">
        <is>
          <t>LKK Lee Kum Kee Hoisin Sauce</t>
        </is>
      </c>
      <c r="I4299" s="9" t="n">
        <v>36</v>
      </c>
      <c r="J4299" s="9" t="inlineStr">
        <is>
          <t>oz</t>
        </is>
      </c>
      <c r="K4299" s="9" t="n">
        <v>6.79</v>
      </c>
    </row>
    <row r="4300" ht="15" customFormat="1" customHeight="1" s="5">
      <c r="A4300" s="81" t="n">
        <v>45665</v>
      </c>
      <c r="B4300" s="82" t="n">
        <v>0.4000694444444444</v>
      </c>
      <c r="C4300" s="5" t="inlineStr">
        <is>
          <t>H-Mart</t>
        </is>
      </c>
      <c r="E4300" s="5" t="n">
        <v>1</v>
      </c>
      <c r="F4300" s="6" t="inlineStr">
        <is>
          <t>26115 772715</t>
        </is>
      </c>
      <c r="G4300" s="10" t="n"/>
      <c r="H4300" s="9" t="inlineStr">
        <is>
          <t>Fuji Apple @$1.99/lb</t>
        </is>
      </c>
      <c r="I4300" s="9" t="n">
        <v>2.88</v>
      </c>
      <c r="J4300" s="9" t="inlineStr">
        <is>
          <t>lb</t>
        </is>
      </c>
      <c r="K4300" s="9" t="n">
        <v>5.73</v>
      </c>
    </row>
    <row r="4301" ht="15" customFormat="1" customHeight="1" s="5">
      <c r="A4301" s="81" t="n">
        <v>45665</v>
      </c>
      <c r="B4301" s="82" t="n">
        <v>0.4000694444444444</v>
      </c>
      <c r="C4301" s="5" t="inlineStr">
        <is>
          <t>H-Mart</t>
        </is>
      </c>
      <c r="E4301" s="5" t="n">
        <v>1</v>
      </c>
      <c r="F4301" s="6" t="inlineStr">
        <is>
          <t>26115 772715</t>
        </is>
      </c>
      <c r="G4301" s="10" t="n"/>
      <c r="H4301" s="9" t="inlineStr">
        <is>
          <t>YU CHOY SUM @$2.99/lb</t>
        </is>
      </c>
      <c r="I4301" s="9" t="n">
        <v>1.72</v>
      </c>
      <c r="J4301" s="9" t="inlineStr">
        <is>
          <t>lb</t>
        </is>
      </c>
      <c r="K4301" s="9" t="n">
        <v>5.14</v>
      </c>
    </row>
    <row r="4302" ht="15" customFormat="1" customHeight="1" s="5">
      <c r="A4302" s="81" t="n">
        <v>45665</v>
      </c>
      <c r="B4302" s="82" t="n">
        <v>0.4000694444444444</v>
      </c>
      <c r="C4302" s="5" t="inlineStr">
        <is>
          <t>H-Mart</t>
        </is>
      </c>
      <c r="E4302" s="5" t="n">
        <v>1</v>
      </c>
      <c r="F4302" s="6" t="inlineStr">
        <is>
          <t>26115 772715</t>
        </is>
      </c>
      <c r="G4302" s="10" t="n"/>
      <c r="H4302" s="9" t="inlineStr">
        <is>
          <t>Chinese Broccoli @$2.99/lb</t>
        </is>
      </c>
      <c r="I4302" s="9" t="n">
        <v>1.25</v>
      </c>
      <c r="J4302" s="9" t="inlineStr">
        <is>
          <t>lb</t>
        </is>
      </c>
      <c r="K4302" s="9" t="n">
        <v>3.73</v>
      </c>
    </row>
    <row r="4303" ht="15" customFormat="1" customHeight="1" s="5">
      <c r="A4303" s="81" t="n">
        <v>45665</v>
      </c>
      <c r="B4303" s="82" t="n">
        <v>0.4000694444444444</v>
      </c>
      <c r="C4303" s="5" t="inlineStr">
        <is>
          <t>H-Mart</t>
        </is>
      </c>
      <c r="E4303" s="5" t="n">
        <v>1</v>
      </c>
      <c r="F4303" s="6" t="inlineStr">
        <is>
          <t>26115 772715</t>
        </is>
      </c>
      <c r="G4303" s="10" t="n"/>
      <c r="H4303" s="9" t="inlineStr">
        <is>
          <t>PMO Organic 2 pack SOFT tofu</t>
        </is>
      </c>
      <c r="I4303" s="9" t="n">
        <v>15.5</v>
      </c>
      <c r="J4303" s="9" t="inlineStr">
        <is>
          <t>oz</t>
        </is>
      </c>
      <c r="K4303" s="9" t="n">
        <v>3.49</v>
      </c>
    </row>
    <row r="4304" ht="15" customFormat="1" customHeight="1" s="5">
      <c r="A4304" s="81" t="n">
        <v>45665</v>
      </c>
      <c r="B4304" s="82" t="n">
        <v>0.4000694444444444</v>
      </c>
      <c r="C4304" s="5" t="inlineStr">
        <is>
          <t>H-Mart</t>
        </is>
      </c>
      <c r="E4304" s="5" t="n">
        <v>1</v>
      </c>
      <c r="F4304" s="6" t="inlineStr">
        <is>
          <t>26115 772715</t>
        </is>
      </c>
      <c r="G4304" s="10" t="n"/>
      <c r="H4304" s="9" t="inlineStr">
        <is>
          <t>Tax1</t>
        </is>
      </c>
      <c r="I4304" s="9" t="n">
        <v>12</v>
      </c>
      <c r="J4304" s="9" t="inlineStr">
        <is>
          <t>cnt</t>
        </is>
      </c>
      <c r="K4304" s="9" t="n">
        <v>0.5600000000000001</v>
      </c>
    </row>
    <row r="4305" ht="15" customFormat="1" customHeight="1" s="5">
      <c r="A4305" s="81" t="n">
        <v>45665</v>
      </c>
      <c r="B4305" s="82" t="n">
        <v>0.4000694444444444</v>
      </c>
      <c r="C4305" s="5" t="inlineStr">
        <is>
          <t>H-Mart</t>
        </is>
      </c>
      <c r="E4305" s="5" t="n">
        <v>1</v>
      </c>
      <c r="F4305" s="6" t="inlineStr">
        <is>
          <t>26115 772715</t>
        </is>
      </c>
      <c r="G4305" s="10" t="n"/>
      <c r="H4305" s="9" t="inlineStr">
        <is>
          <t>**DISCOUNT** Chinese Broccoli @$1.28/lb</t>
        </is>
      </c>
      <c r="I4305" s="9" t="n">
        <v>1.25</v>
      </c>
      <c r="J4305" s="9" t="inlineStr">
        <is>
          <t>lb</t>
        </is>
      </c>
      <c r="K4305" s="9" t="n">
        <v>-2.13</v>
      </c>
    </row>
    <row r="4306" ht="15" customFormat="1" customHeight="1" s="5">
      <c r="A4306" s="81" t="n">
        <v>45665</v>
      </c>
      <c r="B4306" s="82" t="n">
        <v>0.4000694444444444</v>
      </c>
      <c r="C4306" s="5" t="inlineStr">
        <is>
          <t>H-Mart</t>
        </is>
      </c>
      <c r="E4306" s="5" t="n">
        <v>1</v>
      </c>
      <c r="F4306" s="6" t="inlineStr">
        <is>
          <t>26115 772715</t>
        </is>
      </c>
      <c r="G4306" s="10" t="n"/>
      <c r="H4306" s="9" t="inlineStr">
        <is>
          <t>**DISCOUNT** Fuji Apple $0.98/lb</t>
        </is>
      </c>
      <c r="I4306" s="9" t="n">
        <v>2.88</v>
      </c>
      <c r="J4306" s="9" t="inlineStr">
        <is>
          <t>lb</t>
        </is>
      </c>
      <c r="K4306" s="9" t="n">
        <v>-2.91</v>
      </c>
    </row>
    <row r="4307" ht="15" customFormat="1" customHeight="1" s="5">
      <c r="A4307" s="81" t="n">
        <v>45665</v>
      </c>
      <c r="B4307" s="82" t="n">
        <v>0.4000694444444444</v>
      </c>
      <c r="C4307" s="5" t="inlineStr">
        <is>
          <t>H-Mart</t>
        </is>
      </c>
      <c r="E4307" s="5" t="n">
        <v>1</v>
      </c>
      <c r="F4307" s="6" t="inlineStr">
        <is>
          <t>26115 772715</t>
        </is>
      </c>
      <c r="G4307" s="10" t="n"/>
      <c r="H4307" s="9" t="inlineStr">
        <is>
          <t>**DISCOUNT** Yu Choy @$1.28/lb</t>
        </is>
      </c>
      <c r="I4307" s="9" t="n">
        <v>1.72</v>
      </c>
      <c r="J4307" s="9" t="inlineStr">
        <is>
          <t>lb</t>
        </is>
      </c>
      <c r="K4307" s="9" t="n">
        <v>-2.94</v>
      </c>
    </row>
    <row r="4308" ht="15" customFormat="1" customHeight="1" s="5">
      <c r="A4308" s="81" t="n">
        <v>45665</v>
      </c>
      <c r="B4308" s="82" t="n">
        <v>0.4000694444444444</v>
      </c>
      <c r="C4308" s="5" t="inlineStr">
        <is>
          <t>H-Mart</t>
        </is>
      </c>
      <c r="E4308" s="5" t="n">
        <v>1</v>
      </c>
      <c r="F4308" s="6" t="inlineStr">
        <is>
          <t>26115 772715</t>
        </is>
      </c>
      <c r="G4308" s="10" t="n"/>
      <c r="H4308" s="9" t="inlineStr">
        <is>
          <t>**DISCOUNT** Avocado @$0.58/lb</t>
        </is>
      </c>
      <c r="I4308" s="9" t="n">
        <v>5</v>
      </c>
      <c r="J4308" s="9" t="inlineStr">
        <is>
          <t>cnt</t>
        </is>
      </c>
      <c r="K4308" s="9" t="n">
        <v>-7.05</v>
      </c>
    </row>
    <row r="4309" ht="15" customFormat="1" customHeight="1" s="5">
      <c r="A4309" s="89" t="n">
        <v>45663</v>
      </c>
      <c r="B4309" s="82" t="n">
        <v>0.2916666666666667</v>
      </c>
      <c r="C4309" s="5" t="inlineStr">
        <is>
          <t>US Tax Witholding</t>
        </is>
      </c>
      <c r="D4309" s="5" t="n">
        <v>1</v>
      </c>
      <c r="F4309" s="6" t="inlineStr">
        <is>
          <t>RTX_Paycheck_25_28</t>
        </is>
      </c>
      <c r="G4309" s="17" t="n"/>
      <c r="H4309" s="9" t="inlineStr">
        <is>
          <t>Social Security Tax</t>
        </is>
      </c>
      <c r="K4309" s="5" t="n">
        <v>237.26</v>
      </c>
    </row>
    <row r="4310" ht="15" customFormat="1" customHeight="1" s="5">
      <c r="A4310" s="89" t="n">
        <v>45663</v>
      </c>
      <c r="B4310" s="82" t="n">
        <v>0.2916666666666667</v>
      </c>
      <c r="C4310" s="5" t="inlineStr">
        <is>
          <t>US Tax Witholding</t>
        </is>
      </c>
      <c r="D4310" s="5" t="n">
        <v>1</v>
      </c>
      <c r="F4310" s="6" t="inlineStr">
        <is>
          <t>RTX_Paycheck_25_28</t>
        </is>
      </c>
      <c r="G4310" s="17" t="n"/>
      <c r="H4310" s="9" t="inlineStr">
        <is>
          <t>Medicare Tax</t>
        </is>
      </c>
      <c r="K4310" s="5" t="n">
        <v>55.49</v>
      </c>
    </row>
    <row r="4311" ht="15" customFormat="1" customHeight="1" s="5">
      <c r="A4311" s="89" t="n">
        <v>45663</v>
      </c>
      <c r="B4311" s="82" t="n">
        <v>0.2916666666666667</v>
      </c>
      <c r="C4311" s="5" t="inlineStr">
        <is>
          <t>US Tax Witholding</t>
        </is>
      </c>
      <c r="D4311" s="5" t="n">
        <v>1</v>
      </c>
      <c r="F4311" s="6" t="inlineStr">
        <is>
          <t>RTX_Paycheck_25_28</t>
        </is>
      </c>
      <c r="G4311" s="17" t="n"/>
      <c r="H4311" s="9" t="inlineStr">
        <is>
          <t>Federal Income Tax</t>
        </is>
      </c>
      <c r="K4311" s="5" t="n">
        <v>0</v>
      </c>
    </row>
    <row r="4312" ht="15" customFormat="1" customHeight="1" s="5">
      <c r="A4312" s="89" t="n">
        <v>45663</v>
      </c>
      <c r="B4312" s="82" t="n">
        <v>0.2916666666666667</v>
      </c>
      <c r="C4312" s="5" t="inlineStr">
        <is>
          <t>Raytheon</t>
        </is>
      </c>
      <c r="D4312" s="5" t="n">
        <v>1</v>
      </c>
      <c r="F4312" s="6" t="inlineStr">
        <is>
          <t>RTX_Paycheck_25_28</t>
        </is>
      </c>
      <c r="G4312" s="17" t="inlineStr">
        <is>
          <t>XXXX3523</t>
        </is>
      </c>
      <c r="H4312" s="9" t="inlineStr">
        <is>
          <t>Net Paycheck [Dec 21 - Jan 03]</t>
        </is>
      </c>
      <c r="K4312" s="5" t="n">
        <v>3123.38</v>
      </c>
    </row>
    <row r="4313" ht="15" customFormat="1" customHeight="1" s="5">
      <c r="A4313" s="89" t="n">
        <v>45663</v>
      </c>
      <c r="B4313" s="82" t="n">
        <v>0.2916666666666667</v>
      </c>
      <c r="C4313" s="5" t="inlineStr">
        <is>
          <t>Raytheon</t>
        </is>
      </c>
      <c r="D4313" s="5" t="n">
        <v>1</v>
      </c>
      <c r="F4313" s="6" t="inlineStr">
        <is>
          <t>RTX_Paycheck_25_28</t>
        </is>
      </c>
      <c r="G4313" s="17" t="n"/>
      <c r="H4313" s="9" t="inlineStr">
        <is>
          <t>RTX Direct Deposit -- cancelling offset</t>
        </is>
      </c>
      <c r="K4313" s="5" t="n">
        <v>-3123.39</v>
      </c>
    </row>
    <row r="4314" ht="15" customFormat="1" customHeight="1" s="5">
      <c r="A4314" s="89" t="n">
        <v>45663</v>
      </c>
      <c r="B4314" s="82" t="n">
        <v>0.2916666666666667</v>
      </c>
      <c r="C4314" s="5" t="inlineStr">
        <is>
          <t>Raytheon</t>
        </is>
      </c>
      <c r="D4314" s="5" t="n">
        <v>1</v>
      </c>
      <c r="F4314" s="6" t="inlineStr">
        <is>
          <t>RTX_Paycheck_25_28</t>
        </is>
      </c>
      <c r="G4314" s="17" t="n"/>
      <c r="H4314" s="9" t="inlineStr">
        <is>
          <t>Gross Paycheck [Dec 21 - Jan 03]</t>
        </is>
      </c>
      <c r="K4314" s="5" t="n">
        <v>-4040.94</v>
      </c>
    </row>
    <row r="4315" ht="15" customFormat="1" customHeight="1" s="5">
      <c r="A4315" s="89" t="n">
        <v>45663</v>
      </c>
      <c r="B4315" s="82" t="n">
        <v>0.2916666666666667</v>
      </c>
      <c r="C4315" s="5" t="inlineStr">
        <is>
          <t>Parents Gift Account</t>
        </is>
      </c>
      <c r="D4315" s="5" t="n">
        <v>1</v>
      </c>
      <c r="F4315" s="6" t="inlineStr">
        <is>
          <t>RTX_Paycheck_25_28</t>
        </is>
      </c>
      <c r="G4315" s="17" t="inlineStr">
        <is>
          <t>XXXX7146</t>
        </is>
      </c>
      <c r="H4315" s="9" t="inlineStr">
        <is>
          <t>Contribution to Parents Gift Account</t>
        </is>
      </c>
      <c r="K4315" s="5" t="n">
        <v>0.01</v>
      </c>
    </row>
    <row r="4316" ht="15" customFormat="1" customHeight="1" s="5">
      <c r="A4316" s="89" t="n">
        <v>45663</v>
      </c>
      <c r="B4316" s="82" t="n">
        <v>0.2916666666666667</v>
      </c>
      <c r="C4316" s="5" t="inlineStr">
        <is>
          <t>HSA</t>
        </is>
      </c>
      <c r="D4316" s="5" t="n">
        <v>1</v>
      </c>
      <c r="F4316" s="6" t="inlineStr">
        <is>
          <t>RTX_Paycheck_25_28</t>
        </is>
      </c>
      <c r="G4316" s="17" t="n"/>
      <c r="H4316" s="9" t="inlineStr">
        <is>
          <t>Personal contribution to HSA</t>
        </is>
      </c>
      <c r="K4316" s="5" t="n">
        <v>142.31</v>
      </c>
    </row>
    <row r="4317" ht="15" customFormat="1" customHeight="1" s="5">
      <c r="A4317" s="89" t="n">
        <v>45663</v>
      </c>
      <c r="B4317" s="82" t="n">
        <v>0.2916666666666667</v>
      </c>
      <c r="C4317" s="5" t="inlineStr">
        <is>
          <t>Delta Dental</t>
        </is>
      </c>
      <c r="D4317" s="5" t="n">
        <v>1</v>
      </c>
      <c r="F4317" s="25" t="inlineStr">
        <is>
          <t>RTX_Paycheck_25_28</t>
        </is>
      </c>
      <c r="G4317" s="10" t="n"/>
      <c r="H4317" s="9" t="inlineStr">
        <is>
          <t>Dental Insurance</t>
        </is>
      </c>
      <c r="K4317" s="5" t="n">
        <v>4.26</v>
      </c>
    </row>
    <row r="4318" ht="15" customFormat="1" customHeight="1" s="5">
      <c r="A4318" s="89" t="n">
        <v>45663</v>
      </c>
      <c r="B4318" s="82" t="n">
        <v>0.2916666666666667</v>
      </c>
      <c r="C4318" s="5" t="inlineStr">
        <is>
          <t>CO Tax Witholding</t>
        </is>
      </c>
      <c r="D4318" s="5" t="n">
        <v>1</v>
      </c>
      <c r="F4318" s="6" t="inlineStr">
        <is>
          <t>RTX_Paycheck_25_28</t>
        </is>
      </c>
      <c r="G4318" s="17" t="n"/>
      <c r="H4318" s="9" t="inlineStr">
        <is>
          <t>CO State Income Tax</t>
        </is>
      </c>
      <c r="K4318" s="5" t="n">
        <v>142.49</v>
      </c>
    </row>
    <row r="4319" ht="15" customFormat="1" customHeight="1" s="5">
      <c r="A4319" s="89" t="n">
        <v>45663</v>
      </c>
      <c r="B4319" s="82" t="n">
        <v>0.2916666666666667</v>
      </c>
      <c r="C4319" s="5" t="inlineStr">
        <is>
          <t>CO Tax Witholding</t>
        </is>
      </c>
      <c r="D4319" s="5" t="n">
        <v>1</v>
      </c>
      <c r="F4319" s="6" t="inlineStr">
        <is>
          <t>RTX_Paycheck_25_28</t>
        </is>
      </c>
      <c r="G4319" s="17" t="n"/>
      <c r="H4319" s="9" t="inlineStr">
        <is>
          <t>CO Paid Family Leave Insurance</t>
        </is>
      </c>
      <c r="K4319" s="5" t="n">
        <v>18.18</v>
      </c>
    </row>
    <row r="4320" ht="15" customFormat="1" customHeight="1" s="5">
      <c r="A4320" s="89" t="n">
        <v>45663</v>
      </c>
      <c r="B4320" s="82" t="n">
        <v>0.2916666666666667</v>
      </c>
      <c r="C4320" s="5" t="inlineStr">
        <is>
          <t>CO Tax Witholding</t>
        </is>
      </c>
      <c r="D4320" s="5" t="n">
        <v>1</v>
      </c>
      <c r="F4320" s="6" t="inlineStr">
        <is>
          <t>RTX_Paycheck_25_28</t>
        </is>
      </c>
      <c r="G4320" s="7" t="n"/>
      <c r="H4320" s="9" t="inlineStr">
        <is>
          <t xml:space="preserve">"POSTAX INS MRSH" ? </t>
        </is>
      </c>
      <c r="K4320" s="5" t="n">
        <v>5.9</v>
      </c>
    </row>
    <row r="4321" ht="15" customFormat="1" customHeight="1" s="5">
      <c r="A4321" s="89" t="n">
        <v>45663</v>
      </c>
      <c r="B4321" s="82" t="n">
        <v>0.2916666666666667</v>
      </c>
      <c r="C4321" s="5" t="inlineStr">
        <is>
          <t>Anthem BcBs</t>
        </is>
      </c>
      <c r="D4321" s="5" t="n">
        <v>1</v>
      </c>
      <c r="F4321" s="6" t="inlineStr">
        <is>
          <t>RTX_Paycheck_25_28</t>
        </is>
      </c>
      <c r="G4321" s="17" t="n"/>
      <c r="H4321" s="9" t="inlineStr">
        <is>
          <t>Medical Insurance</t>
        </is>
      </c>
      <c r="K4321" s="5" t="n">
        <v>69.2</v>
      </c>
    </row>
    <row r="4322" ht="15" customFormat="1" customHeight="1" s="5">
      <c r="A4322" s="89" t="n">
        <v>45663</v>
      </c>
      <c r="B4322" s="82" t="n">
        <v>0.2916666666666667</v>
      </c>
      <c r="C4322" s="5" t="inlineStr">
        <is>
          <t>Alight</t>
        </is>
      </c>
      <c r="D4322" s="5" t="n">
        <v>1</v>
      </c>
      <c r="F4322" s="6" t="inlineStr">
        <is>
          <t>RTX_Paycheck_25_28</t>
        </is>
      </c>
      <c r="G4322" s="17" t="n"/>
      <c r="H4322" s="9" t="inlineStr">
        <is>
          <t>401k Basic -- Traditional</t>
        </is>
      </c>
      <c r="K4322" s="5" t="n">
        <v>202.05</v>
      </c>
    </row>
    <row r="4323" ht="15" customFormat="1" customHeight="1" s="5">
      <c r="A4323" s="89" t="n">
        <v>45663</v>
      </c>
      <c r="B4323" s="82" t="n">
        <v>0.2916666666666667</v>
      </c>
      <c r="C4323" s="5" t="inlineStr">
        <is>
          <t>Alight</t>
        </is>
      </c>
      <c r="D4323" s="5" t="n">
        <v>1</v>
      </c>
      <c r="F4323" s="6" t="inlineStr">
        <is>
          <t>RTX_Paycheck_25_28</t>
        </is>
      </c>
      <c r="G4323" s="17" t="n"/>
      <c r="H4323" s="9" t="inlineStr">
        <is>
          <t>Roth 401k Basic</t>
        </is>
      </c>
      <c r="K4323" s="5" t="n">
        <v>40.41</v>
      </c>
    </row>
    <row r="4324" ht="15" customFormat="1" customHeight="1" s="5">
      <c r="A4324" s="89" t="n">
        <v>45663</v>
      </c>
      <c r="B4324" s="82" t="n">
        <v>0.2916666666666667</v>
      </c>
      <c r="C4324" s="5" t="inlineStr">
        <is>
          <t>Carrot</t>
        </is>
      </c>
      <c r="D4324" s="5" t="n">
        <v>1</v>
      </c>
      <c r="F4324" s="6" t="n"/>
      <c r="G4324" s="7" t="n"/>
      <c r="H4324" s="9" t="inlineStr">
        <is>
          <t>REIMBURSEMENT: Carrot: MIRA MAX Kit and 20 Fertility Max Wands</t>
        </is>
      </c>
      <c r="I4324" s="5" t="n">
        <v>21</v>
      </c>
      <c r="J4324" s="9" t="inlineStr">
        <is>
          <t>cnt</t>
        </is>
      </c>
      <c r="K4324" s="5" t="n">
        <v>-188.53</v>
      </c>
    </row>
    <row r="4325" ht="15" customFormat="1" customHeight="1" s="5">
      <c r="A4325" s="81" t="n">
        <v>45662</v>
      </c>
      <c r="B4325" s="82" t="n">
        <v>0.7604166666666666</v>
      </c>
      <c r="C4325" s="5" t="inlineStr">
        <is>
          <t>Outback Steakhouse</t>
        </is>
      </c>
      <c r="D4325" s="5" t="n">
        <v>1</v>
      </c>
      <c r="F4325" s="6" t="inlineStr">
        <is>
          <t>0148</t>
        </is>
      </c>
      <c r="G4325" s="10" t="n"/>
      <c r="H4325" s="9" t="inlineStr">
        <is>
          <t>Grilled Shrimp Entree: No onion, No seasoning, No Butter</t>
        </is>
      </c>
      <c r="I4325" s="9" t="n"/>
      <c r="J4325" s="9" t="n"/>
      <c r="K4325" s="9" t="n">
        <v>26.99</v>
      </c>
    </row>
    <row r="4326" ht="15" customFormat="1" customHeight="1" s="5">
      <c r="A4326" s="81" t="n">
        <v>45662</v>
      </c>
      <c r="B4326" s="82" t="n">
        <v>0.7604166666666666</v>
      </c>
      <c r="C4326" s="5" t="inlineStr">
        <is>
          <t>Outback Steakhouse</t>
        </is>
      </c>
      <c r="D4326" s="5" t="n">
        <v>1</v>
      </c>
      <c r="F4326" s="6" t="inlineStr">
        <is>
          <t>0148</t>
        </is>
      </c>
      <c r="G4326" s="10" t="n"/>
      <c r="H4326" s="9" t="inlineStr">
        <is>
          <t>Wings + Mashed Potato</t>
        </is>
      </c>
      <c r="I4326" s="9" t="n"/>
      <c r="J4326" s="9" t="n"/>
      <c r="K4326" s="9" t="n">
        <v>17.99</v>
      </c>
    </row>
    <row r="4327" ht="15" customFormat="1" customHeight="1" s="5">
      <c r="A4327" s="81" t="n">
        <v>45662</v>
      </c>
      <c r="B4327" s="82" t="n">
        <v>0.7604166666666666</v>
      </c>
      <c r="C4327" s="5" t="inlineStr">
        <is>
          <t>Outback Steakhouse</t>
        </is>
      </c>
      <c r="D4327" s="5" t="n">
        <v>1</v>
      </c>
      <c r="F4327" s="6" t="inlineStr">
        <is>
          <t>0148</t>
        </is>
      </c>
      <c r="G4327" s="10" t="n"/>
      <c r="H4327" s="9" t="inlineStr">
        <is>
          <t>Tax</t>
        </is>
      </c>
      <c r="I4327" s="9" t="n">
        <v>2</v>
      </c>
      <c r="J4327" s="9" t="inlineStr">
        <is>
          <t>cnt</t>
        </is>
      </c>
      <c r="K4327" s="9" t="n">
        <v>3.6</v>
      </c>
    </row>
    <row r="4328" ht="15" customFormat="1" customHeight="1" s="5">
      <c r="A4328" s="89" t="n">
        <v>45662</v>
      </c>
      <c r="B4328" s="82" t="n">
        <v>0.1715277777777778</v>
      </c>
      <c r="C4328" s="1" t="inlineStr">
        <is>
          <t>Xfinity</t>
        </is>
      </c>
      <c r="D4328" s="5" t="n">
        <v>1</v>
      </c>
      <c r="F4328" s="16" t="n"/>
      <c r="G4328" s="7" t="n"/>
      <c r="H4328" s="9" t="inlineStr">
        <is>
          <t>January internet bill</t>
        </is>
      </c>
      <c r="I4328" s="5" t="n">
        <v>1</v>
      </c>
      <c r="K4328" s="5" t="n">
        <v>60</v>
      </c>
    </row>
    <row r="4329" ht="15" customFormat="1" customHeight="1" s="5">
      <c r="A4329" s="81" t="n">
        <v>45661</v>
      </c>
      <c r="B4329" s="82" t="n">
        <v>0.55</v>
      </c>
      <c r="C4329" s="5" t="inlineStr">
        <is>
          <t>Costco</t>
        </is>
      </c>
      <c r="E4329" s="5" t="n">
        <v>1</v>
      </c>
      <c r="F4329" s="6" t="inlineStr">
        <is>
          <t>439202101702</t>
        </is>
      </c>
      <c r="G4329" s="17" t="inlineStr">
        <is>
          <t>E 96716</t>
        </is>
      </c>
      <c r="H4329" s="9" t="inlineStr">
        <is>
          <t>Organic Spinach Box</t>
        </is>
      </c>
      <c r="I4329" s="5" t="n">
        <v>16</v>
      </c>
      <c r="J4329" s="9" t="inlineStr">
        <is>
          <t>oz</t>
        </is>
      </c>
      <c r="K4329" s="5" t="inlineStr">
        <is>
          <t>3.89 N</t>
        </is>
      </c>
    </row>
    <row r="4330" ht="15" customFormat="1" customHeight="1" s="5">
      <c r="A4330" s="81" t="n">
        <v>45661</v>
      </c>
      <c r="B4330" s="82" t="n">
        <v>0.55</v>
      </c>
      <c r="C4330" s="5" t="inlineStr">
        <is>
          <t>Costco</t>
        </is>
      </c>
      <c r="E4330" s="5" t="n">
        <v>1</v>
      </c>
      <c r="F4330" s="6" t="inlineStr">
        <is>
          <t>439202101702</t>
        </is>
      </c>
      <c r="G4330" s="17" t="inlineStr">
        <is>
          <t>31680</t>
        </is>
      </c>
      <c r="H4330" s="9" t="inlineStr">
        <is>
          <t>Kirkland Signature Reynolds Foodservice Foil, 12 in x 1,000 ft</t>
        </is>
      </c>
      <c r="I4330" s="5" t="n">
        <v>1000</v>
      </c>
      <c r="J4330" s="5" t="inlineStr">
        <is>
          <t>sq ft</t>
        </is>
      </c>
      <c r="K4330" s="5" t="inlineStr">
        <is>
          <t>29.99 Y</t>
        </is>
      </c>
    </row>
    <row r="4331" ht="15" customFormat="1" customHeight="1" s="5">
      <c r="A4331" s="81" t="n">
        <v>45661</v>
      </c>
      <c r="B4331" s="82" t="n">
        <v>0.55</v>
      </c>
      <c r="C4331" s="5" t="inlineStr">
        <is>
          <t>Costco</t>
        </is>
      </c>
      <c r="E4331" s="5" t="n">
        <v>1</v>
      </c>
      <c r="F4331" s="6" t="inlineStr">
        <is>
          <t>439202101702</t>
        </is>
      </c>
      <c r="G4331" s="17" t="n"/>
      <c r="H4331" s="9" t="inlineStr">
        <is>
          <t>Tax A 8.00%</t>
        </is>
      </c>
      <c r="I4331" s="5" t="n">
        <v>2</v>
      </c>
      <c r="J4331" s="9" t="inlineStr">
        <is>
          <t>cnt</t>
        </is>
      </c>
      <c r="K4331" s="5" t="n">
        <v>2.4</v>
      </c>
    </row>
    <row r="4332" ht="15" customFormat="1" customHeight="1" s="5">
      <c r="A4332" s="81" t="n">
        <v>45661</v>
      </c>
      <c r="B4332" s="82" t="n">
        <v>0.55</v>
      </c>
      <c r="C4332" s="5" t="inlineStr">
        <is>
          <t>Costco</t>
        </is>
      </c>
      <c r="E4332" s="5" t="n">
        <v>1</v>
      </c>
      <c r="F4332" s="6" t="inlineStr">
        <is>
          <t>439208207708</t>
        </is>
      </c>
      <c r="G4332" s="17" t="inlineStr">
        <is>
          <t>1564153</t>
        </is>
      </c>
      <c r="H4332" s="5" t="inlineStr">
        <is>
          <t>AVOCADO MAYO Chosen Foods</t>
        </is>
      </c>
      <c r="I4332" s="5" t="n">
        <v>32</v>
      </c>
      <c r="J4332" s="9" t="inlineStr">
        <is>
          <t>fl oz</t>
        </is>
      </c>
      <c r="K4332" s="5" t="inlineStr">
        <is>
          <t>8.89 N</t>
        </is>
      </c>
    </row>
    <row r="4333" ht="15" customFormat="1" customHeight="1" s="5">
      <c r="A4333" s="81" t="n">
        <v>45661</v>
      </c>
      <c r="B4333" s="82" t="n">
        <v>0.55</v>
      </c>
      <c r="C4333" s="5" t="inlineStr">
        <is>
          <t>Costco</t>
        </is>
      </c>
      <c r="E4333" s="5" t="n">
        <v>1</v>
      </c>
      <c r="F4333" s="6" t="inlineStr">
        <is>
          <t>439208207708</t>
        </is>
      </c>
      <c r="G4333" s="17" t="inlineStr">
        <is>
          <t>550505</t>
        </is>
      </c>
      <c r="H4333" s="5" t="inlineStr">
        <is>
          <t>DICED CHILE 505</t>
        </is>
      </c>
      <c r="I4333" s="5" t="n">
        <v>40</v>
      </c>
      <c r="J4333" s="9" t="inlineStr">
        <is>
          <t>oz</t>
        </is>
      </c>
      <c r="K4333" s="5" t="inlineStr">
        <is>
          <t>8.79 N</t>
        </is>
      </c>
    </row>
    <row r="4334" ht="15" customFormat="1" customHeight="1" s="5">
      <c r="A4334" s="81" t="n">
        <v>45661</v>
      </c>
      <c r="B4334" s="82" t="n">
        <v>0.55</v>
      </c>
      <c r="C4334" s="5" t="inlineStr">
        <is>
          <t>Costco</t>
        </is>
      </c>
      <c r="E4334" s="5" t="n">
        <v>1</v>
      </c>
      <c r="F4334" s="6" t="inlineStr">
        <is>
          <t>439208207708</t>
        </is>
      </c>
      <c r="G4334" s="17" t="inlineStr">
        <is>
          <t>5938</t>
        </is>
      </c>
      <c r="H4334" s="5" t="inlineStr">
        <is>
          <t>POTATOES</t>
        </is>
      </c>
      <c r="I4334" s="5" t="n">
        <v>10</v>
      </c>
      <c r="J4334" s="5" t="inlineStr">
        <is>
          <t>lb</t>
        </is>
      </c>
      <c r="K4334" s="5" t="inlineStr">
        <is>
          <t>5.99 N</t>
        </is>
      </c>
    </row>
    <row r="4335" ht="15" customFormat="1" customHeight="1" s="5">
      <c r="A4335" s="81" t="n">
        <v>45661</v>
      </c>
      <c r="B4335" s="82" t="n">
        <v>0.55</v>
      </c>
      <c r="C4335" s="5" t="inlineStr">
        <is>
          <t>Costco</t>
        </is>
      </c>
      <c r="E4335" s="5" t="n">
        <v>1</v>
      </c>
      <c r="F4335" s="6" t="inlineStr">
        <is>
          <t>439208207708</t>
        </is>
      </c>
      <c r="G4335" s="17" t="inlineStr">
        <is>
          <t>87745</t>
        </is>
      </c>
      <c r="H4335" s="5" t="inlineStr">
        <is>
          <t>ROTISSERIE (only taxed item)</t>
        </is>
      </c>
      <c r="I4335" s="5" t="n">
        <v>3</v>
      </c>
      <c r="J4335" s="5" t="inlineStr">
        <is>
          <t>lb</t>
        </is>
      </c>
      <c r="K4335" s="5" t="inlineStr">
        <is>
          <t>4.99 Y</t>
        </is>
      </c>
    </row>
    <row r="4336" ht="15" customFormat="1" customHeight="1" s="5">
      <c r="A4336" s="81" t="n">
        <v>45661</v>
      </c>
      <c r="B4336" s="82" t="n">
        <v>0.55</v>
      </c>
      <c r="C4336" s="5" t="inlineStr">
        <is>
          <t>Costco</t>
        </is>
      </c>
      <c r="E4336" s="5" t="n">
        <v>1</v>
      </c>
      <c r="F4336" s="6" t="inlineStr">
        <is>
          <t>439208207708</t>
        </is>
      </c>
      <c r="G4336" s="17" t="inlineStr">
        <is>
          <t>33936</t>
        </is>
      </c>
      <c r="H4336" s="5" t="inlineStr">
        <is>
          <t>BABY BACKRIB pork loin back ribs @ $2.99/lb</t>
        </is>
      </c>
      <c r="I4336" s="5" t="n">
        <v>7.95</v>
      </c>
      <c r="J4336" s="5" t="inlineStr">
        <is>
          <t>lb</t>
        </is>
      </c>
      <c r="K4336" s="5" t="inlineStr">
        <is>
          <t>23.77 N</t>
        </is>
      </c>
    </row>
    <row r="4337" ht="15" customFormat="1" customHeight="1" s="5">
      <c r="A4337" s="81" t="n">
        <v>45661</v>
      </c>
      <c r="B4337" s="82" t="n">
        <v>0.55</v>
      </c>
      <c r="C4337" s="5" t="inlineStr">
        <is>
          <t>Costco</t>
        </is>
      </c>
      <c r="E4337" s="5" t="n">
        <v>1</v>
      </c>
      <c r="F4337" s="6" t="inlineStr">
        <is>
          <t>439208207708</t>
        </is>
      </c>
      <c r="G4337" s="17" t="inlineStr">
        <is>
          <t>362996</t>
        </is>
      </c>
      <c r="H4337" s="5" t="inlineStr">
        <is>
          <t>TERRA DLYSSA, 2 pack ,1 liter each, olive oil</t>
        </is>
      </c>
      <c r="I4337" s="5" t="n">
        <v>2</v>
      </c>
      <c r="J4337" s="5" t="inlineStr">
        <is>
          <t>L</t>
        </is>
      </c>
      <c r="K4337" s="5" t="inlineStr">
        <is>
          <t>21.79 N</t>
        </is>
      </c>
    </row>
    <row r="4338" ht="15" customFormat="1" customHeight="1" s="5">
      <c r="A4338" s="81" t="n">
        <v>45661</v>
      </c>
      <c r="B4338" s="82" t="n">
        <v>0.55</v>
      </c>
      <c r="C4338" s="5" t="inlineStr">
        <is>
          <t>Costco</t>
        </is>
      </c>
      <c r="E4338" s="5" t="n">
        <v>1</v>
      </c>
      <c r="F4338" s="6" t="inlineStr">
        <is>
          <t>439208207708</t>
        </is>
      </c>
      <c r="G4338" s="17" t="inlineStr">
        <is>
          <t>545345</t>
        </is>
      </c>
      <c r="H4338" s="5" t="inlineStr">
        <is>
          <t>KS PISTACHIO</t>
        </is>
      </c>
      <c r="I4338" s="5" t="n">
        <v>3</v>
      </c>
      <c r="J4338" s="5" t="inlineStr">
        <is>
          <t>lb</t>
        </is>
      </c>
      <c r="K4338" s="5" t="inlineStr">
        <is>
          <t>13.49 N</t>
        </is>
      </c>
    </row>
    <row r="4339" ht="15" customFormat="1" customHeight="1" s="5">
      <c r="A4339" s="81" t="n">
        <v>45661</v>
      </c>
      <c r="B4339" s="82" t="n">
        <v>0.55</v>
      </c>
      <c r="C4339" s="5" t="inlineStr">
        <is>
          <t>Costco</t>
        </is>
      </c>
      <c r="E4339" s="5" t="n">
        <v>1</v>
      </c>
      <c r="F4339" s="6" t="inlineStr">
        <is>
          <t>439208207708</t>
        </is>
      </c>
      <c r="G4339" s="17" t="inlineStr">
        <is>
          <t>1617507</t>
        </is>
      </c>
      <c r="H4339" s="5" t="inlineStr">
        <is>
          <t>KS UNS CASHEWS</t>
        </is>
      </c>
      <c r="I4339" s="5" t="n">
        <v>2.5</v>
      </c>
      <c r="J4339" s="5" t="inlineStr">
        <is>
          <t>lb</t>
        </is>
      </c>
      <c r="K4339" s="5" t="inlineStr">
        <is>
          <t>12.99 N</t>
        </is>
      </c>
    </row>
    <row r="4340" ht="15" customFormat="1" customHeight="1" s="5">
      <c r="A4340" s="81" t="n">
        <v>45661</v>
      </c>
      <c r="B4340" s="82" t="n">
        <v>0.55</v>
      </c>
      <c r="C4340" s="5" t="inlineStr">
        <is>
          <t>Costco</t>
        </is>
      </c>
      <c r="E4340" s="5" t="n">
        <v>1</v>
      </c>
      <c r="F4340" s="6" t="inlineStr">
        <is>
          <t>439208207708</t>
        </is>
      </c>
      <c r="G4340" s="17" t="inlineStr">
        <is>
          <t>7099</t>
        </is>
      </c>
      <c r="H4340" s="5" t="inlineStr">
        <is>
          <t>Fresh Organic Pitted Medjool Dates</t>
        </is>
      </c>
      <c r="I4340" s="5" t="n">
        <v>24</v>
      </c>
      <c r="J4340" s="9" t="inlineStr">
        <is>
          <t>oz</t>
        </is>
      </c>
      <c r="K4340" s="5" t="inlineStr">
        <is>
          <t>11.99 N</t>
        </is>
      </c>
    </row>
    <row r="4341" ht="15" customFormat="1" customHeight="1" s="5">
      <c r="A4341" s="81" t="n">
        <v>45661</v>
      </c>
      <c r="B4341" s="82" t="n">
        <v>0.55</v>
      </c>
      <c r="C4341" s="5" t="inlineStr">
        <is>
          <t>Costco</t>
        </is>
      </c>
      <c r="E4341" s="5" t="n">
        <v>1</v>
      </c>
      <c r="F4341" s="6" t="inlineStr">
        <is>
          <t>439208207708</t>
        </is>
      </c>
      <c r="G4341" s="17" t="inlineStr">
        <is>
          <t>30669</t>
        </is>
      </c>
      <c r="H4341" s="5" t="inlineStr">
        <is>
          <t>BANANAS</t>
        </is>
      </c>
      <c r="I4341" s="5" t="n">
        <v>3</v>
      </c>
      <c r="J4341" s="5" t="inlineStr">
        <is>
          <t>lb</t>
        </is>
      </c>
      <c r="K4341" s="5" t="inlineStr">
        <is>
          <t>1.49 N</t>
        </is>
      </c>
    </row>
    <row r="4342" ht="15" customFormat="1" customHeight="1" s="5">
      <c r="A4342" s="81" t="n">
        <v>45661</v>
      </c>
      <c r="B4342" s="82" t="n">
        <v>0.55</v>
      </c>
      <c r="C4342" s="5" t="inlineStr">
        <is>
          <t>Costco</t>
        </is>
      </c>
      <c r="E4342" s="5" t="n">
        <v>1</v>
      </c>
      <c r="F4342" s="6" t="inlineStr">
        <is>
          <t>439208207708</t>
        </is>
      </c>
      <c r="G4342" s="17" t="n"/>
      <c r="H4342" s="5" t="inlineStr">
        <is>
          <t>Tax</t>
        </is>
      </c>
      <c r="I4342" s="5" t="n">
        <v>10</v>
      </c>
      <c r="J4342" s="9" t="inlineStr">
        <is>
          <t>cnt</t>
        </is>
      </c>
      <c r="K4342" s="5" t="n">
        <v>0.4</v>
      </c>
    </row>
    <row r="4343" ht="15" customFormat="1" customHeight="1" s="5">
      <c r="A4343" s="89" t="n">
        <v>45660</v>
      </c>
      <c r="B4343" s="82" t="n">
        <v>0.2916666666666667</v>
      </c>
      <c r="C4343" s="5" t="inlineStr">
        <is>
          <t>Amazon</t>
        </is>
      </c>
      <c r="E4343" s="5" t="n">
        <v>1</v>
      </c>
      <c r="F4343" s="6" t="inlineStr">
        <is>
          <t>114-9937972-6076259</t>
        </is>
      </c>
      <c r="G4343" s="17" t="n"/>
      <c r="H4343" s="9" t="inlineStr">
        <is>
          <t>**RETURNED** Scosche Scosche MMV-XCES0 MagicMount...</t>
        </is>
      </c>
      <c r="I4343" s="5" t="n">
        <v>1</v>
      </c>
      <c r="J4343" s="9" t="inlineStr">
        <is>
          <t>cnt</t>
        </is>
      </c>
      <c r="K4343" s="5" t="n">
        <v>-11.87</v>
      </c>
    </row>
    <row r="4344" ht="15" customFormat="1" customHeight="1" s="5">
      <c r="A4344" s="89" t="n">
        <v>45659</v>
      </c>
      <c r="B4344" s="82" t="n">
        <v>0.8208333333333333</v>
      </c>
      <c r="C4344" s="5" t="inlineStr">
        <is>
          <t>NFCU</t>
        </is>
      </c>
      <c r="D4344" s="5" t="n">
        <v>1</v>
      </c>
      <c r="F4344" s="16" t="n">
        <v>1001969</v>
      </c>
      <c r="G4344" s="7" t="n"/>
      <c r="H4344" s="9" t="inlineStr">
        <is>
          <t>TODO: confirm FSA eye doctor reimbursement</t>
        </is>
      </c>
      <c r="I4344" s="5" t="n">
        <v>1</v>
      </c>
      <c r="J4344" s="9" t="inlineStr">
        <is>
          <t>cnt</t>
        </is>
      </c>
      <c r="K4344" s="5" t="n">
        <v>-202.09</v>
      </c>
    </row>
    <row r="4345" ht="15" customFormat="1" customHeight="1" s="5">
      <c r="A4345" s="81" t="n">
        <v>45659</v>
      </c>
      <c r="B4345" s="82" t="n">
        <v>0.6805555555555556</v>
      </c>
      <c r="C4345" s="5" t="inlineStr">
        <is>
          <t>NFCU</t>
        </is>
      </c>
      <c r="E4345" s="5" t="n">
        <v>1</v>
      </c>
      <c r="F4345" s="6" t="inlineStr">
        <is>
          <t>0350599745654</t>
        </is>
      </c>
      <c r="G4345" s="10" t="n"/>
      <c r="H4345" s="9" t="inlineStr">
        <is>
          <t>$50 Bond issued 05/2003, interest per Bond $30.08, value per Bond $55.08</t>
        </is>
      </c>
      <c r="I4345" s="9" t="n">
        <v>1</v>
      </c>
      <c r="J4345" s="9" t="inlineStr">
        <is>
          <t>cnt</t>
        </is>
      </c>
      <c r="K4345" s="9" t="n">
        <v>-55.08</v>
      </c>
    </row>
    <row r="4346" ht="15" customFormat="1" customHeight="1" s="5">
      <c r="A4346" s="81" t="n">
        <v>45659</v>
      </c>
      <c r="B4346" s="82" t="n">
        <v>0.6805555555555556</v>
      </c>
      <c r="C4346" s="5" t="inlineStr">
        <is>
          <t>NFCU</t>
        </is>
      </c>
      <c r="E4346" s="5" t="n">
        <v>1</v>
      </c>
      <c r="F4346" s="6" t="inlineStr">
        <is>
          <t>0410720934891</t>
        </is>
      </c>
      <c r="G4346" s="10" t="n"/>
      <c r="H4346" s="9" t="inlineStr">
        <is>
          <t>$100 Bond issued 11/2000, interest per Bond $65.88, value per Bond $115.88</t>
        </is>
      </c>
      <c r="I4346" s="9" t="n">
        <v>1</v>
      </c>
      <c r="J4346" s="9" t="inlineStr">
        <is>
          <t>cnt</t>
        </is>
      </c>
      <c r="K4346" s="9" t="n">
        <v>-115.88</v>
      </c>
    </row>
    <row r="4347" ht="15" customFormat="1" customHeight="1" s="5">
      <c r="A4347" s="81" t="n">
        <v>45659</v>
      </c>
      <c r="B4347" s="82" t="n">
        <v>0.5520833333333334</v>
      </c>
      <c r="C4347" s="5" t="inlineStr">
        <is>
          <t>Viture</t>
        </is>
      </c>
      <c r="D4347" s="5" t="n">
        <v>1</v>
      </c>
      <c r="F4347" s="6" t="inlineStr">
        <is>
          <t>Order #88193514968</t>
        </is>
      </c>
      <c r="G4347" s="17" t="n"/>
      <c r="H4347" s="9" t="inlineStr">
        <is>
          <t>**RETURNED** VITURE Pro XR Glasses and HDMI Adapter (+Lightening insert)</t>
        </is>
      </c>
      <c r="I4347" s="5" t="n">
        <v>3</v>
      </c>
      <c r="J4347" s="9" t="inlineStr">
        <is>
          <t>cnt</t>
        </is>
      </c>
      <c r="K4347" s="5" t="n">
        <v>-468</v>
      </c>
    </row>
    <row r="4348" ht="15" customFormat="1" customHeight="1" s="5">
      <c r="A4348" s="81" t="n">
        <v>45658</v>
      </c>
      <c r="B4348" s="82" t="n">
        <v>0.4819444444444445</v>
      </c>
      <c r="C4348" s="5" t="inlineStr">
        <is>
          <t>House Denver</t>
        </is>
      </c>
      <c r="D4348" s="5" t="n">
        <v>1</v>
      </c>
      <c r="F4348" s="6" t="n">
        <v>53852722946</v>
      </c>
      <c r="G4348" s="10" t="n"/>
      <c r="H4348" s="9" t="inlineStr">
        <is>
          <t>Monthly overflow chunk of 2025 tithe bunched into 2024. This transaction was actually made on 12/31/25, but it is logged against 2025 budget.</t>
        </is>
      </c>
      <c r="I4348" s="9" t="n"/>
      <c r="J4348" s="9" t="n"/>
      <c r="K4348" s="9">
        <f>(9500-8750.43)/12</f>
        <v/>
      </c>
    </row>
    <row r="4349" ht="15" customFormat="1" customHeight="1" s="5">
      <c r="A4349" s="81" t="n">
        <v>45658</v>
      </c>
      <c r="B4349" s="82" t="n">
        <v>0.4819444444444445</v>
      </c>
      <c r="C4349" s="5" t="inlineStr">
        <is>
          <t>House Denver</t>
        </is>
      </c>
      <c r="D4349" s="5" t="n">
        <v>1</v>
      </c>
      <c r="F4349" s="6" t="n">
        <v>53852722946</v>
      </c>
      <c r="G4349" s="17" t="n"/>
      <c r="H4349" s="9" t="inlineStr">
        <is>
          <t>Monthly chunk of 2025 tithe bunched into 2024. This transaction was actually made on 12/31/25, but it is logged against 2025 budget.</t>
        </is>
      </c>
      <c r="K4349" s="5">
        <f>MAX(0, MIN(9500,#REF!))</f>
        <v/>
      </c>
    </row>
    <row r="4350" ht="15" customFormat="1" customHeight="1" s="5">
      <c r="A4350" s="81" t="n">
        <v>45658</v>
      </c>
      <c r="B4350" s="82" t="n">
        <v>0.2916666666666667</v>
      </c>
      <c r="C4350" s="5" t="inlineStr">
        <is>
          <t>Rocket</t>
        </is>
      </c>
      <c r="D4350" s="5" t="n">
        <v>1</v>
      </c>
      <c r="F4350" s="6" t="inlineStr">
        <is>
          <t>3550329812_02</t>
        </is>
      </c>
      <c r="G4350" s="17" t="n"/>
      <c r="H4350" s="9" t="inlineStr">
        <is>
          <t>Interest</t>
        </is>
      </c>
      <c r="I4350" s="5" t="n">
        <v>1</v>
      </c>
      <c r="J4350" s="9" t="inlineStr">
        <is>
          <t>cnt</t>
        </is>
      </c>
      <c r="K4350" s="5" t="n">
        <v>1171.5</v>
      </c>
    </row>
    <row r="4351" ht="15" customFormat="1" customHeight="1" s="5">
      <c r="A4351" s="81" t="n">
        <v>45658</v>
      </c>
      <c r="B4351" s="82" t="n">
        <v>0.2916666666666667</v>
      </c>
      <c r="C4351" s="5" t="inlineStr">
        <is>
          <t>Rocket</t>
        </is>
      </c>
      <c r="D4351" s="5" t="n">
        <v>1</v>
      </c>
      <c r="F4351" s="6" t="inlineStr">
        <is>
          <t>3550329812_02</t>
        </is>
      </c>
      <c r="G4351" s="17" t="n"/>
      <c r="H4351" s="9" t="inlineStr">
        <is>
          <t>Principal</t>
        </is>
      </c>
      <c r="I4351" s="5" t="n">
        <v>1</v>
      </c>
      <c r="J4351" s="9" t="inlineStr">
        <is>
          <t>cnt</t>
        </is>
      </c>
      <c r="K4351" s="5" t="n">
        <v>242.98</v>
      </c>
    </row>
    <row r="4352" ht="15" customFormat="1" customHeight="1" s="5">
      <c r="A4352" s="81" t="n">
        <v>45658</v>
      </c>
      <c r="B4352" s="82" t="n">
        <v>0.2916666666666667</v>
      </c>
      <c r="C4352" s="5" t="inlineStr">
        <is>
          <t>Rocket</t>
        </is>
      </c>
      <c r="D4352" s="5" t="n">
        <v>1</v>
      </c>
      <c r="F4352" s="6" t="inlineStr">
        <is>
          <t>3550329812_02</t>
        </is>
      </c>
      <c r="G4352" s="17" t="n"/>
      <c r="H4352" s="9" t="inlineStr">
        <is>
          <t>Taxes ESCROW</t>
        </is>
      </c>
      <c r="I4352" s="5" t="n">
        <v>1</v>
      </c>
      <c r="J4352" s="9" t="inlineStr">
        <is>
          <t>cnt</t>
        </is>
      </c>
      <c r="K4352" s="5" t="n">
        <v>107.22</v>
      </c>
    </row>
    <row r="4353" ht="15" customFormat="1" customHeight="1" s="5">
      <c r="A4353" s="81" t="n">
        <v>45658</v>
      </c>
      <c r="B4353" s="82" t="n">
        <v>0.2916666666666667</v>
      </c>
      <c r="C4353" s="5" t="inlineStr">
        <is>
          <t>Rocket</t>
        </is>
      </c>
      <c r="D4353" s="5" t="n">
        <v>1</v>
      </c>
      <c r="F4353" s="6" t="inlineStr">
        <is>
          <t>3550329812_02</t>
        </is>
      </c>
      <c r="G4353" s="17" t="n"/>
      <c r="H4353" s="9" t="inlineStr">
        <is>
          <t>Insurance ESCROW</t>
        </is>
      </c>
      <c r="I4353" s="5" t="n">
        <v>1</v>
      </c>
      <c r="J4353" s="9" t="inlineStr">
        <is>
          <t>cnt</t>
        </is>
      </c>
      <c r="K4353" s="5" t="n">
        <v>49.58</v>
      </c>
    </row>
    <row r="4354" ht="15" customFormat="1" customHeight="1" s="5">
      <c r="A4354" s="81" t="n">
        <v>45658</v>
      </c>
      <c r="B4354" s="82" t="n">
        <v>0.0006944444444444445</v>
      </c>
      <c r="C4354" s="5" t="inlineStr">
        <is>
          <t>Costco</t>
        </is>
      </c>
      <c r="D4354" s="5" t="n">
        <v>1</v>
      </c>
      <c r="F4354" s="6" t="n"/>
      <c r="G4354" s="17" t="n"/>
      <c r="H4354" s="9" t="inlineStr">
        <is>
          <t>December 2024 statement charges for costco card usage tracking</t>
        </is>
      </c>
      <c r="K4354" s="5">
        <f>50+31.32+15.47+4.7+217.62+11.38+37.38+131.45+39.91</f>
        <v/>
      </c>
    </row>
    <row r="4355" ht="15" customFormat="1" customHeight="1" s="5">
      <c r="A4355" s="81" t="n">
        <v>45658</v>
      </c>
      <c r="B4355" s="82" t="n">
        <v>0.0006944444444444445</v>
      </c>
      <c r="C4355" s="5" t="inlineStr">
        <is>
          <t>Costco</t>
        </is>
      </c>
      <c r="D4355" s="5" t="n">
        <v>1</v>
      </c>
      <c r="F4355" s="6" t="n"/>
      <c r="G4355" s="17" t="n"/>
      <c r="H4355" s="9" t="inlineStr">
        <is>
          <t>December 2024 statement charges for costco card usage tracking OFFSET</t>
        </is>
      </c>
      <c r="K4355" s="5">
        <f>-1*(50+31.32+15.47+4.7+217.62+11.38+37.38+131.45+39.91)</f>
        <v/>
      </c>
    </row>
    <row r="4356" ht="15" customFormat="1" customHeight="1" s="5">
      <c r="A4356" s="81" t="n">
        <v>45658</v>
      </c>
      <c r="B4356" s="82" t="n">
        <v>0</v>
      </c>
      <c r="C4356" s="5" t="inlineStr">
        <is>
          <t>CIT</t>
        </is>
      </c>
      <c r="D4356" s="5" t="n">
        <v>1</v>
      </c>
      <c r="F4356" s="6" t="n"/>
      <c r="G4356" s="17" t="n"/>
      <c r="H4356" s="9" t="inlineStr">
        <is>
          <t>December 2024 Interest Credit -- CIT SAVINGS 4.258%, Last APY 4.48%</t>
        </is>
      </c>
      <c r="I4356" s="5" t="n">
        <v>1</v>
      </c>
      <c r="J4356" s="9" t="inlineStr">
        <is>
          <t>cnt</t>
        </is>
      </c>
      <c r="K4356" s="5" t="n">
        <v>-346.94</v>
      </c>
    </row>
  </sheetData>
  <conditionalFormatting sqref="A1:K4356 A4357:L13180">
    <cfRule type="expression" priority="905" dxfId="28">
      <formula>#REF!="CONFIRMED"</formula>
    </cfRule>
  </conditionalFormatting>
  <conditionalFormatting sqref="A1:K13180">
    <cfRule type="expression" priority="2044" dxfId="15">
      <formula>#REF!="X"</formula>
    </cfRule>
    <cfRule type="expression" priority="2045" dxfId="14">
      <formula>#REF!="L"</formula>
    </cfRule>
    <cfRule type="expression" priority="2046" dxfId="13" stopIfTrue="1">
      <formula>#REF!="E"</formula>
    </cfRule>
    <cfRule type="expression" priority="2047" dxfId="12">
      <formula>FIND("#",A$1)</formula>
    </cfRule>
    <cfRule type="expression" priority="2048" dxfId="11">
      <formula>#REF!="PENDING"</formula>
    </cfRule>
    <cfRule type="expression" priority="2049" dxfId="10">
      <formula>#REF!="NEED PAYMENT INFO"</formula>
    </cfRule>
    <cfRule type="expression" priority="2050" dxfId="9">
      <formula>#REF!&lt;0</formula>
    </cfRule>
    <cfRule type="expression" priority="2051" dxfId="8" stopIfTrue="1">
      <formula>#REF!="TAX"</formula>
    </cfRule>
    <cfRule type="expression" priority="2052" dxfId="5">
      <formula>#REF!="BABY_NEED_TO_THANK"</formula>
    </cfRule>
    <cfRule type="expression" priority="2053" dxfId="4" stopIfTrue="1">
      <formula>#REF!="BABY_WRITTEN"</formula>
    </cfRule>
    <cfRule type="expression" priority="2054" dxfId="5">
      <formula>#REF!="NEED_TO_THANK"</formula>
    </cfRule>
    <cfRule type="expression" priority="2055" dxfId="4">
      <formula>#REF!="TQ_WRITTEN"</formula>
    </cfRule>
  </conditionalFormatting>
  <conditionalFormatting sqref="L4357:L13180">
    <cfRule type="expression" priority="2068" dxfId="15">
      <formula>#REF!="X"</formula>
    </cfRule>
    <cfRule type="expression" priority="2069" dxfId="14">
      <formula>#REF!="L"</formula>
    </cfRule>
    <cfRule type="expression" priority="2070" dxfId="13" stopIfTrue="1">
      <formula>#REF!="E"</formula>
    </cfRule>
    <cfRule type="expression" priority="2071" dxfId="12">
      <formula>FIND("#",#REF!)</formula>
    </cfRule>
    <cfRule type="expression" priority="2072" dxfId="11">
      <formula>#REF!="PENDING"</formula>
    </cfRule>
    <cfRule type="expression" priority="2073" dxfId="10">
      <formula>#REF!="NEED PAYMENT INFO"</formula>
    </cfRule>
    <cfRule type="expression" priority="2074" dxfId="9">
      <formula>#REF!&lt;0</formula>
    </cfRule>
    <cfRule type="expression" priority="2075" dxfId="8" stopIfTrue="1">
      <formula>#REF!="TAX"</formula>
    </cfRule>
    <cfRule type="expression" priority="2076" dxfId="5">
      <formula>#REF!="BABY_NEED_TO_THANK"</formula>
    </cfRule>
    <cfRule type="expression" priority="2077" dxfId="4" stopIfTrue="1">
      <formula>#REF!="BABY_WRITTEN"</formula>
    </cfRule>
    <cfRule type="expression" priority="2078" dxfId="5">
      <formula>#REF!="NEED_TO_THANK"</formula>
    </cfRule>
    <cfRule type="expression" priority="2079" dxfId="4">
      <formula>#REF!="TQ_WRITTEN"</formula>
    </cfRule>
  </conditionalFormatting>
  <dataValidations count="7">
    <dataValidation sqref="G1:H674 G675:G707 G711:G1611 G1613:G2829 G2830:H3026 G3028:H3737 G3738:G4170 G4171:H4226 G4237:G4266 G4357:H1048576 H675:H2413 H2416:H2799 H3738:H3775 H3786:H4170 H4237:H4245 H4263:H4266 J1:K192 J193:J203 J204:K678 J679:J2799 J2830:K3728 J3729:J4245 J4249:J4259 J4263:J1048576 K193:K202 K679:K733 K735:K2799 K3729:K4226 K4237:K1048576 L1:XFD1203 L1204:M1209 L1210:XFD1809 L1810:L1812 L1813:XFD1048576 M1811:M1812 N1810:XFD1812 O1204:XFD1209" showDropDown="0" showInputMessage="1" showErrorMessage="1" allowBlank="1"/>
    <dataValidation sqref="I1:I2799 I2830:I4022 I4026:I4226 I4237:I4245 I4249:I4259 I4263:I1048576 K4023:K4025" showDropDown="0" showInputMessage="1" showErrorMessage="1" allowBlank="1" type="decimal">
      <formula1>-100000</formula1>
      <formula2>100000</formula2>
    </dataValidation>
    <dataValidation sqref="I4246:I4248 I4260:I4262" showDropDown="0" showInputMessage="1" showErrorMessage="1" allowBlank="1" type="decimal">
      <formula1>0</formula1>
      <formula2>100000</formula2>
    </dataValidation>
    <dataValidation sqref="D1:E2799 D2830:E1048576" showDropDown="0" showInputMessage="1" showErrorMessage="1" allowBlank="1" type="whole">
      <formula1>0</formula1>
      <formula2>1</formula2>
    </dataValidation>
    <dataValidation sqref="A1:A2799 A2830:A1048576" showDropDown="0" showInputMessage="1" showErrorMessage="1" allowBlank="1" type="date">
      <formula1>45658</formula1>
      <formula2>46023</formula2>
    </dataValidation>
    <dataValidation sqref="B1:B2799 B2830:B1048576" showDropDown="0" showInputMessage="1" showErrorMessage="1" allowBlank="1" type="time">
      <formula1>0</formula1>
      <formula2>0.999988425925926</formula2>
    </dataValidation>
    <dataValidation sqref="C1:C1048576" showDropDown="0" showInputMessage="1" showErrorMessage="1" allowBlank="1" type="list">
      <formula1>#REF!</formula1>
    </dataValidation>
  </dataValidations>
  <hyperlinks>
    <hyperlink xmlns:r="http://schemas.openxmlformats.org/officeDocument/2006/relationships" ref="H1337" r:id="rId1"/>
    <hyperlink xmlns:r="http://schemas.openxmlformats.org/officeDocument/2006/relationships" ref="H2738" display="2@ Signature Select Stewed Mexican Tomatoes 14.5 Ounce" r:id="rId2"/>
    <hyperlink xmlns:r="http://schemas.openxmlformats.org/officeDocument/2006/relationships" ref="H2742" display="2@ Daisy Sour Cream Squeeze Tube" r:id="rId3"/>
    <hyperlink xmlns:r="http://schemas.openxmlformats.org/officeDocument/2006/relationships" ref="H3417" r:id="rId4"/>
    <hyperlink xmlns:r="http://schemas.openxmlformats.org/officeDocument/2006/relationships" ref="K3423" display="mailto:5.9@" r:id="rId5"/>
    <hyperlink xmlns:r="http://schemas.openxmlformats.org/officeDocument/2006/relationships" ref="H3560" r:id="rId6"/>
    <hyperlink xmlns:r="http://schemas.openxmlformats.org/officeDocument/2006/relationships" ref="H3690" r:id="rId7"/>
    <hyperlink xmlns:r="http://schemas.openxmlformats.org/officeDocument/2006/relationships" ref="H3730" r:id="rId8"/>
  </hyperlinks>
  <pageMargins left="0.7" right="0.7" top="0.75" bottom="0.75" header="0.3" footer="0.3"/>
  <pageSetup orientation="portrait"/>
  <tableParts count="1">
    <tablePart xmlns:r="http://schemas.openxmlformats.org/officeDocument/2006/relationships" r:id="rId9"/>
  </tableParts>
</worksheet>
</file>

<file path=xl/worksheets/sheet2.xml><?xml version="1.0" encoding="utf-8"?>
<worksheet xmlns="http://schemas.openxmlformats.org/spreadsheetml/2006/main">
  <sheetPr>
    <outlinePr summaryBelow="1" summaryRight="1"/>
    <pageSetUpPr/>
  </sheetPr>
  <dimension ref="A1:H85"/>
  <sheetViews>
    <sheetView tabSelected="1" zoomScaleNormal="100" zoomScaleSheetLayoutView="100" workbookViewId="0">
      <selection activeCell="C32" sqref="C32"/>
    </sheetView>
  </sheetViews>
  <sheetFormatPr baseColWidth="10" defaultColWidth="8.83203125" defaultRowHeight="15"/>
  <cols>
    <col width="6.83203125" bestFit="1" customWidth="1" style="74" min="1" max="1"/>
    <col width="25.83203125" bestFit="1" customWidth="1" style="74" min="2" max="2"/>
    <col width="19.5" bestFit="1" customWidth="1" style="74" min="3" max="3"/>
    <col width="6.1640625" bestFit="1" customWidth="1" style="2" min="4" max="4"/>
    <col width="7.83203125" bestFit="1" customWidth="1" style="74" min="5" max="5"/>
    <col width="9.83203125" customWidth="1" style="97" min="7" max="7"/>
    <col width="9.1640625" customWidth="1" style="97" min="8" max="8"/>
  </cols>
  <sheetData>
    <row r="1">
      <c r="A1" t="inlineStr">
        <is>
          <t>Code</t>
        </is>
      </c>
      <c r="B1" t="inlineStr">
        <is>
          <t>Meal Name</t>
        </is>
      </c>
      <c r="C1" t="inlineStr">
        <is>
          <t>Ingredient</t>
        </is>
      </c>
      <c r="D1" s="2" t="inlineStr">
        <is>
          <t>Qt</t>
        </is>
      </c>
      <c r="E1" t="inlineStr">
        <is>
          <t>Unit</t>
        </is>
      </c>
      <c r="F1" t="inlineStr">
        <is>
          <t>Total</t>
        </is>
      </c>
      <c r="G1" s="97" t="inlineStr">
        <is>
          <t>CostTot</t>
        </is>
      </c>
      <c r="H1" s="97" t="inlineStr">
        <is>
          <t>CostQt</t>
        </is>
      </c>
    </row>
    <row r="2">
      <c r="A2" t="inlineStr">
        <is>
          <t>A</t>
        </is>
      </c>
      <c r="B2" t="inlineStr">
        <is>
          <t>Mackerel Meatball</t>
        </is>
      </c>
      <c r="C2" t="inlineStr">
        <is>
          <t>Canned Mackerel</t>
        </is>
      </c>
      <c r="D2" s="2" t="n">
        <v>2</v>
      </c>
      <c r="E2" t="inlineStr">
        <is>
          <t>can</t>
        </is>
      </c>
      <c r="F2" t="n">
        <v>12</v>
      </c>
      <c r="G2" s="97" t="n">
        <v>17.71</v>
      </c>
      <c r="H2" s="97">
        <f>IFERROR(D2/F2*G2,0)</f>
        <v/>
      </c>
    </row>
    <row r="3">
      <c r="A3" t="inlineStr">
        <is>
          <t>A</t>
        </is>
      </c>
      <c r="B3" t="inlineStr">
        <is>
          <t>Mackerel Meatball</t>
        </is>
      </c>
      <c r="C3" t="inlineStr">
        <is>
          <t>Cucumber</t>
        </is>
      </c>
      <c r="D3" s="2" t="n">
        <v>0.6666666666666666</v>
      </c>
      <c r="E3" t="inlineStr">
        <is>
          <t>cnt</t>
        </is>
      </c>
      <c r="F3" t="n">
        <v>3</v>
      </c>
      <c r="G3" s="97" t="n">
        <v>5.99</v>
      </c>
      <c r="H3" s="97">
        <f>IFERROR(D3/F3*G3,0)</f>
        <v/>
      </c>
    </row>
    <row r="4">
      <c r="A4" t="inlineStr">
        <is>
          <t>A</t>
        </is>
      </c>
      <c r="B4" t="inlineStr">
        <is>
          <t>Mackerel Meatball</t>
        </is>
      </c>
      <c r="C4" t="inlineStr">
        <is>
          <t>Dill</t>
        </is>
      </c>
      <c r="D4" s="2" t="n">
        <v>0.29</v>
      </c>
      <c r="E4" t="inlineStr">
        <is>
          <t>lb</t>
        </is>
      </c>
      <c r="F4" t="n">
        <v>1</v>
      </c>
      <c r="G4" s="97" t="n">
        <v>14.99</v>
      </c>
      <c r="H4" s="97">
        <f>IFERROR(D4/F4*G4,0)</f>
        <v/>
      </c>
    </row>
    <row r="5">
      <c r="A5" t="inlineStr">
        <is>
          <t>A</t>
        </is>
      </c>
      <c r="B5" t="inlineStr">
        <is>
          <t>Mackerel Meatball</t>
        </is>
      </c>
      <c r="C5" t="inlineStr">
        <is>
          <t>Egg</t>
        </is>
      </c>
      <c r="D5" s="2" t="n">
        <v>2</v>
      </c>
      <c r="E5" t="inlineStr">
        <is>
          <t>cnt</t>
        </is>
      </c>
      <c r="F5" t="n">
        <v>60</v>
      </c>
      <c r="G5" s="97" t="n">
        <v>9.390000000000001</v>
      </c>
      <c r="H5" s="97">
        <f>IFERROR(D5/F5*G5,0)</f>
        <v/>
      </c>
    </row>
    <row r="6">
      <c r="A6" t="inlineStr">
        <is>
          <t>A</t>
        </is>
      </c>
      <c r="B6" t="inlineStr">
        <is>
          <t>Mackerel Meatball</t>
        </is>
      </c>
      <c r="C6" t="inlineStr">
        <is>
          <t>Feta</t>
        </is>
      </c>
      <c r="D6" s="2" t="n">
        <v>0.5</v>
      </c>
      <c r="E6" t="inlineStr">
        <is>
          <t>cup</t>
        </is>
      </c>
      <c r="F6" t="n">
        <v>8</v>
      </c>
      <c r="G6" s="97" t="n">
        <v>6.99</v>
      </c>
      <c r="H6" s="97">
        <f>IFERROR(D6/F6*G6,0)</f>
        <v/>
      </c>
    </row>
    <row r="7">
      <c r="A7" t="inlineStr">
        <is>
          <t>A</t>
        </is>
      </c>
      <c r="B7" t="inlineStr">
        <is>
          <t>Mackerel Meatball</t>
        </is>
      </c>
      <c r="C7" t="inlineStr">
        <is>
          <t>Grapes</t>
        </is>
      </c>
      <c r="D7" s="2" t="n">
        <v>0.3333333333333333</v>
      </c>
      <c r="E7" t="inlineStr">
        <is>
          <t>box</t>
        </is>
      </c>
      <c r="F7" t="n">
        <v>1</v>
      </c>
      <c r="G7" s="97" t="n">
        <v>5.89</v>
      </c>
      <c r="H7" s="97">
        <f>IFERROR(D7/F7*G7,0)</f>
        <v/>
      </c>
    </row>
    <row r="8">
      <c r="A8" t="inlineStr">
        <is>
          <t>A</t>
        </is>
      </c>
      <c r="B8" t="inlineStr">
        <is>
          <t>Mackerel Meatball</t>
        </is>
      </c>
      <c r="C8" t="inlineStr">
        <is>
          <t>Kale</t>
        </is>
      </c>
      <c r="D8" s="2" t="n">
        <v>1</v>
      </c>
      <c r="E8" t="inlineStr">
        <is>
          <t>bunch</t>
        </is>
      </c>
      <c r="F8" t="n">
        <v>3</v>
      </c>
      <c r="G8" s="97" t="n">
        <v>8.369999999999999</v>
      </c>
      <c r="H8" s="97">
        <f>IFERROR(D8/F8*G8,0)</f>
        <v/>
      </c>
    </row>
    <row r="9">
      <c r="A9" t="inlineStr">
        <is>
          <t>A</t>
        </is>
      </c>
      <c r="B9" t="inlineStr">
        <is>
          <t>Mackerel Meatball</t>
        </is>
      </c>
      <c r="C9" t="inlineStr">
        <is>
          <t>Lemon</t>
        </is>
      </c>
      <c r="D9" s="2" t="n">
        <v>1</v>
      </c>
      <c r="E9" t="inlineStr">
        <is>
          <t>cnt</t>
        </is>
      </c>
      <c r="F9" t="n">
        <v>1</v>
      </c>
      <c r="G9" s="97" t="n">
        <v>0.58</v>
      </c>
      <c r="H9" s="97">
        <f>IFERROR(D9/F9*G9,0)</f>
        <v/>
      </c>
    </row>
    <row r="10">
      <c r="A10" t="inlineStr">
        <is>
          <t>A</t>
        </is>
      </c>
      <c r="B10" t="inlineStr">
        <is>
          <t>Mackerel Meatball</t>
        </is>
      </c>
      <c r="C10" t="inlineStr">
        <is>
          <t>Lemon Juice</t>
        </is>
      </c>
      <c r="D10" s="2" t="n">
        <v>0.25</v>
      </c>
      <c r="E10" t="inlineStr">
        <is>
          <t>bottle</t>
        </is>
      </c>
      <c r="F10" t="n">
        <v>1</v>
      </c>
      <c r="G10" s="97" t="n">
        <v>1.69</v>
      </c>
      <c r="H10" s="97">
        <f>IFERROR(D10/F10*G10,0)</f>
        <v/>
      </c>
    </row>
    <row r="11">
      <c r="A11" t="inlineStr">
        <is>
          <t>A</t>
        </is>
      </c>
      <c r="B11" t="inlineStr">
        <is>
          <t>Mackerel Meatball</t>
        </is>
      </c>
      <c r="C11" t="inlineStr">
        <is>
          <t>Lime</t>
        </is>
      </c>
      <c r="D11" s="2" t="n">
        <v>1</v>
      </c>
      <c r="E11" t="inlineStr">
        <is>
          <t>cnt</t>
        </is>
      </c>
      <c r="F11" t="n">
        <v>1</v>
      </c>
      <c r="G11" s="97" t="n">
        <v>0.2</v>
      </c>
      <c r="H11" s="97">
        <f>IFERROR(D11/F11*G11,0)</f>
        <v/>
      </c>
    </row>
    <row r="12">
      <c r="A12" t="inlineStr">
        <is>
          <t>A</t>
        </is>
      </c>
      <c r="B12" t="inlineStr">
        <is>
          <t>Mackerel Meatball</t>
        </is>
      </c>
      <c r="C12" t="inlineStr">
        <is>
          <t>Olive Oil</t>
        </is>
      </c>
      <c r="D12" s="2" t="n">
        <v>4</v>
      </c>
      <c r="E12" t="inlineStr">
        <is>
          <t>tbsn</t>
        </is>
      </c>
      <c r="F12" t="n">
        <v>67.7</v>
      </c>
      <c r="G12" s="97" t="n">
        <v>27.99</v>
      </c>
      <c r="H12" s="97">
        <f>IFERROR(D12/F12*G12,0)</f>
        <v/>
      </c>
    </row>
    <row r="13">
      <c r="A13" t="inlineStr">
        <is>
          <t>A</t>
        </is>
      </c>
      <c r="B13" t="inlineStr">
        <is>
          <t>Mackerel Meatball</t>
        </is>
      </c>
      <c r="C13" t="inlineStr">
        <is>
          <t>Parsley</t>
        </is>
      </c>
      <c r="D13" s="2" t="n">
        <v>0.5</v>
      </c>
      <c r="E13" t="inlineStr">
        <is>
          <t>bunch</t>
        </is>
      </c>
      <c r="F13" t="n">
        <v>1</v>
      </c>
      <c r="G13" s="97" t="n">
        <v>0.99</v>
      </c>
      <c r="H13" s="97">
        <f>IFERROR(D13/F13*G13,0)</f>
        <v/>
      </c>
    </row>
    <row r="14">
      <c r="A14" t="inlineStr">
        <is>
          <t>A</t>
        </is>
      </c>
      <c r="B14" t="inlineStr">
        <is>
          <t>Mackerel Meatball</t>
        </is>
      </c>
      <c r="C14" t="inlineStr">
        <is>
          <t>Red Pepper Flakes</t>
        </is>
      </c>
      <c r="D14" s="2" t="n">
        <v>1</v>
      </c>
      <c r="E14" t="inlineStr">
        <is>
          <t>tsp</t>
        </is>
      </c>
      <c r="F14" t="n">
        <v>40</v>
      </c>
      <c r="G14" s="97" t="n">
        <v>6</v>
      </c>
      <c r="H14" s="97">
        <f>IFERROR(D14/F14*G14,0)</f>
        <v/>
      </c>
    </row>
    <row r="15">
      <c r="A15" t="inlineStr">
        <is>
          <t>A</t>
        </is>
      </c>
      <c r="B15" t="inlineStr">
        <is>
          <t>Mackerel Meatball</t>
        </is>
      </c>
      <c r="C15" t="inlineStr">
        <is>
          <t>Salt and Pepper</t>
        </is>
      </c>
      <c r="D15" s="2" t="n">
        <v>0.3333333333333333</v>
      </c>
      <c r="E15" t="inlineStr">
        <is>
          <t>oz</t>
        </is>
      </c>
      <c r="F15" t="n">
        <v>26</v>
      </c>
      <c r="G15" s="97" t="n">
        <v>6.69</v>
      </c>
      <c r="H15" s="97">
        <f>IFERROR(D15/F15*G15,0)</f>
        <v/>
      </c>
    </row>
    <row r="16">
      <c r="A16" t="inlineStr">
        <is>
          <t>A</t>
        </is>
      </c>
      <c r="B16" t="inlineStr">
        <is>
          <t>Mackerel Meatball</t>
        </is>
      </c>
      <c r="C16" t="inlineStr">
        <is>
          <t>Sourdough Bread</t>
        </is>
      </c>
      <c r="D16" s="2" t="n">
        <v>0.3333333333333333</v>
      </c>
      <c r="E16" t="inlineStr">
        <is>
          <t>loaf</t>
        </is>
      </c>
      <c r="F16" t="n">
        <v>1</v>
      </c>
      <c r="G16" s="97" t="n">
        <v>4.5</v>
      </c>
      <c r="H16" s="97">
        <f>IFERROR(D16/F16*G16,0)</f>
        <v/>
      </c>
    </row>
    <row r="17">
      <c r="A17" t="inlineStr">
        <is>
          <t>A</t>
        </is>
      </c>
      <c r="B17" t="inlineStr">
        <is>
          <t>Mackerel Meatball</t>
        </is>
      </c>
      <c r="C17" t="inlineStr">
        <is>
          <t>Tomato</t>
        </is>
      </c>
      <c r="D17" s="2" t="n">
        <v>379</v>
      </c>
      <c r="E17" t="inlineStr">
        <is>
          <t>g</t>
        </is>
      </c>
      <c r="F17" t="n">
        <v>908</v>
      </c>
      <c r="G17" s="97" t="n">
        <v>5.99</v>
      </c>
      <c r="H17" s="97">
        <f>IFERROR(D17/F17*G17,0)</f>
        <v/>
      </c>
    </row>
    <row r="18">
      <c r="A18" t="inlineStr">
        <is>
          <t>A</t>
        </is>
      </c>
      <c r="B18" t="inlineStr">
        <is>
          <t>Mackerel Meatball</t>
        </is>
      </c>
      <c r="C18" t="inlineStr">
        <is>
          <t>Tomato Paste</t>
        </is>
      </c>
      <c r="D18" s="2" t="n">
        <v>8</v>
      </c>
      <c r="E18" t="inlineStr">
        <is>
          <t>oz</t>
        </is>
      </c>
      <c r="F18" t="n">
        <v>1</v>
      </c>
      <c r="G18" s="97" t="n">
        <v>1.29</v>
      </c>
      <c r="H18" s="97">
        <f>IFERROR(D18/F18*G18,0)</f>
        <v/>
      </c>
    </row>
    <row r="19">
      <c r="A19" t="inlineStr">
        <is>
          <t>A</t>
        </is>
      </c>
      <c r="B19" t="inlineStr">
        <is>
          <t>Mackerel Meatball</t>
        </is>
      </c>
      <c r="C19" t="inlineStr">
        <is>
          <t>Avocado</t>
        </is>
      </c>
      <c r="D19" t="n">
        <v>2</v>
      </c>
      <c r="E19" t="inlineStr">
        <is>
          <t>cnt</t>
        </is>
      </c>
      <c r="F19" t="n">
        <v>2</v>
      </c>
      <c r="G19" t="n">
        <v>0</v>
      </c>
      <c r="H19" s="97">
        <f>IFERROR(D19/F19*G19,0)</f>
        <v/>
      </c>
    </row>
    <row r="20">
      <c r="A20" s="50" t="inlineStr">
        <is>
          <t>B</t>
        </is>
      </c>
      <c r="B20" t="inlineStr">
        <is>
          <t>Kale &amp; Chicken Pasta</t>
        </is>
      </c>
      <c r="C20" t="inlineStr">
        <is>
          <t>Brami protein pasta</t>
        </is>
      </c>
      <c r="D20" s="2" t="n">
        <v>1</v>
      </c>
      <c r="E20" t="inlineStr">
        <is>
          <t>box</t>
        </is>
      </c>
      <c r="F20" t="n">
        <v>4</v>
      </c>
      <c r="G20" s="97" t="n">
        <v>10.99</v>
      </c>
      <c r="H20" s="97">
        <f>IFERROR(D20/F20*G20,0)</f>
        <v/>
      </c>
    </row>
    <row r="21">
      <c r="A21" s="50" t="inlineStr">
        <is>
          <t>B</t>
        </is>
      </c>
      <c r="B21" t="inlineStr">
        <is>
          <t>Kale &amp; Chicken Pasta</t>
        </is>
      </c>
      <c r="C21" t="inlineStr">
        <is>
          <t>Chicken</t>
        </is>
      </c>
      <c r="D21" s="2" t="n">
        <v>2</v>
      </c>
      <c r="E21" t="inlineStr">
        <is>
          <t>packages</t>
        </is>
      </c>
      <c r="F21" t="n">
        <v>6</v>
      </c>
      <c r="G21" s="97" t="n">
        <v>24.64</v>
      </c>
      <c r="H21" s="97">
        <f>IFERROR(D21/F21*G21,0)</f>
        <v/>
      </c>
    </row>
    <row r="22">
      <c r="A22" s="50" t="inlineStr">
        <is>
          <t>B</t>
        </is>
      </c>
      <c r="B22" t="inlineStr">
        <is>
          <t>Kale &amp; Chicken Pasta</t>
        </is>
      </c>
      <c r="C22" t="inlineStr">
        <is>
          <t>Eggplant</t>
        </is>
      </c>
      <c r="D22" s="2" t="n">
        <v>0.6</v>
      </c>
      <c r="E22" t="inlineStr">
        <is>
          <t>lb</t>
        </is>
      </c>
      <c r="F22" t="n">
        <v>1</v>
      </c>
      <c r="G22" s="97" t="n">
        <v>1.48</v>
      </c>
      <c r="H22" s="97">
        <f>IFERROR(D22/F22*G22,0)</f>
        <v/>
      </c>
    </row>
    <row r="23">
      <c r="A23" s="50" t="inlineStr">
        <is>
          <t>B</t>
        </is>
      </c>
      <c r="B23" t="inlineStr">
        <is>
          <t>Kale &amp; Chicken Pasta</t>
        </is>
      </c>
      <c r="C23" t="inlineStr">
        <is>
          <t>Honey</t>
        </is>
      </c>
      <c r="D23" s="2" t="n">
        <v>0.5</v>
      </c>
      <c r="E23" t="inlineStr">
        <is>
          <t>cup</t>
        </is>
      </c>
      <c r="F23" t="n">
        <v>12</v>
      </c>
      <c r="G23" s="97" t="n">
        <v>9.99</v>
      </c>
      <c r="H23" s="97">
        <f>IFERROR(D23/F23*G23,0)</f>
        <v/>
      </c>
    </row>
    <row r="24">
      <c r="A24" s="50" t="inlineStr">
        <is>
          <t>B</t>
        </is>
      </c>
      <c r="B24" t="inlineStr">
        <is>
          <t>Kale &amp; Chicken Pasta</t>
        </is>
      </c>
      <c r="C24" t="inlineStr">
        <is>
          <t>Lemon Juice</t>
        </is>
      </c>
      <c r="D24" s="2" t="n">
        <v>1</v>
      </c>
      <c r="E24" t="inlineStr">
        <is>
          <t>cup</t>
        </is>
      </c>
      <c r="F24" t="n">
        <v>4</v>
      </c>
      <c r="G24" s="97" t="n">
        <v>2.99</v>
      </c>
      <c r="H24" s="97">
        <f>IFERROR(D24/F24*G24,0)</f>
        <v/>
      </c>
    </row>
    <row r="25">
      <c r="A25" s="50" t="inlineStr">
        <is>
          <t>B</t>
        </is>
      </c>
      <c r="B25" t="inlineStr">
        <is>
          <t>Kale &amp; Chicken Pasta</t>
        </is>
      </c>
      <c r="C25" t="inlineStr">
        <is>
          <t>Garlic</t>
        </is>
      </c>
      <c r="D25" s="2" t="n">
        <v>2</v>
      </c>
      <c r="E25" t="inlineStr">
        <is>
          <t>tbsn</t>
        </is>
      </c>
      <c r="F25" t="n">
        <v>60</v>
      </c>
      <c r="G25" s="97" t="n">
        <v>6.99</v>
      </c>
      <c r="H25" s="97">
        <f>IFERROR(D25/F25*G25,0)</f>
        <v/>
      </c>
    </row>
    <row r="26">
      <c r="A26" s="50" t="inlineStr">
        <is>
          <t>B</t>
        </is>
      </c>
      <c r="B26" t="inlineStr">
        <is>
          <t>Kale &amp; Chicken Pasta</t>
        </is>
      </c>
      <c r="C26" t="inlineStr">
        <is>
          <t>Grapefruit</t>
        </is>
      </c>
      <c r="D26" s="2" t="n">
        <v>2</v>
      </c>
      <c r="E26" t="inlineStr">
        <is>
          <t>cnt</t>
        </is>
      </c>
      <c r="F26" t="n">
        <v>6</v>
      </c>
      <c r="G26" s="97" t="n">
        <v>6.69</v>
      </c>
      <c r="H26" s="97">
        <f>IFERROR(D26/F26*G26,0)</f>
        <v/>
      </c>
    </row>
    <row r="27">
      <c r="A27" s="50" t="inlineStr">
        <is>
          <t>B</t>
        </is>
      </c>
      <c r="B27" t="inlineStr">
        <is>
          <t>Kale &amp; Chicken Pasta</t>
        </is>
      </c>
      <c r="C27" t="inlineStr">
        <is>
          <t>Kale</t>
        </is>
      </c>
      <c r="D27" s="2" t="n">
        <v>1</v>
      </c>
      <c r="E27" t="inlineStr">
        <is>
          <t>bunch</t>
        </is>
      </c>
      <c r="F27" t="n">
        <v>3</v>
      </c>
      <c r="G27" s="97" t="n">
        <v>8.369999999999999</v>
      </c>
      <c r="H27" s="97">
        <f>IFERROR(D27/F27*G27,0)</f>
        <v/>
      </c>
    </row>
    <row r="28">
      <c r="A28" s="50" t="inlineStr">
        <is>
          <t>B</t>
        </is>
      </c>
      <c r="B28" t="inlineStr">
        <is>
          <t>Kale &amp; Chicken Pasta</t>
        </is>
      </c>
      <c r="C28" t="inlineStr">
        <is>
          <t>Olive Oil</t>
        </is>
      </c>
      <c r="D28" s="2" t="n">
        <v>4</v>
      </c>
      <c r="E28" t="inlineStr">
        <is>
          <t>tbsn</t>
        </is>
      </c>
      <c r="F28" t="n">
        <v>67.7</v>
      </c>
      <c r="G28" s="97" t="n">
        <v>27.99</v>
      </c>
      <c r="H28" s="97">
        <f>IFERROR(D28/F28*G28,0)</f>
        <v/>
      </c>
    </row>
    <row r="29">
      <c r="A29" s="50" t="inlineStr">
        <is>
          <t>B</t>
        </is>
      </c>
      <c r="B29" t="inlineStr">
        <is>
          <t>Kale &amp; Chicken Pasta</t>
        </is>
      </c>
      <c r="C29" t="inlineStr">
        <is>
          <t>Parmesan</t>
        </is>
      </c>
      <c r="D29" s="2" t="n">
        <v>0.125</v>
      </c>
      <c r="E29" t="inlineStr">
        <is>
          <t>block</t>
        </is>
      </c>
      <c r="F29" t="n">
        <v>1</v>
      </c>
      <c r="G29" s="97" t="n">
        <v>19</v>
      </c>
      <c r="H29" s="97">
        <f>IFERROR(D29/F29*G29,0)</f>
        <v/>
      </c>
    </row>
    <row r="30">
      <c r="A30" s="50" t="inlineStr">
        <is>
          <t>B</t>
        </is>
      </c>
      <c r="B30" t="inlineStr">
        <is>
          <t>Kale &amp; Chicken Pasta</t>
        </is>
      </c>
      <c r="C30" t="inlineStr">
        <is>
          <t>Salt and Pepper</t>
        </is>
      </c>
      <c r="D30" s="2" t="n">
        <v>0.1666666666666667</v>
      </c>
      <c r="E30" t="inlineStr">
        <is>
          <t>oz</t>
        </is>
      </c>
      <c r="F30" t="n">
        <v>26</v>
      </c>
      <c r="G30" s="97" t="n">
        <v>6.69</v>
      </c>
      <c r="H30" s="97">
        <f>IFERROR(D30/F30*G30,0)</f>
        <v/>
      </c>
    </row>
    <row r="31">
      <c r="A31" s="50" t="inlineStr">
        <is>
          <t>B</t>
        </is>
      </c>
      <c r="B31" t="inlineStr">
        <is>
          <t>Kale &amp; Chicken Pasta</t>
        </is>
      </c>
      <c r="C31" t="inlineStr">
        <is>
          <t>Thyme and Oregano</t>
        </is>
      </c>
      <c r="D31" s="2" t="n">
        <v>8</v>
      </c>
      <c r="E31" t="inlineStr">
        <is>
          <t>tsp</t>
        </is>
      </c>
      <c r="F31" t="n">
        <v>30</v>
      </c>
      <c r="G31" s="97" t="n">
        <v>3.99</v>
      </c>
      <c r="H31" s="97">
        <f>IFERROR(D31/F31*G31,0)</f>
        <v/>
      </c>
    </row>
    <row r="32">
      <c r="A32" s="50" t="inlineStr">
        <is>
          <t>C</t>
        </is>
      </c>
      <c r="B32" t="inlineStr">
        <is>
          <t>Warm Chicken Grain Bowl</t>
        </is>
      </c>
      <c r="C32" t="inlineStr">
        <is>
          <t>Chicken</t>
        </is>
      </c>
      <c r="D32" s="2" t="n">
        <v>2</v>
      </c>
      <c r="E32" t="inlineStr">
        <is>
          <t>packages</t>
        </is>
      </c>
      <c r="F32" t="n">
        <v>6</v>
      </c>
      <c r="G32" s="97" t="n">
        <v>24.64</v>
      </c>
      <c r="H32" s="97">
        <f>IFERROR(D32/F32*G32,0)</f>
        <v/>
      </c>
    </row>
    <row r="33">
      <c r="A33" s="50" t="inlineStr">
        <is>
          <t>C</t>
        </is>
      </c>
      <c r="B33" t="inlineStr">
        <is>
          <t>Warm Chicken Grain Bowl</t>
        </is>
      </c>
      <c r="C33" t="inlineStr">
        <is>
          <t>Grapes</t>
        </is>
      </c>
      <c r="D33" s="2" t="n">
        <v>0.3333333333333333</v>
      </c>
      <c r="E33" t="inlineStr">
        <is>
          <t>box</t>
        </is>
      </c>
      <c r="F33" t="n">
        <v>1</v>
      </c>
      <c r="G33" s="97" t="n">
        <v>5.89</v>
      </c>
      <c r="H33" s="97">
        <f>IFERROR(D33/F33*G33,0)</f>
        <v/>
      </c>
    </row>
    <row r="34">
      <c r="A34" s="50" t="inlineStr">
        <is>
          <t>C</t>
        </is>
      </c>
      <c r="B34" t="inlineStr">
        <is>
          <t>Warm Chicken Grain Bowl</t>
        </is>
      </c>
      <c r="C34" t="inlineStr">
        <is>
          <t>Kale</t>
        </is>
      </c>
      <c r="D34" s="2" t="n">
        <v>2</v>
      </c>
      <c r="E34" t="inlineStr">
        <is>
          <t>bunch</t>
        </is>
      </c>
      <c r="F34" t="n">
        <v>3</v>
      </c>
      <c r="G34" s="97" t="n">
        <v>8.369999999999999</v>
      </c>
      <c r="H34" s="97">
        <f>IFERROR(D34/F34*G34,0)</f>
        <v/>
      </c>
    </row>
    <row r="35">
      <c r="A35" s="50" t="inlineStr">
        <is>
          <t>C</t>
        </is>
      </c>
      <c r="B35" t="inlineStr">
        <is>
          <t>Warm Chicken Grain Bowl</t>
        </is>
      </c>
      <c r="C35" t="inlineStr">
        <is>
          <t>pearl barley</t>
        </is>
      </c>
      <c r="D35" s="2" t="n">
        <v>1</v>
      </c>
      <c r="E35" t="inlineStr">
        <is>
          <t>bag</t>
        </is>
      </c>
      <c r="F35" t="n">
        <v>1</v>
      </c>
      <c r="G35" s="97" t="n">
        <v>1.58</v>
      </c>
      <c r="H35" s="97">
        <f>IFERROR(D35/F35*G35,0)</f>
        <v/>
      </c>
    </row>
    <row r="36">
      <c r="A36" s="50" t="inlineStr">
        <is>
          <t>C</t>
        </is>
      </c>
      <c r="B36" t="inlineStr">
        <is>
          <t>Warm Chicken Grain Bowl</t>
        </is>
      </c>
      <c r="C36" t="inlineStr">
        <is>
          <t>Pistachio</t>
        </is>
      </c>
      <c r="D36" s="2" t="n">
        <v>3.25</v>
      </c>
      <c r="E36" t="inlineStr">
        <is>
          <t>oz</t>
        </is>
      </c>
      <c r="F36" t="n">
        <v>16</v>
      </c>
      <c r="G36" s="97" t="n">
        <v>15.99</v>
      </c>
      <c r="H36" s="97">
        <f>IFERROR(D36/F36*G36,0)</f>
        <v/>
      </c>
    </row>
    <row r="37">
      <c r="A37" s="50" t="inlineStr">
        <is>
          <t>C</t>
        </is>
      </c>
      <c r="B37" t="inlineStr">
        <is>
          <t>Warm Chicken Grain Bowl</t>
        </is>
      </c>
      <c r="C37" t="inlineStr">
        <is>
          <t>Pomegranate</t>
        </is>
      </c>
      <c r="D37" s="2" t="n">
        <v>1</v>
      </c>
      <c r="E37" t="inlineStr">
        <is>
          <t>packages</t>
        </is>
      </c>
      <c r="F37" t="n">
        <v>4</v>
      </c>
      <c r="G37" s="97" t="n">
        <v>8.99</v>
      </c>
      <c r="H37" s="97">
        <f>IFERROR(D37/F37*G37,0)</f>
        <v/>
      </c>
    </row>
    <row r="38">
      <c r="A38" s="50" t="inlineStr">
        <is>
          <t>C</t>
        </is>
      </c>
      <c r="B38" t="inlineStr">
        <is>
          <t>Warm Chicken Grain Bowl</t>
        </is>
      </c>
      <c r="C38" t="inlineStr">
        <is>
          <t>Salt and Pepper</t>
        </is>
      </c>
      <c r="D38" s="2" t="n">
        <v>0.6666666666666666</v>
      </c>
      <c r="E38" t="inlineStr">
        <is>
          <t>oz</t>
        </is>
      </c>
      <c r="F38" t="n">
        <v>26</v>
      </c>
      <c r="G38" s="97" t="n">
        <v>6.69</v>
      </c>
      <c r="H38" s="97">
        <f>IFERROR(D38/F38*G38,0)</f>
        <v/>
      </c>
    </row>
    <row r="39">
      <c r="A39" s="50" t="inlineStr">
        <is>
          <t>C</t>
        </is>
      </c>
      <c r="B39" t="inlineStr">
        <is>
          <t>Warm Chicken Grain Bowl</t>
        </is>
      </c>
      <c r="C39" t="inlineStr">
        <is>
          <t>Sourdough Bread</t>
        </is>
      </c>
      <c r="D39" s="2" t="n">
        <v>0.5</v>
      </c>
      <c r="E39" t="inlineStr">
        <is>
          <t>loaf</t>
        </is>
      </c>
      <c r="F39" t="n">
        <v>1</v>
      </c>
      <c r="G39" s="97" t="n">
        <v>4.5</v>
      </c>
      <c r="H39" s="97">
        <f>IFERROR(D39/F39*G39,0)</f>
        <v/>
      </c>
    </row>
    <row r="40">
      <c r="A40" s="50" t="inlineStr">
        <is>
          <t>C</t>
        </is>
      </c>
      <c r="B40" t="inlineStr">
        <is>
          <t>Warm Chicken Grain Bowl</t>
        </is>
      </c>
      <c r="C40" t="inlineStr">
        <is>
          <t>Sweet Potato</t>
        </is>
      </c>
      <c r="D40" s="2" t="n">
        <v>3</v>
      </c>
      <c r="E40" t="inlineStr">
        <is>
          <t>cnt</t>
        </is>
      </c>
      <c r="F40" t="n">
        <v>6</v>
      </c>
      <c r="G40" s="97" t="n">
        <v>3.99</v>
      </c>
      <c r="H40" s="97">
        <f>IFERROR(D40/F40*G40,0)</f>
        <v/>
      </c>
    </row>
    <row r="41">
      <c r="A41" t="inlineStr">
        <is>
          <t>C</t>
        </is>
      </c>
      <c r="B41" t="inlineStr">
        <is>
          <t>Warm Chicken Grain Bowl</t>
        </is>
      </c>
      <c r="C41" t="inlineStr">
        <is>
          <t>Parsley</t>
        </is>
      </c>
      <c r="D41" t="n">
        <v>0.5</v>
      </c>
      <c r="E41" t="inlineStr">
        <is>
          <t>bunch</t>
        </is>
      </c>
      <c r="F41" t="n">
        <v>1</v>
      </c>
      <c r="G41" t="n">
        <v>0.99</v>
      </c>
      <c r="H41">
        <f>IFERROR(D41/F41*G41,0)</f>
        <v/>
      </c>
    </row>
    <row r="42">
      <c r="A42" t="inlineStr">
        <is>
          <t>C</t>
        </is>
      </c>
      <c r="B42" t="inlineStr">
        <is>
          <t>Warm Chicken Grain Bowl</t>
        </is>
      </c>
      <c r="C42" t="inlineStr">
        <is>
          <t>Parmesan</t>
        </is>
      </c>
      <c r="D42" t="n">
        <v>3</v>
      </c>
      <c r="E42" t="inlineStr">
        <is>
          <t>oz</t>
        </is>
      </c>
      <c r="F42" t="n">
        <v>16</v>
      </c>
      <c r="G42" t="n">
        <v>19</v>
      </c>
      <c r="H42">
        <f>IFERROR(D42/F42*G42,0)</f>
        <v/>
      </c>
    </row>
    <row r="43">
      <c r="A43" t="inlineStr">
        <is>
          <t>C</t>
        </is>
      </c>
      <c r="B43" t="inlineStr">
        <is>
          <t>Warm Chicken Grain Bowl</t>
        </is>
      </c>
      <c r="C43" t="inlineStr">
        <is>
          <t>Lemon Juice</t>
        </is>
      </c>
      <c r="D43" t="n">
        <v>1.5</v>
      </c>
      <c r="E43" t="inlineStr">
        <is>
          <t>cup</t>
        </is>
      </c>
      <c r="F43" t="n">
        <v>4</v>
      </c>
      <c r="G43" t="n">
        <v>2.99</v>
      </c>
      <c r="H43">
        <f>IFERROR(D43/F43*G43,0)</f>
        <v/>
      </c>
    </row>
    <row r="44">
      <c r="A44" t="inlineStr">
        <is>
          <t>C</t>
        </is>
      </c>
      <c r="B44" t="inlineStr">
        <is>
          <t>Warm Chicken Grain Bowl</t>
        </is>
      </c>
      <c r="C44" t="inlineStr">
        <is>
          <t>Maple Syrup</t>
        </is>
      </c>
      <c r="D44" t="n">
        <v>4</v>
      </c>
      <c r="E44" t="inlineStr">
        <is>
          <t>tbsp</t>
        </is>
      </c>
      <c r="F44" t="n">
        <v>32</v>
      </c>
      <c r="G44" t="n">
        <v>12.99</v>
      </c>
      <c r="H44">
        <f>IFERROR(D44/F44*G44,0)</f>
        <v/>
      </c>
    </row>
    <row r="45">
      <c r="A45" t="inlineStr">
        <is>
          <t>C</t>
        </is>
      </c>
      <c r="B45" t="inlineStr">
        <is>
          <t>Warm Chicken Grain Bowl</t>
        </is>
      </c>
      <c r="C45" t="inlineStr">
        <is>
          <t>Olive Oil</t>
        </is>
      </c>
      <c r="D45" t="n">
        <v>2</v>
      </c>
      <c r="E45" t="inlineStr">
        <is>
          <t>tbsp</t>
        </is>
      </c>
      <c r="F45" t="n">
        <v>67.7</v>
      </c>
      <c r="G45" t="n">
        <v>27.99</v>
      </c>
      <c r="H45">
        <f>IFERROR(D45/F45*G45,0)</f>
        <v/>
      </c>
    </row>
    <row r="46">
      <c r="A46" t="inlineStr">
        <is>
          <t>C</t>
        </is>
      </c>
      <c r="B46" t="inlineStr">
        <is>
          <t>Warm Chicken Grain Bowl</t>
        </is>
      </c>
      <c r="C46" t="inlineStr">
        <is>
          <t>Honey</t>
        </is>
      </c>
      <c r="D46" t="n">
        <v>2</v>
      </c>
      <c r="E46" t="inlineStr">
        <is>
          <t>tbsp</t>
        </is>
      </c>
      <c r="F46" t="n">
        <v>24</v>
      </c>
      <c r="G46" t="n">
        <v>9.99</v>
      </c>
      <c r="H46">
        <f>IFERROR(D46/F46*G46,0)</f>
        <v/>
      </c>
    </row>
    <row r="47">
      <c r="A47" t="inlineStr">
        <is>
          <t>C</t>
        </is>
      </c>
      <c r="B47" t="inlineStr">
        <is>
          <t>Warm Chicken Grain Bowl</t>
        </is>
      </c>
      <c r="C47" t="inlineStr">
        <is>
          <t>Rosemary</t>
        </is>
      </c>
      <c r="D47" t="n">
        <v>1</v>
      </c>
      <c r="E47" t="inlineStr">
        <is>
          <t>tsp</t>
        </is>
      </c>
      <c r="F47" t="n">
        <v>30</v>
      </c>
      <c r="G47" t="n">
        <v>3.99</v>
      </c>
      <c r="H47">
        <f>IFERROR(D47/F47*G47,0)</f>
        <v/>
      </c>
    </row>
    <row r="48">
      <c r="A48" t="inlineStr">
        <is>
          <t>C</t>
        </is>
      </c>
      <c r="B48" t="inlineStr">
        <is>
          <t>Warm Chicken Grain Bowl</t>
        </is>
      </c>
      <c r="C48" t="inlineStr">
        <is>
          <t>Thyme</t>
        </is>
      </c>
      <c r="D48" t="n">
        <v>1</v>
      </c>
      <c r="E48" t="inlineStr">
        <is>
          <t>tsp</t>
        </is>
      </c>
      <c r="F48" t="n">
        <v>30</v>
      </c>
      <c r="G48" t="n">
        <v>3.99</v>
      </c>
      <c r="H48">
        <f>IFERROR(D48/F48*G48,0)</f>
        <v/>
      </c>
    </row>
    <row r="49">
      <c r="A49" t="inlineStr">
        <is>
          <t>C</t>
        </is>
      </c>
      <c r="B49" t="inlineStr">
        <is>
          <t>Warm Chicken Grain Bowl</t>
        </is>
      </c>
      <c r="C49" t="inlineStr">
        <is>
          <t>Garlic Powder</t>
        </is>
      </c>
      <c r="D49" t="n">
        <v>2</v>
      </c>
      <c r="E49" t="inlineStr">
        <is>
          <t>tsp</t>
        </is>
      </c>
      <c r="F49" t="n">
        <v>60</v>
      </c>
      <c r="G49" t="n">
        <v>5.99</v>
      </c>
      <c r="H49">
        <f>IFERROR(D49/F49*G49,0)</f>
        <v/>
      </c>
    </row>
    <row r="50">
      <c r="A50" s="50" t="inlineStr">
        <is>
          <t>D</t>
        </is>
      </c>
      <c r="B50" t="inlineStr">
        <is>
          <t>Turkey Barley Soup</t>
        </is>
      </c>
      <c r="C50" t="inlineStr">
        <is>
          <t>Berries</t>
        </is>
      </c>
      <c r="D50" s="2" t="n">
        <v>9</v>
      </c>
      <c r="E50" t="inlineStr">
        <is>
          <t>oz</t>
        </is>
      </c>
      <c r="F50" t="n">
        <v>9</v>
      </c>
      <c r="G50" s="97" t="n">
        <v>2.98</v>
      </c>
      <c r="H50" s="97">
        <f>IFERROR(D41/F41*G41,0)</f>
        <v/>
      </c>
    </row>
    <row r="51">
      <c r="A51" s="50" t="inlineStr">
        <is>
          <t>D</t>
        </is>
      </c>
      <c r="B51" t="inlineStr">
        <is>
          <t>Turkey Barley Soup</t>
        </is>
      </c>
      <c r="C51" t="inlineStr">
        <is>
          <t>Carrots</t>
        </is>
      </c>
      <c r="D51" s="2" t="n">
        <v>1</v>
      </c>
      <c r="E51" t="inlineStr">
        <is>
          <t>lb</t>
        </is>
      </c>
      <c r="F51" t="n">
        <v>1</v>
      </c>
      <c r="G51" s="97" t="n">
        <v>0.98</v>
      </c>
      <c r="H51" s="97">
        <f>IFERROR(D42/F42*G42,0)</f>
        <v/>
      </c>
    </row>
    <row r="52">
      <c r="A52" s="50" t="inlineStr">
        <is>
          <t>D</t>
        </is>
      </c>
      <c r="B52" t="inlineStr">
        <is>
          <t>Turkey Barley Soup</t>
        </is>
      </c>
      <c r="C52" t="inlineStr">
        <is>
          <t>Carrots</t>
        </is>
      </c>
      <c r="D52" s="2" t="n">
        <v>1</v>
      </c>
      <c r="E52" t="inlineStr">
        <is>
          <t>lb</t>
        </is>
      </c>
      <c r="F52" t="n">
        <v>1</v>
      </c>
      <c r="G52" s="97" t="n">
        <v>0.98</v>
      </c>
      <c r="H52" s="97">
        <f>IFERROR(D43/F43*G43,0)</f>
        <v/>
      </c>
    </row>
    <row r="53">
      <c r="A53" s="50" t="inlineStr">
        <is>
          <t>D</t>
        </is>
      </c>
      <c r="B53" t="inlineStr">
        <is>
          <t>Turkey Barley Soup</t>
        </is>
      </c>
      <c r="C53" t="inlineStr">
        <is>
          <t>Celery</t>
        </is>
      </c>
      <c r="D53" s="2" t="n">
        <v>1</v>
      </c>
      <c r="E53" t="inlineStr">
        <is>
          <t>rib</t>
        </is>
      </c>
      <c r="F53" t="n">
        <v>4</v>
      </c>
      <c r="G53" s="97" t="n">
        <v>2.49</v>
      </c>
      <c r="H53" s="97">
        <f>IFERROR(D44/F44*G44,0)</f>
        <v/>
      </c>
    </row>
    <row r="54">
      <c r="A54" s="50" t="inlineStr">
        <is>
          <t>D</t>
        </is>
      </c>
      <c r="B54" t="inlineStr">
        <is>
          <t>Turkey Barley Soup</t>
        </is>
      </c>
      <c r="C54" t="inlineStr">
        <is>
          <t>ground turkey</t>
        </is>
      </c>
      <c r="D54" s="2" t="n">
        <v>1.72</v>
      </c>
      <c r="E54" t="inlineStr">
        <is>
          <t>lb</t>
        </is>
      </c>
      <c r="F54" t="n">
        <v>4</v>
      </c>
      <c r="G54" s="97" t="n">
        <v>24.99</v>
      </c>
      <c r="H54" s="97">
        <f>IFERROR(D45/F45*G45,0)</f>
        <v/>
      </c>
    </row>
    <row r="55">
      <c r="A55" s="50" t="inlineStr">
        <is>
          <t>D</t>
        </is>
      </c>
      <c r="B55" t="inlineStr">
        <is>
          <t>Turkey Barley Soup</t>
        </is>
      </c>
      <c r="C55" t="inlineStr">
        <is>
          <t>Parsley</t>
        </is>
      </c>
      <c r="D55" s="2" t="n">
        <v>0.5</v>
      </c>
      <c r="E55" t="inlineStr">
        <is>
          <t>bunch</t>
        </is>
      </c>
      <c r="F55" t="n">
        <v>1</v>
      </c>
      <c r="G55" s="97" t="n">
        <v>0.99</v>
      </c>
      <c r="H55" s="97">
        <f>IFERROR(D46/F46*G46,0)</f>
        <v/>
      </c>
    </row>
    <row r="56">
      <c r="A56" s="50" t="inlineStr">
        <is>
          <t>D</t>
        </is>
      </c>
      <c r="B56" t="inlineStr">
        <is>
          <t>Turkey Barley Soup</t>
        </is>
      </c>
      <c r="C56" t="inlineStr">
        <is>
          <t>pearl barley</t>
        </is>
      </c>
      <c r="D56" s="2" t="n">
        <v>1</v>
      </c>
      <c r="E56" t="inlineStr">
        <is>
          <t>bag</t>
        </is>
      </c>
      <c r="F56" t="n">
        <v>1</v>
      </c>
      <c r="G56" s="97" t="n">
        <v>1.58</v>
      </c>
      <c r="H56" s="97">
        <f>IFERROR(D47/F47*G47,0)</f>
        <v/>
      </c>
    </row>
    <row r="57">
      <c r="A57" s="50" t="inlineStr">
        <is>
          <t>D</t>
        </is>
      </c>
      <c r="B57" t="inlineStr">
        <is>
          <t>Turkey Barley Soup</t>
        </is>
      </c>
      <c r="C57" t="inlineStr">
        <is>
          <t>Purple Potato</t>
        </is>
      </c>
      <c r="D57" s="2" t="n">
        <v>2</v>
      </c>
      <c r="E57" t="inlineStr">
        <is>
          <t>lb</t>
        </is>
      </c>
      <c r="F57" t="n">
        <v>1</v>
      </c>
      <c r="G57" s="97" t="n">
        <v>2.49</v>
      </c>
      <c r="H57" s="97">
        <f>IFERROR(D48/F48*G48,0)</f>
        <v/>
      </c>
    </row>
    <row r="58">
      <c r="A58" s="50" t="inlineStr">
        <is>
          <t>D</t>
        </is>
      </c>
      <c r="B58" t="inlineStr">
        <is>
          <t>Turkey Barley Soup</t>
        </is>
      </c>
      <c r="C58" t="inlineStr">
        <is>
          <t>Salt and Pepper</t>
        </is>
      </c>
      <c r="D58" s="2" t="n">
        <v>0.25</v>
      </c>
      <c r="E58" t="inlineStr">
        <is>
          <t>tsp</t>
        </is>
      </c>
      <c r="F58" t="n">
        <v>26</v>
      </c>
      <c r="G58" s="97" t="n">
        <v>6.69</v>
      </c>
      <c r="H58" s="97">
        <f>IFERROR(D49/F49*G49,0)</f>
        <v/>
      </c>
    </row>
    <row r="59">
      <c r="A59" s="50" t="inlineStr">
        <is>
          <t>D</t>
        </is>
      </c>
      <c r="B59" t="inlineStr">
        <is>
          <t>Turkey Barley Soup</t>
        </is>
      </c>
      <c r="C59" t="inlineStr">
        <is>
          <t>Sourdough Bread</t>
        </is>
      </c>
      <c r="D59" s="2" t="n">
        <v>0.5</v>
      </c>
      <c r="E59" t="inlineStr">
        <is>
          <t>loaf</t>
        </is>
      </c>
      <c r="F59" t="n">
        <v>1</v>
      </c>
      <c r="G59" s="97" t="n">
        <v>4.5</v>
      </c>
      <c r="H59" s="97">
        <f>IFERROR(D50/F50*G50,0)</f>
        <v/>
      </c>
    </row>
    <row r="60">
      <c r="A60" s="50" t="inlineStr">
        <is>
          <t>D</t>
        </is>
      </c>
      <c r="B60" t="inlineStr">
        <is>
          <t>Turkey Barley Soup</t>
        </is>
      </c>
      <c r="C60" t="inlineStr">
        <is>
          <t>Tomato Sauce</t>
        </is>
      </c>
      <c r="D60" s="2" t="n">
        <v>1</v>
      </c>
      <c r="E60" t="inlineStr">
        <is>
          <t>can</t>
        </is>
      </c>
      <c r="F60" t="n">
        <v>12</v>
      </c>
      <c r="G60" s="97" t="n">
        <v>12.99</v>
      </c>
      <c r="H60" s="97">
        <f>IFERROR(D51/F51*G51,0)</f>
        <v/>
      </c>
    </row>
    <row r="61">
      <c r="A61" s="50" t="inlineStr">
        <is>
          <t>D</t>
        </is>
      </c>
      <c r="B61" t="inlineStr">
        <is>
          <t>Turkey Barley Soup</t>
        </is>
      </c>
      <c r="C61" t="inlineStr">
        <is>
          <t>Vegan Cheddar</t>
        </is>
      </c>
      <c r="D61" s="2" t="n">
        <v>2</v>
      </c>
      <c r="E61" t="inlineStr">
        <is>
          <t>slices</t>
        </is>
      </c>
      <c r="F61" t="n">
        <v>12</v>
      </c>
      <c r="G61" s="97" t="n">
        <v>6.99</v>
      </c>
      <c r="H61" s="97">
        <f>IFERROR(D52/F52*G52,0)</f>
        <v/>
      </c>
    </row>
    <row r="62">
      <c r="A62" s="50" t="inlineStr">
        <is>
          <t>E</t>
        </is>
      </c>
      <c r="B62" t="inlineStr">
        <is>
          <t>Mackerel Cauliflower Fried Rice</t>
        </is>
      </c>
      <c r="C62" t="inlineStr">
        <is>
          <t>Canned Mackerel</t>
        </is>
      </c>
      <c r="D62" s="2" t="n">
        <v>1</v>
      </c>
      <c r="E62" t="inlineStr">
        <is>
          <t>can</t>
        </is>
      </c>
      <c r="F62" t="n">
        <v>12</v>
      </c>
      <c r="G62" s="97" t="n">
        <v>17.71</v>
      </c>
      <c r="H62" s="97">
        <f>IFERROR(D53/F53*G53,0)</f>
        <v/>
      </c>
    </row>
    <row r="63">
      <c r="A63" s="50" t="inlineStr">
        <is>
          <t>E</t>
        </is>
      </c>
      <c r="B63" t="inlineStr">
        <is>
          <t>Mackerel Cauliflower Fried Rice</t>
        </is>
      </c>
      <c r="C63" t="inlineStr">
        <is>
          <t>egg</t>
        </is>
      </c>
      <c r="D63" s="2" t="n">
        <v>6</v>
      </c>
      <c r="E63" t="inlineStr">
        <is>
          <t>cnt</t>
        </is>
      </c>
      <c r="F63" t="n">
        <v>60</v>
      </c>
      <c r="G63" s="97" t="n">
        <v>9.390000000000001</v>
      </c>
      <c r="H63" s="97">
        <f>IFERROR(D54/F54*G54,0)</f>
        <v/>
      </c>
    </row>
    <row r="64">
      <c r="A64" s="50" t="inlineStr">
        <is>
          <t>E</t>
        </is>
      </c>
      <c r="B64" t="inlineStr">
        <is>
          <t>Mackerel Cauliflower Fried Rice</t>
        </is>
      </c>
      <c r="C64" t="inlineStr">
        <is>
          <t>Frozen peas and carrots</t>
        </is>
      </c>
      <c r="D64" s="2" t="n">
        <v>1</v>
      </c>
      <c r="E64" t="inlineStr">
        <is>
          <t>bag</t>
        </is>
      </c>
      <c r="F64" t="n">
        <v>1</v>
      </c>
      <c r="G64" s="97" t="n">
        <v>3.59</v>
      </c>
      <c r="H64" s="97">
        <f>IFERROR(D55/F55*G55,0)</f>
        <v/>
      </c>
    </row>
    <row r="65">
      <c r="A65" s="50" t="inlineStr">
        <is>
          <t>E</t>
        </is>
      </c>
      <c r="B65" t="inlineStr">
        <is>
          <t>Mackerel Cauliflower Fried Rice</t>
        </is>
      </c>
      <c r="C65" t="inlineStr">
        <is>
          <t>Garlic</t>
        </is>
      </c>
      <c r="D65" s="2" t="n">
        <v>4</v>
      </c>
      <c r="E65" t="inlineStr">
        <is>
          <t>tbsn</t>
        </is>
      </c>
      <c r="F65" t="n">
        <v>60</v>
      </c>
      <c r="G65" s="97" t="n">
        <v>6.99</v>
      </c>
      <c r="H65" s="97">
        <f>IFERROR(D56/F56*G56,0)</f>
        <v/>
      </c>
    </row>
    <row r="66">
      <c r="A66" s="50" t="inlineStr">
        <is>
          <t>E</t>
        </is>
      </c>
      <c r="B66" t="inlineStr">
        <is>
          <t>Mackerel Cauliflower Fried Rice</t>
        </is>
      </c>
      <c r="C66" t="inlineStr">
        <is>
          <t>Ginger</t>
        </is>
      </c>
      <c r="D66" s="2" t="n">
        <v>2</v>
      </c>
      <c r="E66" t="inlineStr">
        <is>
          <t>root</t>
        </is>
      </c>
      <c r="F66" t="n">
        <v>2</v>
      </c>
      <c r="G66" s="97" t="n">
        <v>0.78</v>
      </c>
      <c r="H66" s="97">
        <f>IFERROR(D57/F57*G57,0)</f>
        <v/>
      </c>
    </row>
    <row r="67">
      <c r="A67" s="50" t="inlineStr">
        <is>
          <t>E</t>
        </is>
      </c>
      <c r="B67" t="inlineStr">
        <is>
          <t>Mackerel Cauliflower Fried Rice</t>
        </is>
      </c>
      <c r="C67" t="inlineStr">
        <is>
          <t>Grapes</t>
        </is>
      </c>
      <c r="D67" s="2" t="n">
        <v>0.3333333333333333</v>
      </c>
      <c r="E67" t="inlineStr">
        <is>
          <t>box</t>
        </is>
      </c>
      <c r="F67" t="n">
        <v>1</v>
      </c>
      <c r="G67" s="97" t="n">
        <v>5.89</v>
      </c>
      <c r="H67" s="97">
        <f>IFERROR(D58/F58*G58,0)</f>
        <v/>
      </c>
    </row>
    <row r="68">
      <c r="A68" s="50" t="inlineStr">
        <is>
          <t>E</t>
        </is>
      </c>
      <c r="B68" t="inlineStr">
        <is>
          <t>Mackerel Cauliflower Fried Rice</t>
        </is>
      </c>
      <c r="C68" t="inlineStr">
        <is>
          <t>Riced Cauliflower</t>
        </is>
      </c>
      <c r="D68" s="2" t="n">
        <v>2</v>
      </c>
      <c r="E68" t="inlineStr">
        <is>
          <t>packages</t>
        </is>
      </c>
      <c r="F68" t="n">
        <v>4</v>
      </c>
      <c r="G68" s="97" t="n">
        <v>12.99</v>
      </c>
      <c r="H68" s="97">
        <f>IFERROR(D59/F59*G59,0)</f>
        <v/>
      </c>
    </row>
    <row r="69">
      <c r="A69" t="inlineStr">
        <is>
          <t>F</t>
        </is>
      </c>
      <c r="B69" t="inlineStr">
        <is>
          <t>Turkey Spaghetti</t>
        </is>
      </c>
      <c r="C69" t="inlineStr">
        <is>
          <t>apples</t>
        </is>
      </c>
      <c r="D69" s="2" t="n">
        <v>2</v>
      </c>
      <c r="E69" t="inlineStr">
        <is>
          <t>cnt</t>
        </is>
      </c>
      <c r="F69" t="n">
        <v>6</v>
      </c>
      <c r="G69" s="97" t="n">
        <v>4.89</v>
      </c>
      <c r="H69" s="97">
        <f>IFERROR(D60/F60*G60,0)</f>
        <v/>
      </c>
    </row>
    <row r="70">
      <c r="A70" t="inlineStr">
        <is>
          <t>F</t>
        </is>
      </c>
      <c r="B70" t="inlineStr">
        <is>
          <t>Turkey Spaghetti</t>
        </is>
      </c>
      <c r="C70" t="inlineStr">
        <is>
          <t>Brami protein pasta</t>
        </is>
      </c>
      <c r="D70" s="2" t="n">
        <v>1</v>
      </c>
      <c r="E70" t="inlineStr">
        <is>
          <t>box</t>
        </is>
      </c>
      <c r="F70" t="n">
        <v>4</v>
      </c>
      <c r="G70" s="97" t="n">
        <v>10.99</v>
      </c>
      <c r="H70" s="97">
        <f>IFERROR(D61/F61*G61,0)</f>
        <v/>
      </c>
    </row>
    <row r="71">
      <c r="A71" t="inlineStr">
        <is>
          <t>F</t>
        </is>
      </c>
      <c r="B71" t="inlineStr">
        <is>
          <t>Turkey Spaghetti</t>
        </is>
      </c>
      <c r="C71" t="inlineStr">
        <is>
          <t>garlic</t>
        </is>
      </c>
      <c r="D71" s="2" t="n">
        <v>4</v>
      </c>
      <c r="E71" t="inlineStr">
        <is>
          <t>tbsn</t>
        </is>
      </c>
      <c r="F71" t="n">
        <v>60</v>
      </c>
      <c r="G71" s="97" t="n">
        <v>6.99</v>
      </c>
      <c r="H71" s="97">
        <f>IFERROR(D62/F62*G62,0)</f>
        <v/>
      </c>
    </row>
    <row r="72">
      <c r="A72" t="inlineStr">
        <is>
          <t>F</t>
        </is>
      </c>
      <c r="B72" t="inlineStr">
        <is>
          <t>Turkey Spaghetti</t>
        </is>
      </c>
      <c r="C72" t="inlineStr">
        <is>
          <t xml:space="preserve">green beans </t>
        </is>
      </c>
      <c r="D72" s="2" t="n">
        <v>0.125</v>
      </c>
      <c r="E72" t="inlineStr">
        <is>
          <t>bag</t>
        </is>
      </c>
      <c r="F72" t="n">
        <v>1</v>
      </c>
      <c r="G72" s="97" t="n">
        <v>9.99</v>
      </c>
      <c r="H72" s="97">
        <f>IFERROR(D63/F63*G63,0)</f>
        <v/>
      </c>
    </row>
    <row r="73">
      <c r="A73" t="inlineStr">
        <is>
          <t>F</t>
        </is>
      </c>
      <c r="B73" t="inlineStr">
        <is>
          <t>Turkey Spaghetti</t>
        </is>
      </c>
      <c r="C73" t="inlineStr">
        <is>
          <t>ground turkey</t>
        </is>
      </c>
      <c r="D73" s="2" t="n">
        <v>1.72</v>
      </c>
      <c r="E73" t="inlineStr">
        <is>
          <t>lb</t>
        </is>
      </c>
      <c r="F73" t="n">
        <v>4</v>
      </c>
      <c r="G73" s="97" t="n">
        <v>24.99</v>
      </c>
      <c r="H73" s="97">
        <f>IFERROR(D64/F64*G64,0)</f>
        <v/>
      </c>
    </row>
    <row r="74">
      <c r="A74" t="inlineStr">
        <is>
          <t>F</t>
        </is>
      </c>
      <c r="B74" t="inlineStr">
        <is>
          <t>Turkey Spaghetti</t>
        </is>
      </c>
      <c r="C74" t="inlineStr">
        <is>
          <t>olive oil</t>
        </is>
      </c>
      <c r="D74" s="2" t="n">
        <v>4</v>
      </c>
      <c r="E74" t="inlineStr">
        <is>
          <t>tbsn</t>
        </is>
      </c>
      <c r="F74" t="n">
        <v>67.7</v>
      </c>
      <c r="G74" s="97" t="n">
        <v>27.99</v>
      </c>
      <c r="H74" s="97">
        <f>IFERROR(D65/F65*G65,0)</f>
        <v/>
      </c>
    </row>
    <row r="75">
      <c r="A75" t="inlineStr">
        <is>
          <t>F</t>
        </is>
      </c>
      <c r="B75" t="inlineStr">
        <is>
          <t>Turkey Spaghetti</t>
        </is>
      </c>
      <c r="C75" t="inlineStr">
        <is>
          <t>peanut butter</t>
        </is>
      </c>
      <c r="D75" s="2" t="n">
        <v>0.25</v>
      </c>
      <c r="E75" t="inlineStr">
        <is>
          <t>container</t>
        </is>
      </c>
      <c r="F75" t="n">
        <v>8</v>
      </c>
      <c r="G75" s="97" t="n">
        <v>9.49</v>
      </c>
      <c r="H75" s="97">
        <f>IFERROR(D66/F66*G66,0)</f>
        <v/>
      </c>
    </row>
    <row r="76">
      <c r="A76" t="inlineStr">
        <is>
          <t>F</t>
        </is>
      </c>
      <c r="B76" t="inlineStr">
        <is>
          <t>Turkey Spaghetti</t>
        </is>
      </c>
      <c r="C76" t="inlineStr">
        <is>
          <t>Sourdough Bread</t>
        </is>
      </c>
      <c r="D76" s="2" t="n">
        <v>0.5</v>
      </c>
      <c r="E76" t="inlineStr">
        <is>
          <t>loaf</t>
        </is>
      </c>
      <c r="F76" t="n">
        <v>1</v>
      </c>
      <c r="G76" s="97" t="n">
        <v>4.5</v>
      </c>
      <c r="H76" s="97">
        <f>IFERROR(D67/F67*G67,0)</f>
        <v/>
      </c>
    </row>
    <row r="77">
      <c r="A77" t="inlineStr">
        <is>
          <t>F</t>
        </is>
      </c>
      <c r="B77" t="inlineStr">
        <is>
          <t>Turkey Spaghetti</t>
        </is>
      </c>
      <c r="C77" t="inlineStr">
        <is>
          <t>spices</t>
        </is>
      </c>
      <c r="D77" s="2" t="n">
        <v>15</v>
      </c>
      <c r="E77" t="inlineStr">
        <is>
          <t>container</t>
        </is>
      </c>
      <c r="F77" t="n">
        <v>30</v>
      </c>
      <c r="G77" s="97" t="n">
        <v>3.99</v>
      </c>
      <c r="H77" s="97">
        <f>IFERROR(D68/F68*G68,0)</f>
        <v/>
      </c>
    </row>
    <row r="78">
      <c r="A78" t="inlineStr">
        <is>
          <t>F</t>
        </is>
      </c>
      <c r="B78" t="inlineStr">
        <is>
          <t>Turkey Spaghetti</t>
        </is>
      </c>
      <c r="C78" t="inlineStr">
        <is>
          <t>Kale</t>
        </is>
      </c>
      <c r="D78" s="2" t="n">
        <v>0.5</v>
      </c>
      <c r="E78" t="inlineStr">
        <is>
          <t>container</t>
        </is>
      </c>
      <c r="F78" t="n">
        <v>1</v>
      </c>
      <c r="G78" s="97" t="n">
        <v>3.89</v>
      </c>
      <c r="H78" s="97">
        <f>IFERROR(D69/F69*G69,0)</f>
        <v/>
      </c>
    </row>
    <row r="79">
      <c r="A79" t="inlineStr">
        <is>
          <t>F</t>
        </is>
      </c>
      <c r="B79" t="inlineStr">
        <is>
          <t>Turkey Spaghetti</t>
        </is>
      </c>
      <c r="C79" t="inlineStr">
        <is>
          <t>squash</t>
        </is>
      </c>
      <c r="D79" s="2" t="n">
        <v>1</v>
      </c>
      <c r="E79" t="inlineStr">
        <is>
          <t>cnt</t>
        </is>
      </c>
      <c r="F79" t="n">
        <v>1</v>
      </c>
      <c r="G79" s="97" t="n">
        <v>4.88</v>
      </c>
      <c r="H79" s="97">
        <f>IFERROR(D70/F70*G70,0)</f>
        <v/>
      </c>
    </row>
    <row r="80">
      <c r="A80" t="inlineStr">
        <is>
          <t>F</t>
        </is>
      </c>
      <c r="B80" t="inlineStr">
        <is>
          <t>Turkey Spaghetti</t>
        </is>
      </c>
      <c r="C80" t="inlineStr">
        <is>
          <t>Tomato Sauce</t>
        </is>
      </c>
      <c r="D80" s="2" t="n">
        <v>3</v>
      </c>
      <c r="E80" t="inlineStr">
        <is>
          <t>can</t>
        </is>
      </c>
      <c r="F80" t="n">
        <v>12</v>
      </c>
      <c r="G80" s="97" t="n">
        <v>12.99</v>
      </c>
      <c r="H80" s="97">
        <f>IFERROR(D71/F71*G71,0)</f>
        <v/>
      </c>
    </row>
    <row r="81">
      <c r="A81" t="inlineStr">
        <is>
          <t>Total</t>
        </is>
      </c>
      <c r="G81" s="97">
        <f>SUBTOTAL(109,Table31[CostTot])</f>
        <v/>
      </c>
      <c r="H81" s="97">
        <f>IFERROR(D72/F72*G72,0)</f>
        <v/>
      </c>
    </row>
    <row r="82">
      <c r="H82" s="97">
        <f>IFERROR(D73/F73*G73,0)</f>
        <v/>
      </c>
    </row>
    <row r="83">
      <c r="H83" s="97">
        <f>IFERROR(D74/F74*G74,0)</f>
        <v/>
      </c>
    </row>
    <row r="84">
      <c r="H84" s="97">
        <f>IFERROR(D75/F75*G75,0)</f>
        <v/>
      </c>
    </row>
    <row r="85">
      <c r="A85" t="inlineStr">
        <is>
          <t>Total</t>
        </is>
      </c>
      <c r="G85" s="98">
        <f>SUBTOTAL(109,Table31[CostTot])</f>
        <v/>
      </c>
      <c r="H85" s="98">
        <f>SUBTOTAL(109,Table31[CostQt])</f>
        <v/>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7"/>
  <sheetViews>
    <sheetView workbookViewId="0">
      <selection activeCell="E6" sqref="E6"/>
    </sheetView>
  </sheetViews>
  <sheetFormatPr baseColWidth="10" defaultRowHeight="15"/>
  <sheetData>
    <row r="1">
      <c r="A1" t="inlineStr">
        <is>
          <t>Code</t>
        </is>
      </c>
      <c r="B1" t="inlineStr">
        <is>
          <t>Meal Name</t>
        </is>
      </c>
      <c r="C1" t="inlineStr">
        <is>
          <t>Total Meal Cost</t>
        </is>
      </c>
      <c r="D1" t="inlineStr">
        <is>
          <t>Servings</t>
        </is>
      </c>
      <c r="E1" t="inlineStr">
        <is>
          <t>Cost/Serving</t>
        </is>
      </c>
    </row>
    <row r="2">
      <c r="A2" t="inlineStr">
        <is>
          <t>A</t>
        </is>
      </c>
      <c r="B2" t="inlineStr">
        <is>
          <t>Mackerel Meatball</t>
        </is>
      </c>
      <c r="C2" s="97">
        <f>SUMIF(ingredients!A:A,A2,ingredients!H:H)</f>
        <v/>
      </c>
      <c r="D2" t="n">
        <v>5</v>
      </c>
      <c r="E2" s="97">
        <f>C2/D2</f>
        <v/>
      </c>
    </row>
    <row r="3">
      <c r="A3" t="inlineStr">
        <is>
          <t>B</t>
        </is>
      </c>
      <c r="B3" t="inlineStr">
        <is>
          <t>Kale &amp; Chicken Pasta</t>
        </is>
      </c>
      <c r="C3" s="97">
        <f>SUMIF(ingredients!A:A,A3,ingredients!H:H)</f>
        <v/>
      </c>
      <c r="D3" t="n">
        <v>6</v>
      </c>
      <c r="E3" s="97">
        <f>C3/D3</f>
        <v/>
      </c>
    </row>
    <row r="4">
      <c r="A4" t="inlineStr">
        <is>
          <t>C</t>
        </is>
      </c>
      <c r="B4" t="inlineStr">
        <is>
          <t>Warm Chicken Grain Bowl</t>
        </is>
      </c>
      <c r="C4" s="97">
        <f>SUMIF(ingredients!A:A,A4,ingredients!H:H)</f>
        <v/>
      </c>
      <c r="D4" t="n">
        <v>8</v>
      </c>
      <c r="E4" s="97">
        <f>C4/D4</f>
        <v/>
      </c>
    </row>
    <row r="5">
      <c r="A5" t="inlineStr">
        <is>
          <t>D</t>
        </is>
      </c>
      <c r="B5" t="inlineStr">
        <is>
          <t>Chicken Barley Soup</t>
        </is>
      </c>
      <c r="C5" s="97">
        <f>SUMIF(ingredients!A:A,A5,ingredients!H:H)</f>
        <v/>
      </c>
      <c r="D5" t="n">
        <v>8</v>
      </c>
      <c r="E5" s="97">
        <f>C5/D5</f>
        <v/>
      </c>
    </row>
    <row r="6">
      <c r="A6" t="inlineStr">
        <is>
          <t>E</t>
        </is>
      </c>
      <c r="B6" t="inlineStr">
        <is>
          <t>Mackerel Cauliflower Fried Rice</t>
        </is>
      </c>
      <c r="C6" s="97">
        <f>SUMIF(ingredients!A:A,A6,ingredients!H:H)</f>
        <v/>
      </c>
      <c r="D6" t="n">
        <v>6</v>
      </c>
      <c r="E6" s="97">
        <f>C6/D6</f>
        <v/>
      </c>
    </row>
    <row r="7">
      <c r="A7" t="inlineStr">
        <is>
          <t>F</t>
        </is>
      </c>
      <c r="B7" t="inlineStr">
        <is>
          <t>Turkey Spaghetti</t>
        </is>
      </c>
      <c r="C7" s="97">
        <f>SUMIF(ingredients!A:A,A7,ingredients!H:H)</f>
        <v/>
      </c>
      <c r="D7" t="n">
        <v>6</v>
      </c>
      <c r="E7" s="97">
        <f>C7/D7</f>
        <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Eli Best</dc:creator>
  <dcterms:created xsi:type="dcterms:W3CDTF">2022-06-30T00:40:07Z</dcterms:created>
  <dcterms:modified xsi:type="dcterms:W3CDTF">2026-01-12T18:09:49Z</dcterms:modified>
  <cp:lastModifiedBy>Lydia Wu</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0x01010000967C9B73CE1E43A3D0DA1EEE1384F6</vt:lpwstr>
  </property>
</Properties>
</file>